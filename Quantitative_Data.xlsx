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(S1 &amp; S2)" sheetId="1" r:id="rId4"/>
    <sheet state="visible" name="S1 Organized" sheetId="2" r:id="rId5"/>
    <sheet state="visible" name="S1 UEQ Organized" sheetId="3" r:id="rId6"/>
    <sheet state="visible" name="S1 Outliers Check" sheetId="4" r:id="rId7"/>
    <sheet state="visible" name="S1 Interaction Effects" sheetId="5" r:id="rId8"/>
    <sheet state="visible" name="S2 Organised" sheetId="6" r:id="rId9"/>
    <sheet state="visible" name="S2 Outliers Check" sheetId="7" r:id="rId10"/>
    <sheet state="visible" name="Procedural vs Principles" sheetId="8" r:id="rId11"/>
    <sheet state="visible" name="Time" sheetId="9" r:id="rId12"/>
    <sheet state="visible" name="Time Organized (S1 &amp; S2)" sheetId="10" r:id="rId13"/>
    <sheet state="visible" name="Demographics (S1 &amp; S2)" sheetId="11" r:id="rId14"/>
    <sheet state="visible" name="Video Data for Scoring " sheetId="12" r:id="rId15"/>
    <sheet state="visible" name="Video Scores ST vs DY" sheetId="13" r:id="rId16"/>
    <sheet state="visible" name="Correlations" sheetId="14" r:id="rId17"/>
    <sheet state="visible" name="Correlations_long" sheetId="15" r:id="rId18"/>
    <sheet state="visible" name="Correlations-PriorExp" sheetId="16" r:id="rId19"/>
    <sheet state="visible" name="Correlations-STvsDY" sheetId="17" r:id="rId20"/>
    <sheet state="visible" name="Correlations-ProvsPrin" sheetId="18" r:id="rId21"/>
    <sheet state="visible" name="Data for Graphs" sheetId="19" r:id="rId22"/>
    <sheet state="visible" name="Correlations_long_Graph" sheetId="20" r:id="rId23"/>
    <sheet state="visible" name="Correlations-PriorExp_Graph" sheetId="21" r:id="rId24"/>
  </sheets>
  <definedNames/>
  <calcPr/>
  <pivotCaches>
    <pivotCache cacheId="0" r:id="rId25"/>
  </pivotCaches>
</workbook>
</file>

<file path=xl/sharedStrings.xml><?xml version="1.0" encoding="utf-8"?>
<sst xmlns="http://schemas.openxmlformats.org/spreadsheetml/2006/main" count="5981" uniqueCount="732">
  <si>
    <t xml:space="preserve">Industrial Exoskeletons: Instruction Design </t>
  </si>
  <si>
    <t>Timestamp</t>
  </si>
  <si>
    <t>Participant ID</t>
  </si>
  <si>
    <t>Age</t>
  </si>
  <si>
    <t>Gender</t>
  </si>
  <si>
    <t>Dominant Hand</t>
  </si>
  <si>
    <t>Do you have prior experience with any of the following? (Select all that apply)</t>
  </si>
  <si>
    <t>When I have a new technical system in front of me, I try it out intensively.</t>
  </si>
  <si>
    <t>I enjoy spending time becoming acquainted with a new technical system.</t>
  </si>
  <si>
    <t>I try to understand how a technical system exactly works.</t>
  </si>
  <si>
    <t>I try to make full use of the capabilities of a technical system.</t>
  </si>
  <si>
    <t>Which exoskeleton are they trying on? (Part 1)</t>
  </si>
  <si>
    <t>Overall, how easy or difficult was it to put on and take off the exoskeleton using the instructions?</t>
  </si>
  <si>
    <t>How mentally demanding was the task?
task: putting on and taking off the exoskeleton using the instructions</t>
  </si>
  <si>
    <t>How physically demanding was the task?
task: putting on and taking off the exoskeleton using the instructions</t>
  </si>
  <si>
    <t>How hurried or rushed was the pace of the task?
task: putting on and taking off the exoskeleton using the instructions</t>
  </si>
  <si>
    <t>How successful were you in accomplishing what you were asked to do?</t>
  </si>
  <si>
    <t>How hard did you have to work to accomplish your level of performance?</t>
  </si>
  <si>
    <t>How insecure, discouraged, irritated, stressed, and annoyed were you?</t>
  </si>
  <si>
    <t>I think that I would like to use these digital instructions frequently.</t>
  </si>
  <si>
    <t>I found the digital instructions unnecessarily complex.</t>
  </si>
  <si>
    <t>I thought the digital instructions were easy to use.</t>
  </si>
  <si>
    <t xml:space="preserve">I think that I would need the support of a technical person to be able to use these digital instructions. </t>
  </si>
  <si>
    <t>I found the various functions in these digital instructions were well integrated.</t>
  </si>
  <si>
    <t>I thought there was too much inconsistency in these digital instructions.</t>
  </si>
  <si>
    <t>I would imagine that most people would learn to use these digital instructions very quickly.</t>
  </si>
  <si>
    <t>I found the digital instructions very cumbersome to use.</t>
  </si>
  <si>
    <t>I felt very confident using the digital instructions.</t>
  </si>
  <si>
    <t>I needed to learn a lot of things before I could get going with these digital instructions.</t>
  </si>
  <si>
    <t>Please rate your experience with the instructions you just used.</t>
  </si>
  <si>
    <t>Which exoskeleton are they trying on? (Part 2)</t>
  </si>
  <si>
    <t>Overall, how easy or difficult was it to put on and take off the exoskeleton using these instructions?</t>
  </si>
  <si>
    <t>2025/08/20 10:38:07 am CET</t>
  </si>
  <si>
    <t>Male</t>
  </si>
  <si>
    <t>Right</t>
  </si>
  <si>
    <t>Exoskeletons</t>
  </si>
  <si>
    <t>Apogee Dynamic</t>
  </si>
  <si>
    <t>BionicBack Static</t>
  </si>
  <si>
    <t>2025/08/27 10:14:58 am CET</t>
  </si>
  <si>
    <t>Climbing / rock climbing gear</t>
  </si>
  <si>
    <t>BionicBack Dynamic</t>
  </si>
  <si>
    <t>Apogee Static</t>
  </si>
  <si>
    <t>2025/08/27 2:17:45 pm CET</t>
  </si>
  <si>
    <t>Female</t>
  </si>
  <si>
    <t>None of the above</t>
  </si>
  <si>
    <t>2025/08/28 9:06:34 am CET</t>
  </si>
  <si>
    <t>2025/08/28 10:47:09 am CET</t>
  </si>
  <si>
    <t>2025/08/28 1:57:26 pm CET</t>
  </si>
  <si>
    <t>2025/08/28 3:50:40 pm CET</t>
  </si>
  <si>
    <t>Safety harnesses (construction, fall protection)</t>
  </si>
  <si>
    <t>2025/08/29 11:42:58 am CET</t>
  </si>
  <si>
    <t>2025/08/29 1:24:39 pm CET</t>
  </si>
  <si>
    <t>2025/08/29 3:07:34 pm CET</t>
  </si>
  <si>
    <t>2025/09/01 8:37:52 am CET</t>
  </si>
  <si>
    <t>2025/09/01 10:43:38 am CET</t>
  </si>
  <si>
    <t>2025/09/02 8:38:46 am CET</t>
  </si>
  <si>
    <t>2025/09/02 10:12:26 am CET</t>
  </si>
  <si>
    <t>2025/09/02 12:15:09 pm CET</t>
  </si>
  <si>
    <t>Left</t>
  </si>
  <si>
    <t>2025/09/02 1:52:36 pm CET</t>
  </si>
  <si>
    <t>2025/09/02 3:56:17 pm CET</t>
  </si>
  <si>
    <t>2025/09/03 8:32:44 am CET</t>
  </si>
  <si>
    <t>Ambidextrous</t>
  </si>
  <si>
    <t>Climbing / rock climbing gear;Safety harnesses (construction, fall protection)</t>
  </si>
  <si>
    <t>2025/09/03 1:44:18 pm CET</t>
  </si>
  <si>
    <t>2025/09/03 2:59:52 pm CET</t>
  </si>
  <si>
    <t>2025/09/04 9:13:54 am CET</t>
  </si>
  <si>
    <t>2025/09/04 3:31:08 pm CET</t>
  </si>
  <si>
    <t>2025/10/22 9:39:49 am CET</t>
  </si>
  <si>
    <t>Exoskeletons;Climbing / rock climbing gear</t>
  </si>
  <si>
    <t>2025/10/22 11:29:27 am CET</t>
  </si>
  <si>
    <t>2025/10/22 1:15:28 pm CET</t>
  </si>
  <si>
    <t>2025/10/23 9:34:15 am CET</t>
  </si>
  <si>
    <t>2025/10/23 1:20:10 pm CET</t>
  </si>
  <si>
    <t>Safety harnesses (construction, fall protection);Fire fighting equipment</t>
  </si>
  <si>
    <t>2025/10/24 3:19:15 pm CET</t>
  </si>
  <si>
    <t>2025/10/27 12:34:35 pm CET</t>
  </si>
  <si>
    <t>Diverse</t>
  </si>
  <si>
    <t>2025/10/27 2:09:43 pm CET</t>
  </si>
  <si>
    <t>2025/10/27 4:14:18 pm CET</t>
  </si>
  <si>
    <t>2025/10/29 4:04:38 pm CET</t>
  </si>
  <si>
    <t>2025/10/30 2:22:10 pm CET</t>
  </si>
  <si>
    <t>7-point Likert Scale NASA-TLX</t>
  </si>
  <si>
    <t>System Usability Scale (SUS)</t>
  </si>
  <si>
    <t>ATI Scale</t>
  </si>
  <si>
    <t>Exoskeleton + Order</t>
  </si>
  <si>
    <t>SEQ</t>
  </si>
  <si>
    <t>Part 1</t>
  </si>
  <si>
    <t>Part 2</t>
  </si>
  <si>
    <t>Item 4</t>
  </si>
  <si>
    <t>Item 5</t>
  </si>
  <si>
    <t>Item 7</t>
  </si>
  <si>
    <t>Item 9</t>
  </si>
  <si>
    <t xml:space="preserve">Mean </t>
  </si>
  <si>
    <t>Mental Demand</t>
  </si>
  <si>
    <t>Physical Demand</t>
  </si>
  <si>
    <t>Temporal Demand</t>
  </si>
  <si>
    <t>Perfomance</t>
  </si>
  <si>
    <t>Effort</t>
  </si>
  <si>
    <t>Frustration</t>
  </si>
  <si>
    <t>Mean</t>
  </si>
  <si>
    <t>odd</t>
  </si>
  <si>
    <t>even</t>
  </si>
  <si>
    <t>Coded Gender</t>
  </si>
  <si>
    <t>Coded Dominant Hand</t>
  </si>
  <si>
    <t>PriorExp_Exoskeletons</t>
  </si>
  <si>
    <t>PriorExp_ClimbingGears</t>
  </si>
  <si>
    <t>PriorExp_SafetyHarness</t>
  </si>
  <si>
    <t>PriorExp_None</t>
  </si>
  <si>
    <t>PriorExp_Other</t>
  </si>
  <si>
    <t>ATI Score</t>
  </si>
  <si>
    <t>Part 1 SEQ</t>
  </si>
  <si>
    <t>Part 2 SEQ</t>
  </si>
  <si>
    <t>Dynamic</t>
  </si>
  <si>
    <t>DY_outliers</t>
  </si>
  <si>
    <t>Static</t>
  </si>
  <si>
    <t>ST_outliers</t>
  </si>
  <si>
    <t>How mentally demanding was the task?</t>
  </si>
  <si>
    <t>How physically demanding was the task?</t>
  </si>
  <si>
    <t>How hurried or rushed was the pace of the task?</t>
  </si>
  <si>
    <t>NASA-TLX Workload</t>
  </si>
  <si>
    <t>02</t>
  </si>
  <si>
    <t>04</t>
  </si>
  <si>
    <t>05</t>
  </si>
  <si>
    <t>06</t>
  </si>
  <si>
    <t>07</t>
  </si>
  <si>
    <t>08</t>
  </si>
  <si>
    <t>09</t>
  </si>
  <si>
    <t>Climbing / rock climbing gear, Safety harnesses (construction, fall protection)</t>
  </si>
  <si>
    <t>Mean =</t>
  </si>
  <si>
    <t>Converted NASA TLX Scores (0-100)</t>
  </si>
  <si>
    <t>Converted SUS (in range of 0-4)</t>
  </si>
  <si>
    <t xml:space="preserve">SD = </t>
  </si>
  <si>
    <t>Sum</t>
  </si>
  <si>
    <t>Sum * 2.5</t>
  </si>
  <si>
    <t xml:space="preserve">SUS Score </t>
  </si>
  <si>
    <t>SUS Final Score</t>
  </si>
  <si>
    <t>SUS Score</t>
  </si>
  <si>
    <t>01</t>
  </si>
  <si>
    <t xml:space="preserve">Mean = </t>
  </si>
  <si>
    <t>PHYSICAL DEMAND</t>
  </si>
  <si>
    <t>SD=</t>
  </si>
  <si>
    <t>00</t>
  </si>
  <si>
    <t>03</t>
  </si>
  <si>
    <t>SD =</t>
  </si>
  <si>
    <t>pairwise</t>
  </si>
  <si>
    <t>friedman</t>
  </si>
  <si>
    <t>kruskal</t>
  </si>
  <si>
    <t>NASA-TLX</t>
  </si>
  <si>
    <t>SUS</t>
  </si>
  <si>
    <t>UEQ-S</t>
  </si>
  <si>
    <t>SEQ_Friedman</t>
  </si>
  <si>
    <t>No</t>
  </si>
  <si>
    <t>Order</t>
  </si>
  <si>
    <t>BB DY</t>
  </si>
  <si>
    <t>BB_DY_outliers</t>
  </si>
  <si>
    <t>BB ST</t>
  </si>
  <si>
    <t>BB_ST_outliers</t>
  </si>
  <si>
    <t>AP DY</t>
  </si>
  <si>
    <t>AP_DY_outliers</t>
  </si>
  <si>
    <t>AP ST</t>
  </si>
  <si>
    <t>AP_ST_outliers</t>
  </si>
  <si>
    <t>outliers</t>
  </si>
  <si>
    <t>BB_DY_1st</t>
  </si>
  <si>
    <t>Outlier</t>
  </si>
  <si>
    <t>AP_ST_2nd</t>
  </si>
  <si>
    <t>10</t>
  </si>
  <si>
    <t>11</t>
  </si>
  <si>
    <t>BB_ST_1st</t>
  </si>
  <si>
    <t>12</t>
  </si>
  <si>
    <t>13</t>
  </si>
  <si>
    <t>14</t>
  </si>
  <si>
    <t>15</t>
  </si>
  <si>
    <t>16</t>
  </si>
  <si>
    <t>AP_DY_2nd</t>
  </si>
  <si>
    <t>17</t>
  </si>
  <si>
    <t>18</t>
  </si>
  <si>
    <t>19</t>
  </si>
  <si>
    <t>20</t>
  </si>
  <si>
    <t>AP_DY_1st</t>
  </si>
  <si>
    <t>BB_ST_2nd</t>
  </si>
  <si>
    <t>AP_ST_1st</t>
  </si>
  <si>
    <t>BB_DY_2nd</t>
  </si>
  <si>
    <t>Mean=</t>
  </si>
  <si>
    <t>NASA-TLX: Physical Demand</t>
  </si>
  <si>
    <t>Part 1 NASA-TLX</t>
  </si>
  <si>
    <t>Part 2 NASA-TLX</t>
  </si>
  <si>
    <t>Part 1 SUS</t>
  </si>
  <si>
    <t>Part 2 SUS</t>
  </si>
  <si>
    <t>Part 1 UEQ</t>
  </si>
  <si>
    <t>Part 2 UEQ</t>
  </si>
  <si>
    <t xml:space="preserve">Part 1 Physical NASA-TLX </t>
  </si>
  <si>
    <t xml:space="preserve">Part 2 Physical NASA-TLX </t>
  </si>
  <si>
    <t>Outliers</t>
  </si>
  <si>
    <t>Part 1 Overall Converted</t>
  </si>
  <si>
    <t>Part 2 Overall Converted</t>
  </si>
  <si>
    <t>11 participants</t>
  </si>
  <si>
    <t>Mean:</t>
  </si>
  <si>
    <t>SD:</t>
  </si>
  <si>
    <t>Study 1</t>
  </si>
  <si>
    <t>Study 2</t>
  </si>
  <si>
    <t>Procedural</t>
  </si>
  <si>
    <t>Principles</t>
  </si>
  <si>
    <t>SEQ_outliers</t>
  </si>
  <si>
    <t>NASA_TLX</t>
  </si>
  <si>
    <t>NASA_outliers</t>
  </si>
  <si>
    <t>SUS_outliers</t>
  </si>
  <si>
    <t>UEQ (Overall)</t>
  </si>
  <si>
    <t>UEQ_outliers</t>
  </si>
  <si>
    <t>Physical</t>
  </si>
  <si>
    <t>Physical_outliers</t>
  </si>
  <si>
    <t>MEAN=</t>
  </si>
  <si>
    <t>No (for JASP)</t>
  </si>
  <si>
    <t>Physical NASA</t>
  </si>
  <si>
    <t>Physical Outliers</t>
  </si>
  <si>
    <t>SEQ Outliers</t>
  </si>
  <si>
    <t>NASA TLX</t>
  </si>
  <si>
    <t>TLX Outliers</t>
  </si>
  <si>
    <t>SUS Outliers</t>
  </si>
  <si>
    <t>UEQ</t>
  </si>
  <si>
    <t>UEQ Outliers</t>
  </si>
  <si>
    <t>BB Donning</t>
  </si>
  <si>
    <t>BB TS</t>
  </si>
  <si>
    <t>BB Straps &amp; Activation</t>
  </si>
  <si>
    <t>BB Doffing</t>
  </si>
  <si>
    <t>A Donning</t>
  </si>
  <si>
    <t>A TS</t>
  </si>
  <si>
    <t>A Activation</t>
  </si>
  <si>
    <t>A Doffing</t>
  </si>
  <si>
    <t>03:58.84</t>
  </si>
  <si>
    <t>03:38.58</t>
  </si>
  <si>
    <t>00:32.24</t>
  </si>
  <si>
    <t>06:19.87</t>
  </si>
  <si>
    <t>03:57.55</t>
  </si>
  <si>
    <t>01:12.81</t>
  </si>
  <si>
    <t>07:49.63</t>
  </si>
  <si>
    <t>07:10.14</t>
  </si>
  <si>
    <t>02:22.26</t>
  </si>
  <si>
    <t>23:51.61</t>
  </si>
  <si>
    <t>06:43.98</t>
  </si>
  <si>
    <t>09:24.82</t>
  </si>
  <si>
    <t>02:16.30</t>
  </si>
  <si>
    <t>10:41.35</t>
  </si>
  <si>
    <t>00:31.03</t>
  </si>
  <si>
    <t>05:45.04</t>
  </si>
  <si>
    <t>01:02.32</t>
  </si>
  <si>
    <t>11:22.44</t>
  </si>
  <si>
    <t>06:21.03</t>
  </si>
  <si>
    <t>02:25.76</t>
  </si>
  <si>
    <t>08:05.36</t>
  </si>
  <si>
    <t>03:22.68</t>
  </si>
  <si>
    <t>00:41.10</t>
  </si>
  <si>
    <t xml:space="preserve">20.51.07 </t>
  </si>
  <si>
    <t>09:09.52</t>
  </si>
  <si>
    <t>07:08.82</t>
  </si>
  <si>
    <t>00:59.74</t>
  </si>
  <si>
    <t>04:46.25</t>
  </si>
  <si>
    <t>02:42.24</t>
  </si>
  <si>
    <t>00:33.32</t>
  </si>
  <si>
    <t>07:08.64</t>
  </si>
  <si>
    <t>03:37.52</t>
  </si>
  <si>
    <t>01:50.93</t>
  </si>
  <si>
    <t>07:06.56</t>
  </si>
  <si>
    <t>04:02.82</t>
  </si>
  <si>
    <t>01:25.45</t>
  </si>
  <si>
    <t>07:06.99</t>
  </si>
  <si>
    <t>06:10.84</t>
  </si>
  <si>
    <t>01:58.31</t>
  </si>
  <si>
    <t>07:50.96</t>
  </si>
  <si>
    <t>07:57.24</t>
  </si>
  <si>
    <t>00:52.22</t>
  </si>
  <si>
    <t>15:45.36</t>
  </si>
  <si>
    <t>08:42.42</t>
  </si>
  <si>
    <t>03:04.88</t>
  </si>
  <si>
    <t>08:06.58</t>
  </si>
  <si>
    <t>05:16.55</t>
  </si>
  <si>
    <t>00:38.96</t>
  </si>
  <si>
    <t>12:32.95</t>
  </si>
  <si>
    <t>04:29.89</t>
  </si>
  <si>
    <t>01:33.90</t>
  </si>
  <si>
    <t>07:32.18</t>
  </si>
  <si>
    <t>04:04.72</t>
  </si>
  <si>
    <t>00:52.69</t>
  </si>
  <si>
    <t>07:23.71</t>
  </si>
  <si>
    <t>03.54.64</t>
  </si>
  <si>
    <t>01:58.35</t>
  </si>
  <si>
    <t>10:27.38</t>
  </si>
  <si>
    <t>03:38.79</t>
  </si>
  <si>
    <t>00:56.96</t>
  </si>
  <si>
    <t>10:20.10</t>
  </si>
  <si>
    <t>06:11.15</t>
  </si>
  <si>
    <t>02:25.19</t>
  </si>
  <si>
    <t>06:05.47</t>
  </si>
  <si>
    <t>03:05.08</t>
  </si>
  <si>
    <t>00:44.41</t>
  </si>
  <si>
    <t>08:18.98</t>
  </si>
  <si>
    <t>04:25.15</t>
  </si>
  <si>
    <t>01:19.85</t>
  </si>
  <si>
    <t>06:20.67</t>
  </si>
  <si>
    <t>02:28.50</t>
  </si>
  <si>
    <t>00:31.31</t>
  </si>
  <si>
    <t>06:20.90</t>
  </si>
  <si>
    <t>03:44.16</t>
  </si>
  <si>
    <t>01:01.17</t>
  </si>
  <si>
    <t>08:36.16</t>
  </si>
  <si>
    <t>04:20.74</t>
  </si>
  <si>
    <t>01:04.68</t>
  </si>
  <si>
    <t>12:25.99</t>
  </si>
  <si>
    <t>03:20.94</t>
  </si>
  <si>
    <t>03:53.99</t>
  </si>
  <si>
    <t>02:36.29</t>
  </si>
  <si>
    <t>07:13.74</t>
  </si>
  <si>
    <t>07:44.33</t>
  </si>
  <si>
    <t>00:50.96</t>
  </si>
  <si>
    <t>07:48.45</t>
  </si>
  <si>
    <t>05:03.66</t>
  </si>
  <si>
    <t>01:39.13</t>
  </si>
  <si>
    <t>07:38.35</t>
  </si>
  <si>
    <t>06:21.25</t>
  </si>
  <si>
    <t>00:45.02</t>
  </si>
  <si>
    <t>12:12.46</t>
  </si>
  <si>
    <t>05:54.31</t>
  </si>
  <si>
    <t>05:28.35</t>
  </si>
  <si>
    <t>01:41.72</t>
  </si>
  <si>
    <t>05:14.20</t>
  </si>
  <si>
    <t>03:26.67</t>
  </si>
  <si>
    <t>00:34.29</t>
  </si>
  <si>
    <t>07:53.43</t>
  </si>
  <si>
    <t>07:06.10</t>
  </si>
  <si>
    <t>01:46.80</t>
  </si>
  <si>
    <t>08:54.06</t>
  </si>
  <si>
    <t>03:12.78</t>
  </si>
  <si>
    <t>01:09.39</t>
  </si>
  <si>
    <t>11:43.47</t>
  </si>
  <si>
    <t>06:28.61</t>
  </si>
  <si>
    <t>01:49.76</t>
  </si>
  <si>
    <t>05:35.99</t>
  </si>
  <si>
    <t>03:40.24</t>
  </si>
  <si>
    <t>00:52.75</t>
  </si>
  <si>
    <t>09:00.76</t>
  </si>
  <si>
    <t>09:10.30</t>
  </si>
  <si>
    <t>02:02.87</t>
  </si>
  <si>
    <t>11:35.96</t>
  </si>
  <si>
    <t>07:20.59</t>
  </si>
  <si>
    <t>01:18.83</t>
  </si>
  <si>
    <t>14:55.98</t>
  </si>
  <si>
    <t>03:48.55</t>
  </si>
  <si>
    <t>06:16.81</t>
  </si>
  <si>
    <t>01:56.05</t>
  </si>
  <si>
    <t>07:31.59</t>
  </si>
  <si>
    <t>00:47.91</t>
  </si>
  <si>
    <t>03:40.59</t>
  </si>
  <si>
    <t>00:42.94</t>
  </si>
  <si>
    <t>07:39.67</t>
  </si>
  <si>
    <t>05:41.18</t>
  </si>
  <si>
    <t>01:53.51</t>
  </si>
  <si>
    <t>05:05.94</t>
  </si>
  <si>
    <t>05:05.44</t>
  </si>
  <si>
    <t>00:39.62</t>
  </si>
  <si>
    <t>07:13.38</t>
  </si>
  <si>
    <t>08:04.80</t>
  </si>
  <si>
    <t>01:10.79</t>
  </si>
  <si>
    <t>07:49.60</t>
  </si>
  <si>
    <t>05:40.26</t>
  </si>
  <si>
    <t>00:53.14</t>
  </si>
  <si>
    <t>11:07.86</t>
  </si>
  <si>
    <t>06:11.11</t>
  </si>
  <si>
    <t>01:49.77</t>
  </si>
  <si>
    <t>08:31.56</t>
  </si>
  <si>
    <t>04:33.75</t>
  </si>
  <si>
    <t>00:45.63</t>
  </si>
  <si>
    <t>08:46.11</t>
  </si>
  <si>
    <t>05:24.48</t>
  </si>
  <si>
    <t>03:18.49</t>
  </si>
  <si>
    <t>05:39.45</t>
  </si>
  <si>
    <t>04:16.35</t>
  </si>
  <si>
    <t>01:01.03</t>
  </si>
  <si>
    <t>04:21.69</t>
  </si>
  <si>
    <t>03:45.85</t>
  </si>
  <si>
    <t>01:49.75</t>
  </si>
  <si>
    <t>09:43.02</t>
  </si>
  <si>
    <t>05:47.91</t>
  </si>
  <si>
    <t>01:00.64</t>
  </si>
  <si>
    <t>11:23.88</t>
  </si>
  <si>
    <t>07:37.47</t>
  </si>
  <si>
    <t>03:01.22</t>
  </si>
  <si>
    <t>13:36.60</t>
  </si>
  <si>
    <t>08:21.47</t>
  </si>
  <si>
    <t>00:44.42</t>
  </si>
  <si>
    <t>15:38.68</t>
  </si>
  <si>
    <t>07:19.91</t>
  </si>
  <si>
    <t>02:21.62</t>
  </si>
  <si>
    <t>05:24.07</t>
  </si>
  <si>
    <t>03:59.72</t>
  </si>
  <si>
    <t>01:04.31</t>
  </si>
  <si>
    <t>11:17.46</t>
  </si>
  <si>
    <t>05:16.97</t>
  </si>
  <si>
    <t>01:15.36</t>
  </si>
  <si>
    <t>08:30.56</t>
  </si>
  <si>
    <t>03:17.66</t>
  </si>
  <si>
    <t>00:57.83</t>
  </si>
  <si>
    <t>06:22.16</t>
  </si>
  <si>
    <t>05:27.89</t>
  </si>
  <si>
    <t>02:26.25</t>
  </si>
  <si>
    <t>09:03.95</t>
  </si>
  <si>
    <t>06:30.81</t>
  </si>
  <si>
    <t>00:43.16</t>
  </si>
  <si>
    <t>07:59.95</t>
  </si>
  <si>
    <t>07:46.72</t>
  </si>
  <si>
    <t>03:25.63</t>
  </si>
  <si>
    <t>09:22.03</t>
  </si>
  <si>
    <t>06:38.78</t>
  </si>
  <si>
    <t>00:49.15</t>
  </si>
  <si>
    <t>11:11.68</t>
  </si>
  <si>
    <t>05:40.23</t>
  </si>
  <si>
    <t>01:20.90</t>
  </si>
  <si>
    <t>BionicBack Principles</t>
  </si>
  <si>
    <t>--&gt; correct</t>
  </si>
  <si>
    <t>Apogee Principles</t>
  </si>
  <si>
    <t>BionicBack Principles in seconds</t>
  </si>
  <si>
    <t>Apogee Principles in seconds</t>
  </si>
  <si>
    <t>Average:</t>
  </si>
  <si>
    <t>BionicBack Static in seconds</t>
  </si>
  <si>
    <t>BionicBack Dynamic in seconds</t>
  </si>
  <si>
    <t>--&gt; correct now</t>
  </si>
  <si>
    <t>Apogee Static in seconds</t>
  </si>
  <si>
    <t>Apogee Dynamic in seconds</t>
  </si>
  <si>
    <t>-&gt; was incorrect</t>
  </si>
  <si>
    <t>Apogee Average Time Comparison</t>
  </si>
  <si>
    <t>BionicBack Average Time Comparison</t>
  </si>
  <si>
    <t>11:39.34</t>
  </si>
  <si>
    <t>10:26.94</t>
  </si>
  <si>
    <t>9:32.29</t>
  </si>
  <si>
    <t>7:33.35</t>
  </si>
  <si>
    <t>7:33.77</t>
  </si>
  <si>
    <t>8:16.68</t>
  </si>
  <si>
    <t>6:17.46</t>
  </si>
  <si>
    <t>5:02.46</t>
  </si>
  <si>
    <t>0:47.91</t>
  </si>
  <si>
    <t>0:31.03</t>
  </si>
  <si>
    <t>5:46.03</t>
  </si>
  <si>
    <t>5:57.67</t>
  </si>
  <si>
    <t>6:15.54</t>
  </si>
  <si>
    <t>BB Activation</t>
  </si>
  <si>
    <t>4:25.74</t>
  </si>
  <si>
    <t>4:52.22</t>
  </si>
  <si>
    <t>5:25.22</t>
  </si>
  <si>
    <t>1:42.27</t>
  </si>
  <si>
    <t>2:03.06</t>
  </si>
  <si>
    <t>2:11.98</t>
  </si>
  <si>
    <t>1:05.14</t>
  </si>
  <si>
    <t>0:46.07</t>
  </si>
  <si>
    <t>0:51.89</t>
  </si>
  <si>
    <t>-&gt; incorrect</t>
  </si>
  <si>
    <t>10:47.46</t>
  </si>
  <si>
    <t>5:18.07</t>
  </si>
  <si>
    <t>1:32.33</t>
  </si>
  <si>
    <t>Study 1: Static instruction format</t>
  </si>
  <si>
    <t>Study 1: Static vs Dynamic instruction format</t>
  </si>
  <si>
    <t>Study 2: Dynamic Principles</t>
  </si>
  <si>
    <t>Column 11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</si>
  <si>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</si>
  <si>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</si>
  <si>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</si>
  <si>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</si>
  <si>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</si>
  <si>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</si>
  <si>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</si>
  <si>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</si>
  <si>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</si>
  <si>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Max</t>
  </si>
  <si>
    <t>Male:</t>
  </si>
  <si>
    <t>Left:</t>
  </si>
  <si>
    <t>Exoskeletons:</t>
  </si>
  <si>
    <t>Average</t>
  </si>
  <si>
    <t>Standard deviation</t>
  </si>
  <si>
    <t>Female:</t>
  </si>
  <si>
    <t>Right:</t>
  </si>
  <si>
    <t>Climbing Gears</t>
  </si>
  <si>
    <t>min:</t>
  </si>
  <si>
    <t>Ambidexreous:</t>
  </si>
  <si>
    <t>Safety harnesses</t>
  </si>
  <si>
    <t>both cg and sh</t>
  </si>
  <si>
    <t>Min</t>
  </si>
  <si>
    <t>1</t>
  </si>
  <si>
    <t>both ex and cg</t>
  </si>
  <si>
    <t>Participant</t>
  </si>
  <si>
    <t>Study &amp; Order</t>
  </si>
  <si>
    <t>Did we help during troubleshooting?</t>
  </si>
  <si>
    <t xml:space="preserve">Apogee Questions </t>
  </si>
  <si>
    <t>Apogee Final Fit (before activation)</t>
  </si>
  <si>
    <t>Apogee Errors</t>
  </si>
  <si>
    <t>Apogee Struggles</t>
  </si>
  <si>
    <t>Final Fit-Check Options</t>
  </si>
  <si>
    <t>BionicBack Questions</t>
  </si>
  <si>
    <t>BionicBack Final Fit (before activation)</t>
  </si>
  <si>
    <t>BionicBack Struggles</t>
  </si>
  <si>
    <t>BionicBack Errors</t>
  </si>
  <si>
    <t>BionicBack Errors - Recoded</t>
  </si>
  <si>
    <t xml:space="preserve">Apogee Competence Deductions: </t>
  </si>
  <si>
    <t xml:space="preserve">Apogee Confidence Deductions: </t>
  </si>
  <si>
    <t xml:space="preserve">BionicBack Competence Deductions: </t>
  </si>
  <si>
    <t>BionicBack Confidence Deductions:</t>
  </si>
  <si>
    <t>Apogee: Given Competence Score</t>
  </si>
  <si>
    <t>Apogee: Given Confidence Score</t>
  </si>
  <si>
    <t>Apogee: Overall Score</t>
  </si>
  <si>
    <t>BionicBack: Given Competence Score</t>
  </si>
  <si>
    <t>BionicBack: Given Confidence Score</t>
  </si>
  <si>
    <t>BionicBack: Overall Score</t>
  </si>
  <si>
    <t>dynamic</t>
  </si>
  <si>
    <t>B-Gifs vs A-Pics</t>
  </si>
  <si>
    <t>-</t>
  </si>
  <si>
    <t>BionicBack: Yes it fits well.</t>
  </si>
  <si>
    <t>Elastic band(s) twisted</t>
  </si>
  <si>
    <t>Dynamic Activation: Pulling both straps</t>
  </si>
  <si>
    <t>Dynamic: Static Support Activated</t>
  </si>
  <si>
    <t>static</t>
  </si>
  <si>
    <t>B-Pics vs A-Gifs</t>
  </si>
  <si>
    <t>When struggling</t>
  </si>
  <si>
    <t>Leg Pad(s) too loose</t>
  </si>
  <si>
    <t>Belt positioning: too low</t>
  </si>
  <si>
    <t>Pulling the Leg Bars forward</t>
  </si>
  <si>
    <t>Chest strap not in place, Chest strap not tucked away, Elastic Bands too loose, Leg pads not centered, Leg pads too loose</t>
  </si>
  <si>
    <t>Activation Straps + Buckle</t>
  </si>
  <si>
    <t>A-Pics vs B-Gifs</t>
  </si>
  <si>
    <t>Leg Pads not centered</t>
  </si>
  <si>
    <t>Tucking away straps</t>
  </si>
  <si>
    <t>Yes</t>
  </si>
  <si>
    <t>A lot, When struggling</t>
  </si>
  <si>
    <t>Back Plate too high, Belt positioning: too low</t>
  </si>
  <si>
    <t>Clipping the Leg Pads</t>
  </si>
  <si>
    <t>Belt Buckle not centered, Elastic Bands too loose</t>
  </si>
  <si>
    <t>Elastic Band</t>
  </si>
  <si>
    <t>Apogee: Yes it fits well., BionicBack: Yes it fits well.</t>
  </si>
  <si>
    <t>Hip belt strap not tucked away</t>
  </si>
  <si>
    <t>Dynamic: Pulled both but only activated Dynamic</t>
  </si>
  <si>
    <t>Dynamic: Pulled both straps</t>
  </si>
  <si>
    <t>A-Gifs vs B-Pics</t>
  </si>
  <si>
    <t>Belt Buckle not centered</t>
  </si>
  <si>
    <t>Pushing the Leg Bars back</t>
  </si>
  <si>
    <t>Belt Buckle not centered, Chest strap not in place, Elastic Bands too loose, Leg pads too loose</t>
  </si>
  <si>
    <t>Tightening Hip Belt Strap</t>
  </si>
  <si>
    <t>Dynamic Activation: Not closing the clasp, Dynamic Activation: Pulling both straps, Static Activation: Not closing the clasp</t>
  </si>
  <si>
    <t>Dynamic: Dynamic Support not activated, Dynamic: Pulled both straps, Static: Static Support not activated</t>
  </si>
  <si>
    <t>Strap tucked in the bag</t>
  </si>
  <si>
    <t>Clipping the Leg Pads, Pulling the Leg Bars forward</t>
  </si>
  <si>
    <t>Belt positioning: too high</t>
  </si>
  <si>
    <t>Back Plate too high</t>
  </si>
  <si>
    <t>Apogee: Yes it fits well.</t>
  </si>
  <si>
    <t>Shoulder strap in loop but still hanging loose</t>
  </si>
  <si>
    <t>Dynamic Activation: Not closing the clasp, Shoulder Straps too loose, Static Activation: Not closing the clasp</t>
  </si>
  <si>
    <t>Dynamic: Dynamic Support not activated, Static: Static Support not activated</t>
  </si>
  <si>
    <t>Didn't Empty Pockets</t>
  </si>
  <si>
    <t>Leg pads not centered</t>
  </si>
  <si>
    <t>Straps in loop but still hanging loose</t>
  </si>
  <si>
    <t>Yes he didn't even scroll through them.</t>
  </si>
  <si>
    <t>Clipping the Leg Pads, Pulling the Leg Bars forward, UI Navigation</t>
  </si>
  <si>
    <t>Chest strap not in place, Hip belt strap not tucked away, Straps in loop but still hanging loose</t>
  </si>
  <si>
    <t>Activation Straps + Buckle, Elastic Band, Finding Leg Loops, Tightening Hip Belt Strap</t>
  </si>
  <si>
    <t>Elastic Bands too loose, Elastic band(s) twisted</t>
  </si>
  <si>
    <t>Static Activation: Deactivated Dynamic</t>
  </si>
  <si>
    <t>Static: Dynamic Support Deactivated</t>
  </si>
  <si>
    <t>Finding Leg Loops, Tucking away straps</t>
  </si>
  <si>
    <t>UI Navigation</t>
  </si>
  <si>
    <t>Pushing the Leg Bars back, UI Navigation</t>
  </si>
  <si>
    <t>Shoulder straps not tucked away</t>
  </si>
  <si>
    <t>Elastic Band, Finding Leg Loops, Tightening Hip Belt Strap</t>
  </si>
  <si>
    <t>Belt positioning: too low, Strap tucked in the bag</t>
  </si>
  <si>
    <t>Chest strap not in place, Hip belt strap not tucked away, Shoulder strap in loop but still hanging loose</t>
  </si>
  <si>
    <t>No he attached the leg pads and navigated back</t>
  </si>
  <si>
    <t>Elastic Bands too loose</t>
  </si>
  <si>
    <t>Elastic Band, Tucking away straps</t>
  </si>
  <si>
    <t>Tucking away straps: Exo too big</t>
  </si>
  <si>
    <t>principles</t>
  </si>
  <si>
    <t>B-A Principles</t>
  </si>
  <si>
    <t>Grey tab clipped to the edge of Leg Pad</t>
  </si>
  <si>
    <t>A-B Principles</t>
  </si>
  <si>
    <t>Dynamic Activation: Not closing the clasp, Static Activation: Not closing the clasp</t>
  </si>
  <si>
    <t>Elastic Band, Finding Leg Loops</t>
  </si>
  <si>
    <t>Chest strap not in place</t>
  </si>
  <si>
    <t>Belt positioning: too low, Grey tab clipped to the edge of Leg Pad</t>
  </si>
  <si>
    <t>Chest strap not in place, Leg pads not centered</t>
  </si>
  <si>
    <t>Belt Buckle not centered, Belt positioning: too low</t>
  </si>
  <si>
    <t>Pulling the Leg Bars forward, Tightening the Leg Pads</t>
  </si>
  <si>
    <t>Chest Strap Design Change, Tightening Hip Belt Strap, Tucking away straps: Exo too big</t>
  </si>
  <si>
    <t>Clipping the Leg Pads, Tightening the Leg Pads</t>
  </si>
  <si>
    <t>Back Plate too low, Leg Pads not centered</t>
  </si>
  <si>
    <t>Belt Buckle not centered, Chest strap not in place, Elastic band(s) twisted, Leg pads not centered</t>
  </si>
  <si>
    <t>Chest Strap Design Change</t>
  </si>
  <si>
    <t>Average scores:</t>
  </si>
  <si>
    <t>Low confidence → suggested human assistance?</t>
  </si>
  <si>
    <t>Formula: 1+round((16-deductions)/16*9)</t>
  </si>
  <si>
    <t>Formula: 1+round((2.5-deductions)/2.5*9)</t>
  </si>
  <si>
    <t>Formula: (0.7*Competence) + (0.3*Confidence)</t>
  </si>
  <si>
    <t>Formula: 1+round((22.5-deductions)/22.5*9)</t>
  </si>
  <si>
    <t>leg pads not centered: 12</t>
  </si>
  <si>
    <t>belt position: too low: 9</t>
  </si>
  <si>
    <t>pulling leg bars forward: 6</t>
  </si>
  <si>
    <t>Belt Buckle not centered: 3</t>
  </si>
  <si>
    <t>Elastic Band: 6</t>
  </si>
  <si>
    <t>Dynamic: Dynamic support not activated (clasp not close): 7</t>
  </si>
  <si>
    <t>❌ P02</t>
  </si>
  <si>
    <t>leg pads too loose: 2</t>
  </si>
  <si>
    <t>leg pads not centered: 1</t>
  </si>
  <si>
    <t>clipping leg pads: 12</t>
  </si>
  <si>
    <t>Chest strap not in place: 8</t>
  </si>
  <si>
    <t>Tightening Hip Belt Strap: 6</t>
  </si>
  <si>
    <t>Dynamic: Static support activated: 6</t>
  </si>
  <si>
    <t>✅ P05</t>
  </si>
  <si>
    <t>back plate too low: 1</t>
  </si>
  <si>
    <t>back plate too high: 2</t>
  </si>
  <si>
    <t>pushing leg bars back: 3</t>
  </si>
  <si>
    <t>Elastic band(s) twisted: 4</t>
  </si>
  <si>
    <t>tucking away straps: 5 + 4 (exo too big)</t>
  </si>
  <si>
    <t>Static: Static support not activated: 7</t>
  </si>
  <si>
    <t>✅ P11</t>
  </si>
  <si>
    <t>back plate too high: 1</t>
  </si>
  <si>
    <t>strap in bag: 3</t>
  </si>
  <si>
    <t>ui nav: 6</t>
  </si>
  <si>
    <t>Leg pads not centered: 5</t>
  </si>
  <si>
    <t>finding leg loops: 4</t>
  </si>
  <si>
    <t>Static: Dynamic support deactivated: 1</t>
  </si>
  <si>
    <t>❌ P14</t>
  </si>
  <si>
    <t>belt buckle not centered: 2</t>
  </si>
  <si>
    <t>belt position: too high: 1</t>
  </si>
  <si>
    <t>tightening the leg pads: 2</t>
  </si>
  <si>
    <t>Elastic band too loose: 7</t>
  </si>
  <si>
    <t>activation straps + buckle: 3</t>
  </si>
  <si>
    <t>Dynamic: Pulled both straps: 6</t>
  </si>
  <si>
    <t>didnt empty pockets: 2</t>
  </si>
  <si>
    <t>Straps loose/not tucked away: 7</t>
  </si>
  <si>
    <t>chest strap design: 2</t>
  </si>
  <si>
    <t>Shoulder straps too loose: 1</t>
  </si>
  <si>
    <t>grey tab : 3</t>
  </si>
  <si>
    <t>Leg pads too loose: 2</t>
  </si>
  <si>
    <t>belt buckle not centered: 1</t>
  </si>
  <si>
    <t>Dynamic Competence</t>
  </si>
  <si>
    <t>Dynamic Confidence</t>
  </si>
  <si>
    <t>Dynamic Overall</t>
  </si>
  <si>
    <t>Static Competence</t>
  </si>
  <si>
    <t>Static Confidence</t>
  </si>
  <si>
    <t>Static Overall</t>
  </si>
  <si>
    <t>Demographics + Experience</t>
  </si>
  <si>
    <t>Standardized Questionnaires</t>
  </si>
  <si>
    <t>Competence + Confidence Scores</t>
  </si>
  <si>
    <t>Mean ATI Score</t>
  </si>
  <si>
    <t>P1: SEQ</t>
  </si>
  <si>
    <t>P2: SEQ</t>
  </si>
  <si>
    <t>P1: NASA-TLX</t>
  </si>
  <si>
    <t>P2: NASA-TLX</t>
  </si>
  <si>
    <t>P1: SUS</t>
  </si>
  <si>
    <t>P2: SUS</t>
  </si>
  <si>
    <t>P1: UEQ</t>
  </si>
  <si>
    <t>P2: UEQ</t>
  </si>
  <si>
    <t>Apogee: Competence Score</t>
  </si>
  <si>
    <t>Apogee: Confidence Score</t>
  </si>
  <si>
    <t>BionicBack: Competence Score</t>
  </si>
  <si>
    <t>BionicBack: Confidence Score</t>
  </si>
  <si>
    <t>Study</t>
  </si>
  <si>
    <t>Instruction Type</t>
  </si>
  <si>
    <t>Instruction Format</t>
  </si>
  <si>
    <t>Ins Format Coded</t>
  </si>
  <si>
    <t>Exoskeleton</t>
  </si>
  <si>
    <t>Exoskeleton Coded</t>
  </si>
  <si>
    <t xml:space="preserve">SEQ </t>
  </si>
  <si>
    <t>Donning Time</t>
  </si>
  <si>
    <t>Activation Time</t>
  </si>
  <si>
    <t>Doffing Time</t>
  </si>
  <si>
    <t>Competence Score</t>
  </si>
  <si>
    <t>Confidence Score</t>
  </si>
  <si>
    <t>Overall Score</t>
  </si>
  <si>
    <t>Study 1 Part 1</t>
  </si>
  <si>
    <t>Study 1 Part 2</t>
  </si>
  <si>
    <t>Study 2 Part 1</t>
  </si>
  <si>
    <t>3</t>
  </si>
  <si>
    <t>0</t>
  </si>
  <si>
    <t>Study 2 Part 2</t>
  </si>
  <si>
    <t>procedural = 0</t>
  </si>
  <si>
    <t>principle = 1</t>
  </si>
  <si>
    <t>Apogee SEQ</t>
  </si>
  <si>
    <t>BionicBack SEQ</t>
  </si>
  <si>
    <t>Apogee NASA</t>
  </si>
  <si>
    <t>BionicBack NASA</t>
  </si>
  <si>
    <t>Apogee SUS</t>
  </si>
  <si>
    <t>BionicBack SUS</t>
  </si>
  <si>
    <t>Apogee UEQ-S</t>
  </si>
  <si>
    <t>BionicBack UEQ-S</t>
  </si>
  <si>
    <t>BB Donning Seconds</t>
  </si>
  <si>
    <t>BB Straps + Act Seconds</t>
  </si>
  <si>
    <t>BB Doff Seconds</t>
  </si>
  <si>
    <t>A Donn Seconds</t>
  </si>
  <si>
    <t>A Activation Seconds</t>
  </si>
  <si>
    <t>A Doff Seconds</t>
  </si>
  <si>
    <t>Dynamic SEQ</t>
  </si>
  <si>
    <t>Static SEQ</t>
  </si>
  <si>
    <t>Dynamic NASA</t>
  </si>
  <si>
    <t>Static NASA</t>
  </si>
  <si>
    <t>SUS Dynamic</t>
  </si>
  <si>
    <t>SUS Static</t>
  </si>
  <si>
    <t>Dynamic UEQ</t>
  </si>
  <si>
    <t>Static UEQ</t>
  </si>
  <si>
    <t>Dynamic Donning</t>
  </si>
  <si>
    <t>Dynamic Activation</t>
  </si>
  <si>
    <t>Dynamic Doffing</t>
  </si>
  <si>
    <t>Static Donning</t>
  </si>
  <si>
    <t>Static Activation</t>
  </si>
  <si>
    <t>Static Doffing</t>
  </si>
  <si>
    <t xml:space="preserve">Study </t>
  </si>
  <si>
    <t>Coded Exoskeleton</t>
  </si>
  <si>
    <t xml:space="preserve">Doffing Time </t>
  </si>
  <si>
    <t>Procedural + Dynamic</t>
  </si>
  <si>
    <t>Questionnaire</t>
  </si>
  <si>
    <t>Scores</t>
  </si>
  <si>
    <t xml:space="preserve">Instruction Type </t>
  </si>
  <si>
    <t>BionicBack</t>
  </si>
  <si>
    <t>Apogee</t>
  </si>
  <si>
    <t>AVERAGE of Scores</t>
  </si>
  <si>
    <t>Grand Total</t>
  </si>
  <si>
    <t>Apogee UEQ</t>
  </si>
  <si>
    <t>BionicBack UEQ</t>
  </si>
  <si>
    <t>Apogee Competence Score</t>
  </si>
  <si>
    <t>Apogee Confidence Score</t>
  </si>
  <si>
    <t>Apogee Overall Score</t>
  </si>
  <si>
    <t>BionicBack Competence Score</t>
  </si>
  <si>
    <t>BionicBack Confidence Score</t>
  </si>
  <si>
    <t>BionicBack Overall Score</t>
  </si>
  <si>
    <t>Apogee Don Time</t>
  </si>
  <si>
    <t>Apogee Activation Time</t>
  </si>
  <si>
    <t>Apogee Doff Time</t>
  </si>
  <si>
    <t>BionicBack Don Time</t>
  </si>
  <si>
    <t>BionicBack Activation Time</t>
  </si>
  <si>
    <t>BionicBack Doff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</si>
</sst>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3">
    <font>
      <sz val="10.0"/>
      <color rgb="FF000000"/>
      <name val="Arial"/>
      <scheme val="minor"/>
    </font>
    <font>
      <sz val="12.0"/>
      <color rgb="FF000000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Helvetica Neue"/>
    </font>
    <font>
      <color theme="1"/>
      <name val="Helvetica Neue"/>
    </font>
    <font>
      <b/>
      <color theme="1"/>
      <name val="Arial"/>
    </font>
    <font>
      <color theme="1"/>
      <name val="Arial"/>
    </font>
    <font>
      <b/>
      <color rgb="FFA64D79"/>
      <name val="Arial"/>
      <scheme val="minor"/>
    </font>
    <font>
      <color rgb="FF1F1F1F"/>
      <name val="&quot;Google Sans&quot;"/>
    </font>
  </fonts>
  <fills count="27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4C7C3"/>
        <bgColor rgb="FFF4C7C3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0F4F9"/>
        <bgColor rgb="FFF0F4F9"/>
      </patternFill>
    </fill>
  </fills>
  <borders count="6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  <border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3F3F3F"/>
      </bottom>
    </border>
    <border>
      <top style="thin">
        <color rgb="FFA5A5A5"/>
      </top>
      <bottom style="thin">
        <color rgb="FF3F3F3F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double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double">
        <color rgb="FF000000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5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shrinkToFit="0" vertical="top" wrapText="0"/>
    </xf>
    <xf borderId="1" fillId="2" fontId="2" numFmtId="49" xfId="0" applyAlignment="1" applyBorder="1" applyFont="1" applyNumberFormat="1">
      <alignment shrinkToFit="0" vertical="top" wrapText="1"/>
    </xf>
    <xf borderId="1" fillId="2" fontId="2" numFmtId="0" xfId="0" applyAlignment="1" applyBorder="1" applyFont="1">
      <alignment shrinkToFit="0" vertical="top" wrapText="0"/>
    </xf>
    <xf borderId="2" fillId="3" fontId="2" numFmtId="49" xfId="0" applyAlignment="1" applyBorder="1" applyFill="1" applyFont="1" applyNumberFormat="1">
      <alignment shrinkToFit="0" vertical="top" wrapText="0"/>
    </xf>
    <xf borderId="3" fillId="0" fontId="3" numFmtId="0" xfId="0" applyAlignment="1" applyBorder="1" applyFont="1">
      <alignment shrinkToFit="0" vertical="top" wrapText="0"/>
    </xf>
    <xf borderId="4" fillId="0" fontId="3" numFmtId="0" xfId="0" applyAlignment="1" applyBorder="1" applyFont="1">
      <alignment shrinkToFit="0" vertical="top" wrapText="0"/>
    </xf>
    <xf borderId="4" fillId="0" fontId="3" numFmtId="49" xfId="0" applyAlignment="1" applyBorder="1" applyFont="1" applyNumberFormat="1">
      <alignment shrinkToFit="0" vertical="top" wrapText="0"/>
    </xf>
    <xf borderId="5" fillId="3" fontId="2" numFmtId="49" xfId="0" applyAlignment="1" applyBorder="1" applyFont="1" applyNumberFormat="1">
      <alignment shrinkToFit="0" vertical="top" wrapText="0"/>
    </xf>
    <xf borderId="6" fillId="0" fontId="3" numFmtId="0" xfId="0" applyAlignment="1" applyBorder="1" applyFont="1">
      <alignment shrinkToFit="0" vertical="top" wrapText="0"/>
    </xf>
    <xf borderId="7" fillId="0" fontId="3" numFmtId="0" xfId="0" applyAlignment="1" applyBorder="1" applyFont="1">
      <alignment shrinkToFit="0" vertical="top" wrapText="0"/>
    </xf>
    <xf borderId="7" fillId="0" fontId="3" numFmtId="49" xfId="0" applyAlignment="1" applyBorder="1" applyFont="1" applyNumberFormat="1">
      <alignment shrinkToFit="0" vertical="top" wrapText="0"/>
    </xf>
    <xf borderId="5" fillId="4" fontId="2" numFmtId="49" xfId="0" applyAlignment="1" applyBorder="1" applyFill="1" applyFont="1" applyNumberFormat="1">
      <alignment shrinkToFit="0" vertical="top" wrapText="0"/>
    </xf>
    <xf borderId="6" fillId="4" fontId="3" numFmtId="0" xfId="0" applyAlignment="1" applyBorder="1" applyFont="1">
      <alignment shrinkToFit="0" vertical="top" wrapText="0"/>
    </xf>
    <xf borderId="7" fillId="4" fontId="3" numFmtId="0" xfId="0" applyAlignment="1" applyBorder="1" applyFont="1">
      <alignment shrinkToFit="0" vertical="top" wrapText="0"/>
    </xf>
    <xf borderId="7" fillId="4" fontId="3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4" numFmtId="0" xfId="0" applyAlignment="1" applyFill="1" applyFont="1">
      <alignment horizontal="center" readingOrder="0"/>
    </xf>
    <xf borderId="0" fillId="0" fontId="4" numFmtId="0" xfId="0" applyFont="1"/>
    <xf borderId="0" fillId="6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10" fillId="0" fontId="5" numFmtId="0" xfId="0" applyBorder="1" applyFont="1"/>
    <xf borderId="11" fillId="0" fontId="5" numFmtId="0" xfId="0" applyBorder="1" applyFont="1"/>
    <xf borderId="10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3" fillId="0" fontId="4" numFmtId="0" xfId="0" applyAlignment="1" applyBorder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9" fontId="4" numFmtId="0" xfId="0" applyAlignment="1" applyFont="1">
      <alignment horizontal="right" readingOrder="0"/>
    </xf>
    <xf borderId="0" fillId="9" fontId="4" numFmtId="0" xfId="0" applyAlignment="1" applyFont="1">
      <alignment horizontal="left" readingOrder="0"/>
    </xf>
    <xf borderId="0" fillId="9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9" fontId="4" numFmtId="0" xfId="0" applyAlignment="1" applyFont="1">
      <alignment horizontal="center" readingOrder="0"/>
    </xf>
    <xf borderId="13" fillId="9" fontId="4" numFmtId="0" xfId="0" applyAlignment="1" applyBorder="1" applyFont="1">
      <alignment horizontal="center" readingOrder="0" shrinkToFit="0" vertical="center" wrapText="1"/>
    </xf>
    <xf borderId="0" fillId="9" fontId="4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horizontal="center" readingOrder="0" shrinkToFit="0" vertical="center" wrapText="1"/>
    </xf>
    <xf borderId="8" fillId="9" fontId="4" numFmtId="0" xfId="0" applyAlignment="1" applyBorder="1" applyFont="1">
      <alignment horizontal="center" readingOrder="0" shrinkToFit="0" vertical="center" wrapText="1"/>
    </xf>
    <xf borderId="0" fillId="9" fontId="4" numFmtId="49" xfId="0" applyAlignment="1" applyFont="1" applyNumberFormat="1">
      <alignment horizontal="center" shrinkToFit="0" vertical="center" wrapText="1"/>
    </xf>
    <xf borderId="8" fillId="9" fontId="4" numFmtId="49" xfId="0" applyAlignment="1" applyBorder="1" applyFont="1" applyNumberFormat="1">
      <alignment horizontal="center" shrinkToFit="0" vertical="center" wrapText="1"/>
    </xf>
    <xf borderId="13" fillId="9" fontId="4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/>
    </xf>
    <xf borderId="0" fillId="10" fontId="6" numFmtId="0" xfId="0" applyAlignment="1" applyFill="1" applyFont="1">
      <alignment horizontal="right" readingOrder="0"/>
    </xf>
    <xf borderId="0" fillId="10" fontId="6" numFmtId="0" xfId="0" applyAlignment="1" applyFont="1">
      <alignment horizontal="left" readingOrder="0"/>
    </xf>
    <xf borderId="0" fillId="11" fontId="6" numFmtId="0" xfId="0" applyAlignment="1" applyFill="1" applyFont="1">
      <alignment horizontal="right" readingOrder="0"/>
    </xf>
    <xf borderId="0" fillId="11" fontId="6" numFmtId="0" xfId="0" applyAlignment="1" applyFont="1">
      <alignment horizontal="left" readingOrder="0"/>
    </xf>
    <xf borderId="0" fillId="7" fontId="6" numFmtId="0" xfId="0" applyAlignment="1" applyFont="1">
      <alignment readingOrder="0"/>
    </xf>
    <xf borderId="0" fillId="12" fontId="6" numFmtId="0" xfId="0" applyAlignment="1" applyFill="1" applyFont="1">
      <alignment readingOrder="0"/>
    </xf>
    <xf borderId="0" fillId="12" fontId="6" numFmtId="0" xfId="0" applyAlignment="1" applyFont="1">
      <alignment horizontal="center"/>
    </xf>
    <xf borderId="0" fillId="0" fontId="6" numFmtId="0" xfId="0" applyAlignment="1" applyFont="1">
      <alignment horizontal="left" readingOrder="0"/>
    </xf>
    <xf borderId="0" fillId="8" fontId="6" numFmtId="0" xfId="0" applyAlignment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13" fillId="6" fontId="6" numFmtId="0" xfId="0" applyAlignment="1" applyBorder="1" applyFont="1">
      <alignment horizontal="center" readingOrder="0"/>
    </xf>
    <xf borderId="0" fillId="6" fontId="6" numFmtId="0" xfId="0" applyAlignment="1" applyFont="1">
      <alignment horizontal="center" readingOrder="0"/>
    </xf>
    <xf borderId="8" fillId="14" fontId="6" numFmtId="2" xfId="0" applyAlignment="1" applyBorder="1" applyFill="1" applyFont="1" applyNumberFormat="1">
      <alignment horizontal="center" readingOrder="0"/>
    </xf>
    <xf borderId="13" fillId="6" fontId="6" numFmtId="0" xfId="0" applyAlignment="1" applyBorder="1" applyFont="1">
      <alignment horizontal="center"/>
    </xf>
    <xf borderId="0" fillId="6" fontId="6" numFmtId="0" xfId="0" applyAlignment="1" applyFont="1">
      <alignment horizontal="center"/>
    </xf>
    <xf borderId="8" fillId="0" fontId="6" numFmtId="0" xfId="0" applyAlignment="1" applyBorder="1" applyFont="1">
      <alignment readingOrder="0"/>
    </xf>
    <xf borderId="0" fillId="0" fontId="6" numFmtId="0" xfId="0" applyFont="1"/>
    <xf borderId="8" fillId="0" fontId="6" numFmtId="0" xfId="0" applyBorder="1" applyFont="1"/>
    <xf borderId="13" fillId="0" fontId="6" numFmtId="0" xfId="0" applyBorder="1" applyFont="1"/>
    <xf quotePrefix="1" borderId="0" fillId="0" fontId="6" numFmtId="0" xfId="0" applyAlignment="1" applyFont="1">
      <alignment horizontal="center" readingOrder="0"/>
    </xf>
    <xf borderId="14" fillId="6" fontId="6" numFmtId="0" xfId="0" applyAlignment="1" applyBorder="1" applyFont="1">
      <alignment horizontal="center" readingOrder="0"/>
    </xf>
    <xf borderId="15" fillId="6" fontId="6" numFmtId="0" xfId="0" applyAlignment="1" applyBorder="1" applyFont="1">
      <alignment horizontal="center" readingOrder="0"/>
    </xf>
    <xf borderId="16" fillId="14" fontId="6" numFmtId="2" xfId="0" applyAlignment="1" applyBorder="1" applyFont="1" applyNumberFormat="1">
      <alignment horizontal="center" readingOrder="0"/>
    </xf>
    <xf borderId="14" fillId="6" fontId="6" numFmtId="0" xfId="0" applyAlignment="1" applyBorder="1" applyFont="1">
      <alignment horizontal="center"/>
    </xf>
    <xf borderId="15" fillId="6" fontId="6" numFmtId="0" xfId="0" applyAlignment="1" applyBorder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4" fillId="0" fontId="6" numFmtId="0" xfId="0" applyBorder="1" applyFont="1"/>
    <xf borderId="0" fillId="0" fontId="6" numFmtId="0" xfId="0" applyAlignment="1" applyFont="1">
      <alignment horizontal="center"/>
    </xf>
    <xf borderId="0" fillId="15" fontId="6" numFmtId="0" xfId="0" applyAlignment="1" applyFill="1" applyFont="1">
      <alignment horizontal="right"/>
    </xf>
    <xf borderId="0" fillId="15" fontId="6" numFmtId="0" xfId="0" applyAlignment="1" applyFont="1">
      <alignment horizontal="left"/>
    </xf>
    <xf borderId="0" fillId="9" fontId="4" numFmtId="49" xfId="0" applyAlignment="1" applyFont="1" applyNumberFormat="1">
      <alignment horizontal="center" readingOrder="0" shrinkToFit="0" vertical="center" wrapText="1"/>
    </xf>
    <xf borderId="8" fillId="9" fontId="4" numFmtId="49" xfId="0" applyAlignment="1" applyBorder="1" applyFont="1" applyNumberFormat="1">
      <alignment horizontal="center" readingOrder="0" shrinkToFit="0" vertical="center" wrapText="1"/>
    </xf>
    <xf borderId="0" fillId="15" fontId="6" numFmtId="0" xfId="0" applyAlignment="1" applyFont="1">
      <alignment horizontal="right" readingOrder="0"/>
    </xf>
    <xf borderId="0" fillId="15" fontId="6" numFmtId="0" xfId="0" applyAlignment="1" applyFont="1">
      <alignment horizontal="left" readingOrder="0"/>
    </xf>
    <xf borderId="13" fillId="0" fontId="6" numFmtId="2" xfId="0" applyBorder="1" applyFont="1" applyNumberFormat="1"/>
    <xf borderId="0" fillId="0" fontId="6" numFmtId="2" xfId="0" applyFont="1" applyNumberFormat="1"/>
    <xf borderId="8" fillId="14" fontId="6" numFmtId="2" xfId="0" applyBorder="1" applyFont="1" applyNumberFormat="1"/>
    <xf borderId="0" fillId="0" fontId="6" numFmtId="2" xfId="0" applyAlignment="1" applyFont="1" applyNumberFormat="1">
      <alignment horizontal="center"/>
    </xf>
    <xf borderId="8" fillId="0" fontId="6" numFmtId="2" xfId="0" applyAlignment="1" applyBorder="1" applyFont="1" applyNumberFormat="1">
      <alignment horizontal="center"/>
    </xf>
    <xf borderId="0" fillId="0" fontId="6" numFmtId="1" xfId="0" applyFont="1" applyNumberFormat="1"/>
    <xf borderId="8" fillId="0" fontId="6" numFmtId="1" xfId="0" applyBorder="1" applyFont="1" applyNumberFormat="1"/>
    <xf borderId="8" fillId="4" fontId="6" numFmtId="2" xfId="0" applyBorder="1" applyFont="1" applyNumberFormat="1"/>
    <xf borderId="13" fillId="0" fontId="6" numFmtId="1" xfId="0" applyBorder="1" applyFont="1" applyNumberFormat="1"/>
    <xf quotePrefix="1" borderId="0" fillId="4" fontId="6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14" fillId="0" fontId="6" numFmtId="2" xfId="0" applyBorder="1" applyFont="1" applyNumberFormat="1"/>
    <xf borderId="15" fillId="0" fontId="6" numFmtId="2" xfId="0" applyBorder="1" applyFont="1" applyNumberFormat="1"/>
    <xf borderId="16" fillId="14" fontId="6" numFmtId="2" xfId="0" applyBorder="1" applyFont="1" applyNumberFormat="1"/>
    <xf borderId="15" fillId="0" fontId="6" numFmtId="1" xfId="0" applyBorder="1" applyFont="1" applyNumberFormat="1"/>
    <xf borderId="16" fillId="0" fontId="6" numFmtId="1" xfId="0" applyBorder="1" applyFont="1" applyNumberFormat="1"/>
    <xf borderId="16" fillId="4" fontId="6" numFmtId="2" xfId="0" applyBorder="1" applyFont="1" applyNumberFormat="1"/>
    <xf borderId="14" fillId="0" fontId="6" numFmtId="1" xfId="0" applyBorder="1" applyFont="1" applyNumberForma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16" fontId="4" numFmtId="0" xfId="0" applyAlignment="1" applyFill="1" applyFont="1">
      <alignment horizontal="center" readingOrder="0"/>
    </xf>
    <xf borderId="0" fillId="17" fontId="6" numFmtId="2" xfId="0" applyFill="1" applyFont="1" applyNumberForma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1" fillId="2" fontId="7" numFmtId="49" xfId="0" applyAlignment="1" applyBorder="1" applyFont="1" applyNumberFormat="1">
      <alignment shrinkToFit="0" vertical="top" wrapText="1"/>
    </xf>
    <xf borderId="1" fillId="0" fontId="7" numFmtId="49" xfId="0" applyAlignment="1" applyBorder="1" applyFont="1" applyNumberFormat="1">
      <alignment shrinkToFit="0" vertical="top" wrapText="1"/>
    </xf>
    <xf borderId="6" fillId="4" fontId="8" numFmtId="0" xfId="0" applyAlignment="1" applyBorder="1" applyFont="1">
      <alignment horizontal="right" vertical="top"/>
    </xf>
    <xf borderId="7" fillId="6" fontId="8" numFmtId="49" xfId="0" applyAlignment="1" applyBorder="1" applyFont="1" applyNumberFormat="1">
      <alignment vertical="top"/>
    </xf>
    <xf borderId="7" fillId="6" fontId="8" numFmtId="0" xfId="0" applyAlignment="1" applyBorder="1" applyFont="1">
      <alignment horizontal="right" vertical="top"/>
    </xf>
    <xf borderId="7" fillId="0" fontId="8" numFmtId="49" xfId="0" applyAlignment="1" applyBorder="1" applyFont="1" applyNumberFormat="1">
      <alignment vertical="top"/>
    </xf>
    <xf borderId="7" fillId="12" fontId="8" numFmtId="0" xfId="0" applyAlignment="1" applyBorder="1" applyFont="1">
      <alignment horizontal="right" vertical="top"/>
    </xf>
    <xf borderId="7" fillId="12" fontId="8" numFmtId="49" xfId="0" applyAlignment="1" applyBorder="1" applyFont="1" applyNumberFormat="1">
      <alignment vertical="top"/>
    </xf>
    <xf borderId="0" fillId="12" fontId="4" numFmtId="0" xfId="0" applyAlignment="1" applyFont="1">
      <alignment horizontal="center" readingOrder="0"/>
    </xf>
    <xf borderId="17" fillId="4" fontId="8" numFmtId="0" xfId="0" applyAlignment="1" applyBorder="1" applyFont="1">
      <alignment horizontal="right" vertical="top"/>
    </xf>
    <xf borderId="18" fillId="0" fontId="8" numFmtId="0" xfId="0" applyAlignment="1" applyBorder="1" applyFont="1">
      <alignment horizontal="right" vertical="top"/>
    </xf>
    <xf borderId="7" fillId="0" fontId="8" numFmtId="0" xfId="0" applyAlignment="1" applyBorder="1" applyFont="1">
      <alignment horizontal="right" vertical="top"/>
    </xf>
    <xf borderId="0" fillId="0" fontId="8" numFmtId="0" xfId="0" applyAlignment="1" applyFont="1">
      <alignment horizontal="right" vertical="top"/>
    </xf>
    <xf borderId="19" fillId="4" fontId="8" numFmtId="0" xfId="0" applyAlignment="1" applyBorder="1" applyFont="1">
      <alignment horizontal="right" vertical="top"/>
    </xf>
    <xf borderId="20" fillId="0" fontId="8" numFmtId="0" xfId="0" applyAlignment="1" applyBorder="1" applyFont="1">
      <alignment horizontal="right" vertical="top"/>
    </xf>
    <xf borderId="21" fillId="0" fontId="8" numFmtId="0" xfId="0" applyAlignment="1" applyBorder="1" applyFont="1">
      <alignment horizontal="right" vertical="top"/>
    </xf>
    <xf borderId="22" fillId="4" fontId="8" numFmtId="0" xfId="0" applyAlignment="1" applyBorder="1" applyFont="1">
      <alignment horizontal="right" vertical="top"/>
    </xf>
    <xf borderId="0" fillId="17" fontId="4" numFmtId="0" xfId="0" applyAlignment="1" applyFont="1">
      <alignment readingOrder="0"/>
    </xf>
    <xf borderId="23" fillId="6" fontId="4" numFmtId="0" xfId="0" applyAlignment="1" applyBorder="1" applyFont="1">
      <alignment horizontal="center" readingOrder="0"/>
    </xf>
    <xf borderId="24" fillId="0" fontId="5" numFmtId="0" xfId="0" applyBorder="1" applyFont="1"/>
    <xf borderId="25" fillId="0" fontId="5" numFmtId="0" xfId="0" applyBorder="1" applyFont="1"/>
    <xf borderId="23" fillId="4" fontId="4" numFmtId="0" xfId="0" applyAlignment="1" applyBorder="1" applyFont="1">
      <alignment horizontal="center" readingOrder="0"/>
    </xf>
    <xf borderId="23" fillId="18" fontId="4" numFmtId="0" xfId="0" applyAlignment="1" applyBorder="1" applyFill="1" applyFont="1">
      <alignment horizontal="center" readingOrder="0"/>
    </xf>
    <xf borderId="24" fillId="0" fontId="4" numFmtId="0" xfId="0" applyAlignment="1" applyBorder="1" applyFont="1">
      <alignment readingOrder="0"/>
    </xf>
    <xf borderId="26" fillId="0" fontId="4" numFmtId="0" xfId="0" applyAlignment="1" applyBorder="1" applyFont="1">
      <alignment horizontal="center" readingOrder="0"/>
    </xf>
    <xf borderId="23" fillId="10" fontId="4" numFmtId="0" xfId="0" applyAlignment="1" applyBorder="1" applyFont="1">
      <alignment horizontal="center" readingOrder="0"/>
    </xf>
    <xf borderId="23" fillId="11" fontId="4" numFmtId="0" xfId="0" applyAlignment="1" applyBorder="1" applyFont="1">
      <alignment horizontal="center" readingOrder="0"/>
    </xf>
    <xf borderId="23" fillId="7" fontId="4" numFmtId="0" xfId="0" applyAlignment="1" applyBorder="1" applyFont="1">
      <alignment horizontal="center" readingOrder="0"/>
    </xf>
    <xf borderId="23" fillId="12" fontId="4" numFmtId="0" xfId="0" applyAlignment="1" applyBorder="1" applyFont="1">
      <alignment horizontal="center" readingOrder="0"/>
    </xf>
    <xf borderId="23" fillId="8" fontId="4" numFmtId="0" xfId="0" applyAlignment="1" applyBorder="1" applyFont="1">
      <alignment horizontal="center" readingOrder="0"/>
    </xf>
    <xf borderId="27" fillId="10" fontId="4" numFmtId="0" xfId="0" applyAlignment="1" applyBorder="1" applyFont="1">
      <alignment horizontal="center" readingOrder="0"/>
    </xf>
    <xf borderId="28" fillId="0" fontId="5" numFmtId="0" xfId="0" applyBorder="1" applyFont="1"/>
    <xf borderId="27" fillId="11" fontId="4" numFmtId="0" xfId="0" applyAlignment="1" applyBorder="1" applyFont="1">
      <alignment horizontal="center" readingOrder="0"/>
    </xf>
    <xf borderId="29" fillId="0" fontId="5" numFmtId="0" xfId="0" applyBorder="1" applyFont="1"/>
    <xf borderId="27" fillId="8" fontId="4" numFmtId="0" xfId="0" applyAlignment="1" applyBorder="1" applyFont="1">
      <alignment horizontal="center" readingOrder="0"/>
    </xf>
    <xf borderId="29" fillId="9" fontId="4" numFmtId="0" xfId="0" applyAlignment="1" applyBorder="1" applyFont="1">
      <alignment horizontal="center" readingOrder="0"/>
    </xf>
    <xf borderId="30" fillId="9" fontId="4" numFmtId="0" xfId="0" applyAlignment="1" applyBorder="1" applyFont="1">
      <alignment horizontal="center"/>
    </xf>
    <xf borderId="0" fillId="9" fontId="4" numFmtId="0" xfId="0" applyAlignment="1" applyFont="1">
      <alignment horizontal="center"/>
    </xf>
    <xf borderId="29" fillId="9" fontId="4" numFmtId="0" xfId="0" applyAlignment="1" applyBorder="1" applyFont="1">
      <alignment horizontal="center"/>
    </xf>
    <xf borderId="30" fillId="9" fontId="4" numFmtId="0" xfId="0" applyAlignment="1" applyBorder="1" applyFont="1">
      <alignment horizontal="center" readingOrder="0"/>
    </xf>
    <xf borderId="30" fillId="9" fontId="4" numFmtId="49" xfId="0" applyAlignment="1" applyBorder="1" applyFont="1" applyNumberFormat="1">
      <alignment horizontal="center" readingOrder="0"/>
    </xf>
    <xf borderId="0" fillId="9" fontId="4" numFmtId="49" xfId="0" applyAlignment="1" applyFont="1" applyNumberFormat="1">
      <alignment horizontal="center" readingOrder="0"/>
    </xf>
    <xf borderId="29" fillId="9" fontId="4" numFmtId="49" xfId="0" applyAlignment="1" applyBorder="1" applyFont="1" applyNumberFormat="1">
      <alignment horizontal="center" readingOrder="0"/>
    </xf>
    <xf quotePrefix="1" borderId="29" fillId="6" fontId="6" numFmtId="0" xfId="0" applyAlignment="1" applyBorder="1" applyFont="1">
      <alignment horizontal="center" readingOrder="0"/>
    </xf>
    <xf borderId="29" fillId="4" fontId="6" numFmtId="0" xfId="0" applyAlignment="1" applyBorder="1" applyFont="1">
      <alignment horizontal="center" readingOrder="0"/>
    </xf>
    <xf borderId="31" fillId="18" fontId="6" numFmtId="0" xfId="0" applyAlignment="1" applyBorder="1" applyFont="1">
      <alignment readingOrder="0"/>
    </xf>
    <xf borderId="30" fillId="0" fontId="6" numFmtId="0" xfId="0" applyBorder="1" applyFont="1"/>
    <xf borderId="29" fillId="0" fontId="6" numFmtId="0" xfId="0" applyBorder="1" applyFont="1"/>
    <xf borderId="30" fillId="0" fontId="6" numFmtId="2" xfId="0" applyBorder="1" applyFont="1" applyNumberFormat="1"/>
    <xf borderId="29" fillId="0" fontId="6" numFmtId="2" xfId="0" applyBorder="1" applyFont="1" applyNumberFormat="1"/>
    <xf borderId="30" fillId="0" fontId="6" numFmtId="0" xfId="0" applyAlignment="1" applyBorder="1" applyFont="1">
      <alignment readingOrder="0"/>
    </xf>
    <xf borderId="29" fillId="0" fontId="6" numFmtId="0" xfId="0" applyAlignment="1" applyBorder="1" applyFont="1">
      <alignment readingOrder="0"/>
    </xf>
    <xf borderId="0" fillId="19" fontId="6" numFmtId="0" xfId="0" applyAlignment="1" applyFill="1" applyFont="1">
      <alignment readingOrder="0"/>
    </xf>
    <xf borderId="32" fillId="18" fontId="6" numFmtId="0" xfId="0" applyAlignment="1" applyBorder="1" applyFont="1">
      <alignment readingOrder="0"/>
    </xf>
    <xf borderId="30" fillId="19" fontId="6" numFmtId="0" xfId="0" applyBorder="1" applyFont="1"/>
    <xf borderId="30" fillId="19" fontId="6" numFmtId="2" xfId="0" applyBorder="1" applyFont="1" applyNumberFormat="1"/>
    <xf borderId="29" fillId="6" fontId="6" numFmtId="0" xfId="0" applyAlignment="1" applyBorder="1" applyFont="1">
      <alignment horizontal="center" readingOrder="0"/>
    </xf>
    <xf borderId="28" fillId="4" fontId="4" numFmtId="0" xfId="0" applyAlignment="1" applyBorder="1" applyFont="1">
      <alignment horizontal="center" readingOrder="0"/>
    </xf>
    <xf borderId="27" fillId="0" fontId="6" numFmtId="0" xfId="0" applyAlignment="1" applyBorder="1" applyFont="1">
      <alignment readingOrder="0"/>
    </xf>
    <xf borderId="33" fillId="0" fontId="6" numFmtId="0" xfId="0" applyBorder="1" applyFont="1"/>
    <xf borderId="33" fillId="0" fontId="6" numFmtId="0" xfId="0" applyAlignment="1" applyBorder="1" applyFont="1">
      <alignment readingOrder="0"/>
    </xf>
    <xf borderId="28" fillId="0" fontId="6" numFmtId="0" xfId="0" applyAlignment="1" applyBorder="1" applyFont="1">
      <alignment readingOrder="0"/>
    </xf>
    <xf borderId="34" fillId="4" fontId="4" numFmtId="0" xfId="0" applyAlignment="1" applyBorder="1" applyFont="1">
      <alignment horizontal="center" readingOrder="0"/>
    </xf>
    <xf borderId="35" fillId="0" fontId="6" numFmtId="0" xfId="0" applyAlignment="1" applyBorder="1" applyFont="1">
      <alignment readingOrder="0"/>
    </xf>
    <xf borderId="36" fillId="0" fontId="6" numFmtId="0" xfId="0" applyBorder="1" applyFont="1"/>
    <xf borderId="36" fillId="0" fontId="6" numFmtId="0" xfId="0" applyAlignment="1" applyBorder="1" applyFont="1">
      <alignment readingOrder="0"/>
    </xf>
    <xf borderId="34" fillId="0" fontId="6" numFmtId="0" xfId="0" applyAlignment="1" applyBorder="1" applyFont="1">
      <alignment readingOrder="0"/>
    </xf>
    <xf borderId="0" fillId="19" fontId="6" numFmtId="2" xfId="0" applyFont="1" applyNumberFormat="1"/>
    <xf borderId="28" fillId="0" fontId="4" numFmtId="0" xfId="0" applyAlignment="1" applyBorder="1" applyFont="1">
      <alignment readingOrder="0"/>
    </xf>
    <xf borderId="27" fillId="0" fontId="6" numFmtId="0" xfId="0" applyBorder="1" applyFont="1"/>
    <xf borderId="28" fillId="0" fontId="6" numFmtId="0" xfId="0" applyBorder="1" applyFont="1"/>
    <xf borderId="33" fillId="0" fontId="6" numFmtId="2" xfId="0" applyBorder="1" applyFont="1" applyNumberFormat="1"/>
    <xf borderId="28" fillId="0" fontId="6" numFmtId="2" xfId="0" applyBorder="1" applyFont="1" applyNumberFormat="1"/>
    <xf borderId="34" fillId="0" fontId="4" numFmtId="0" xfId="0" applyAlignment="1" applyBorder="1" applyFont="1">
      <alignment readingOrder="0"/>
    </xf>
    <xf borderId="35" fillId="0" fontId="6" numFmtId="0" xfId="0" applyBorder="1" applyFont="1"/>
    <xf borderId="34" fillId="0" fontId="6" numFmtId="0" xfId="0" applyBorder="1" applyFont="1"/>
    <xf borderId="36" fillId="0" fontId="6" numFmtId="2" xfId="0" applyBorder="1" applyFont="1" applyNumberFormat="1"/>
    <xf borderId="34" fillId="0" fontId="6" numFmtId="2" xfId="0" applyBorder="1" applyFont="1" applyNumberFormat="1"/>
    <xf borderId="0" fillId="18" fontId="6" numFmtId="0" xfId="0" applyAlignment="1" applyFont="1">
      <alignment readingOrder="0"/>
    </xf>
    <xf borderId="37" fillId="18" fontId="6" numFmtId="0" xfId="0" applyAlignment="1" applyBorder="1" applyFont="1">
      <alignment readingOrder="0"/>
    </xf>
    <xf borderId="27" fillId="0" fontId="4" numFmtId="0" xfId="0" applyAlignment="1" applyBorder="1" applyFont="1">
      <alignment readingOrder="0"/>
    </xf>
    <xf borderId="35" fillId="0" fontId="4" numFmtId="0" xfId="0" applyAlignment="1" applyBorder="1" applyFont="1">
      <alignment readingOrder="0"/>
    </xf>
    <xf borderId="0" fillId="4" fontId="6" numFmtId="0" xfId="0" applyFont="1"/>
    <xf borderId="0" fillId="9" fontId="6" numFmtId="0" xfId="0" applyAlignment="1" applyFont="1">
      <alignment horizontal="center" readingOrder="0"/>
    </xf>
    <xf borderId="0" fillId="9" fontId="9" numFmtId="0" xfId="0" applyAlignment="1" applyFont="1">
      <alignment horizontal="center" vertical="bottom"/>
    </xf>
    <xf borderId="0" fillId="9" fontId="6" numFmtId="0" xfId="0" applyFont="1"/>
    <xf borderId="0" fillId="0" fontId="6" numFmtId="0" xfId="0" applyFont="1"/>
    <xf borderId="0" fillId="0" fontId="10" numFmtId="0" xfId="0" applyAlignment="1" applyFont="1">
      <alignment vertical="bottom"/>
    </xf>
    <xf borderId="0" fillId="7" fontId="6" numFmtId="2" xfId="0" applyFont="1" applyNumberFormat="1"/>
    <xf borderId="0" fillId="11" fontId="6" numFmtId="2" xfId="0" applyFont="1" applyNumberFormat="1"/>
    <xf borderId="0" fillId="10" fontId="6" numFmtId="0" xfId="0" applyAlignment="1" applyFont="1">
      <alignment readingOrder="0"/>
    </xf>
    <xf borderId="0" fillId="18" fontId="6" numFmtId="2" xfId="0" applyFont="1" applyNumberFormat="1"/>
    <xf borderId="0" fillId="0" fontId="6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38" fillId="0" fontId="6" numFmtId="0" xfId="0" applyAlignment="1" applyBorder="1" applyFont="1">
      <alignment shrinkToFit="0" vertical="center" wrapText="0"/>
    </xf>
    <xf borderId="39" fillId="0" fontId="10" numFmtId="0" xfId="0" applyAlignment="1" applyBorder="1" applyFont="1">
      <alignment shrinkToFit="0" vertical="bottom" wrapText="0"/>
    </xf>
    <xf borderId="39" fillId="0" fontId="6" numFmtId="0" xfId="0" applyAlignment="1" applyBorder="1" applyFont="1">
      <alignment readingOrder="0" shrinkToFit="0" vertical="center" wrapText="0"/>
    </xf>
    <xf borderId="39" fillId="8" fontId="6" numFmtId="0" xfId="0" applyAlignment="1" applyBorder="1" applyFont="1">
      <alignment readingOrder="0" shrinkToFit="0" vertical="center" wrapText="0"/>
    </xf>
    <xf borderId="39" fillId="7" fontId="6" numFmtId="2" xfId="0" applyAlignment="1" applyBorder="1" applyFont="1" applyNumberFormat="1">
      <alignment shrinkToFit="0" vertical="center" wrapText="0"/>
    </xf>
    <xf borderId="39" fillId="11" fontId="6" numFmtId="2" xfId="0" applyAlignment="1" applyBorder="1" applyFont="1" applyNumberFormat="1">
      <alignment shrinkToFit="0" vertical="center" wrapText="0"/>
    </xf>
    <xf borderId="39" fillId="10" fontId="6" numFmtId="0" xfId="0" applyAlignment="1" applyBorder="1" applyFont="1">
      <alignment readingOrder="0" shrinkToFit="0" vertical="center" wrapText="0"/>
    </xf>
    <xf borderId="39" fillId="18" fontId="6" numFmtId="2" xfId="0" applyAlignment="1" applyBorder="1" applyFont="1" applyNumberFormat="1">
      <alignment shrinkToFit="0" vertical="center" wrapText="0"/>
    </xf>
    <xf borderId="39" fillId="0" fontId="6" numFmtId="0" xfId="0" applyBorder="1" applyFont="1"/>
    <xf borderId="40" fillId="0" fontId="6" numFmtId="0" xfId="0" applyBorder="1" applyFont="1"/>
    <xf borderId="41" fillId="0" fontId="6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center" wrapText="0"/>
    </xf>
    <xf borderId="0" fillId="8" fontId="6" numFmtId="0" xfId="0" applyAlignment="1" applyFont="1">
      <alignment readingOrder="0" shrinkToFit="0" vertical="center" wrapText="0"/>
    </xf>
    <xf borderId="0" fillId="7" fontId="6" numFmtId="2" xfId="0" applyAlignment="1" applyFont="1" applyNumberFormat="1">
      <alignment shrinkToFit="0" vertical="center" wrapText="0"/>
    </xf>
    <xf borderId="0" fillId="11" fontId="6" numFmtId="2" xfId="0" applyAlignment="1" applyFont="1" applyNumberFormat="1">
      <alignment shrinkToFit="0" vertical="center" wrapText="0"/>
    </xf>
    <xf borderId="0" fillId="10" fontId="6" numFmtId="0" xfId="0" applyAlignment="1" applyFont="1">
      <alignment readingOrder="0" shrinkToFit="0" vertical="center" wrapText="0"/>
    </xf>
    <xf borderId="0" fillId="18" fontId="6" numFmtId="2" xfId="0" applyAlignment="1" applyFont="1" applyNumberFormat="1">
      <alignment shrinkToFit="0" vertical="center" wrapText="0"/>
    </xf>
    <xf borderId="42" fillId="0" fontId="6" numFmtId="0" xfId="0" applyBorder="1" applyFont="1"/>
    <xf borderId="43" fillId="0" fontId="6" numFmtId="0" xfId="0" applyAlignment="1" applyBorder="1" applyFont="1">
      <alignment shrinkToFit="0" vertical="center" wrapText="0"/>
    </xf>
    <xf borderId="44" fillId="0" fontId="10" numFmtId="0" xfId="0" applyAlignment="1" applyBorder="1" applyFont="1">
      <alignment shrinkToFit="0" vertical="bottom" wrapText="0"/>
    </xf>
    <xf borderId="44" fillId="0" fontId="6" numFmtId="0" xfId="0" applyAlignment="1" applyBorder="1" applyFont="1">
      <alignment readingOrder="0" shrinkToFit="0" vertical="center" wrapText="0"/>
    </xf>
    <xf borderId="44" fillId="8" fontId="6" numFmtId="0" xfId="0" applyAlignment="1" applyBorder="1" applyFont="1">
      <alignment readingOrder="0" shrinkToFit="0" vertical="center" wrapText="0"/>
    </xf>
    <xf borderId="44" fillId="7" fontId="6" numFmtId="2" xfId="0" applyAlignment="1" applyBorder="1" applyFont="1" applyNumberFormat="1">
      <alignment shrinkToFit="0" vertical="center" wrapText="0"/>
    </xf>
    <xf borderId="44" fillId="11" fontId="6" numFmtId="2" xfId="0" applyAlignment="1" applyBorder="1" applyFont="1" applyNumberFormat="1">
      <alignment shrinkToFit="0" vertical="center" wrapText="0"/>
    </xf>
    <xf borderId="44" fillId="10" fontId="6" numFmtId="0" xfId="0" applyAlignment="1" applyBorder="1" applyFont="1">
      <alignment readingOrder="0" shrinkToFit="0" vertical="center" wrapText="0"/>
    </xf>
    <xf borderId="44" fillId="18" fontId="6" numFmtId="2" xfId="0" applyAlignment="1" applyBorder="1" applyFont="1" applyNumberFormat="1">
      <alignment shrinkToFit="0" vertical="center" wrapText="0"/>
    </xf>
    <xf borderId="44" fillId="0" fontId="6" numFmtId="0" xfId="0" applyBorder="1" applyFont="1"/>
    <xf borderId="45" fillId="0" fontId="6" numFmtId="0" xfId="0" applyBorder="1" applyFont="1"/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33" fillId="0" fontId="5" numFmtId="0" xfId="0" applyBorder="1" applyFont="1"/>
    <xf borderId="46" fillId="6" fontId="4" numFmtId="0" xfId="0" applyAlignment="1" applyBorder="1" applyFont="1">
      <alignment horizontal="center" readingOrder="0"/>
    </xf>
    <xf borderId="46" fillId="0" fontId="5" numFmtId="0" xfId="0" applyBorder="1" applyFont="1"/>
    <xf borderId="47" fillId="0" fontId="5" numFmtId="0" xfId="0" applyBorder="1" applyFont="1"/>
    <xf borderId="9" fillId="4" fontId="4" numFmtId="0" xfId="0" applyAlignment="1" applyBorder="1" applyFont="1">
      <alignment horizontal="center" readingOrder="0"/>
    </xf>
    <xf borderId="0" fillId="11" fontId="4" numFmtId="0" xfId="0" applyAlignment="1" applyFont="1">
      <alignment horizontal="center" readingOrder="0"/>
    </xf>
    <xf borderId="48" fillId="0" fontId="4" numFmtId="0" xfId="0" applyAlignment="1" applyBorder="1" applyFont="1">
      <alignment horizontal="center" readingOrder="0"/>
    </xf>
    <xf borderId="29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49" fillId="0" fontId="6" numFmtId="0" xfId="0" applyAlignment="1" applyBorder="1" applyFont="1">
      <alignment readingOrder="0"/>
    </xf>
    <xf borderId="50" fillId="0" fontId="6" numFmtId="0" xfId="0" applyAlignment="1" applyBorder="1" applyFont="1">
      <alignment readingOrder="0"/>
    </xf>
    <xf borderId="0" fillId="9" fontId="4" numFmtId="0" xfId="0" applyAlignment="1" applyFont="1">
      <alignment horizontal="center" readingOrder="0" shrinkToFit="0" wrapText="1"/>
    </xf>
    <xf borderId="0" fillId="9" fontId="4" numFmtId="0" xfId="0" applyAlignment="1" applyFont="1">
      <alignment horizontal="center" readingOrder="0" shrinkToFit="0" wrapText="1"/>
    </xf>
    <xf borderId="0" fillId="9" fontId="4" numFmtId="0" xfId="0" applyAlignment="1" applyFont="1">
      <alignment horizontal="right" readingOrder="0" shrinkToFit="0" wrapText="1"/>
    </xf>
    <xf borderId="0" fillId="9" fontId="4" numFmtId="0" xfId="0" applyAlignment="1" applyFont="1">
      <alignment horizontal="left" readingOrder="0" shrinkToFit="0" wrapText="1"/>
    </xf>
    <xf borderId="0" fillId="9" fontId="4" numFmtId="0" xfId="0" applyAlignment="1" applyFont="1">
      <alignment readingOrder="0" shrinkToFit="0" wrapText="1"/>
    </xf>
    <xf borderId="0" fillId="9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48" fillId="9" fontId="4" numFmtId="0" xfId="0" applyAlignment="1" applyBorder="1" applyFont="1">
      <alignment horizontal="center" readingOrder="0" shrinkToFit="0" wrapText="1"/>
    </xf>
    <xf borderId="12" fillId="9" fontId="4" numFmtId="0" xfId="0" applyAlignment="1" applyBorder="1" applyFont="1">
      <alignment horizontal="center" readingOrder="0" shrinkToFit="0" wrapText="1"/>
    </xf>
    <xf borderId="51" fillId="9" fontId="4" numFmtId="0" xfId="0" applyAlignment="1" applyBorder="1" applyFont="1">
      <alignment horizontal="center" readingOrder="0" shrinkToFit="0" wrapText="1"/>
    </xf>
    <xf borderId="0" fillId="0" fontId="4" numFmtId="49" xfId="0" applyAlignment="1" applyFont="1" applyNumberFormat="1">
      <alignment horizontal="center" shrinkToFit="0" vertical="center" wrapText="1"/>
    </xf>
    <xf borderId="52" fillId="9" fontId="7" numFmtId="49" xfId="0" applyAlignment="1" applyBorder="1" applyFont="1" applyNumberFormat="1">
      <alignment shrinkToFit="0" vertical="top" wrapText="1"/>
    </xf>
    <xf borderId="1" fillId="9" fontId="7" numFmtId="49" xfId="0" applyAlignment="1" applyBorder="1" applyFont="1" applyNumberFormat="1">
      <alignment shrinkToFit="0" vertical="top" wrapText="1"/>
    </xf>
    <xf borderId="53" fillId="9" fontId="7" numFmtId="49" xfId="0" applyAlignment="1" applyBorder="1" applyFont="1" applyNumberFormat="1">
      <alignment shrinkToFit="0" vertical="top" wrapText="1"/>
    </xf>
    <xf borderId="54" fillId="9" fontId="7" numFmtId="49" xfId="0" applyAlignment="1" applyBorder="1" applyFont="1" applyNumberFormat="1">
      <alignment readingOrder="0" shrinkToFit="0" vertical="top" wrapText="1"/>
    </xf>
    <xf borderId="0" fillId="9" fontId="7" numFmtId="49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0"/>
    </xf>
    <xf borderId="0" fillId="20" fontId="6" numFmtId="0" xfId="0" applyFill="1" applyFont="1"/>
    <xf borderId="0" fillId="10" fontId="6" numFmtId="49" xfId="0" applyFont="1" applyNumberFormat="1"/>
    <xf borderId="0" fillId="11" fontId="6" numFmtId="49" xfId="0" applyFont="1" applyNumberFormat="1"/>
    <xf borderId="0" fillId="11" fontId="6" numFmtId="0" xfId="0" applyAlignment="1" applyFont="1">
      <alignment readingOrder="0"/>
    </xf>
    <xf borderId="0" fillId="7" fontId="6" numFmtId="49" xfId="0" applyFont="1" applyNumberFormat="1"/>
    <xf borderId="0" fillId="12" fontId="6" numFmtId="0" xfId="0" applyFont="1"/>
    <xf borderId="0" fillId="12" fontId="6" numFmtId="0" xfId="0" applyFont="1"/>
    <xf borderId="0" fillId="0" fontId="6" numFmtId="49" xfId="0" applyFont="1" applyNumberFormat="1"/>
    <xf borderId="49" fillId="8" fontId="6" numFmtId="0" xfId="0" applyBorder="1" applyFont="1"/>
    <xf borderId="50" fillId="8" fontId="6" numFmtId="0" xfId="0" applyBorder="1" applyFont="1"/>
    <xf borderId="29" fillId="8" fontId="6" numFmtId="0" xfId="0" applyBorder="1" applyFont="1"/>
    <xf borderId="0" fillId="6" fontId="6" numFmtId="0" xfId="0" applyFont="1"/>
    <xf borderId="8" fillId="6" fontId="6" numFmtId="0" xfId="0" applyBorder="1" applyFont="1"/>
    <xf borderId="0" fillId="6" fontId="6" numFmtId="0" xfId="0" applyFont="1"/>
    <xf borderId="13" fillId="6" fontId="6" numFmtId="0" xfId="0" applyBorder="1" applyFont="1"/>
    <xf borderId="13" fillId="4" fontId="6" numFmtId="0" xfId="0" applyBorder="1" applyFont="1"/>
    <xf borderId="0" fillId="4" fontId="6" numFmtId="0" xfId="0" applyFont="1"/>
    <xf borderId="8" fillId="4" fontId="6" numFmtId="0" xfId="0" applyBorder="1" applyFont="1"/>
    <xf borderId="13" fillId="11" fontId="6" numFmtId="0" xfId="0" applyBorder="1" applyFont="1"/>
    <xf borderId="0" fillId="11" fontId="6" numFmtId="0" xfId="0" applyFont="1"/>
    <xf borderId="8" fillId="11" fontId="6" numFmtId="0" xfId="0" applyBorder="1" applyFont="1"/>
    <xf borderId="0" fillId="21" fontId="3" numFmtId="0" xfId="0" applyAlignment="1" applyFill="1" applyFont="1">
      <alignment shrinkToFit="0" vertical="top" wrapText="0"/>
    </xf>
    <xf borderId="0" fillId="21" fontId="3" numFmtId="0" xfId="0" applyAlignment="1" applyFont="1">
      <alignment readingOrder="0" shrinkToFit="0" vertical="top" wrapText="0"/>
    </xf>
    <xf borderId="0" fillId="21" fontId="6" numFmtId="0" xfId="0" applyFont="1"/>
    <xf borderId="0" fillId="21" fontId="6" numFmtId="49" xfId="0" applyFont="1" applyNumberFormat="1"/>
    <xf borderId="0" fillId="21" fontId="6" numFmtId="0" xfId="0" applyAlignment="1" applyFont="1">
      <alignment readingOrder="0"/>
    </xf>
    <xf borderId="0" fillId="21" fontId="6" numFmtId="0" xfId="0" applyFont="1"/>
    <xf borderId="49" fillId="21" fontId="6" numFmtId="0" xfId="0" applyBorder="1" applyFont="1"/>
    <xf borderId="50" fillId="21" fontId="6" numFmtId="0" xfId="0" applyBorder="1" applyFont="1"/>
    <xf borderId="29" fillId="21" fontId="6" numFmtId="0" xfId="0" applyBorder="1" applyFont="1"/>
    <xf borderId="8" fillId="21" fontId="6" numFmtId="0" xfId="0" applyBorder="1" applyFont="1"/>
    <xf borderId="13" fillId="21" fontId="6" numFmtId="0" xfId="0" applyBorder="1" applyFont="1"/>
    <xf borderId="8" fillId="21" fontId="6" numFmtId="0" xfId="0" applyBorder="1" applyFont="1"/>
    <xf borderId="55" fillId="8" fontId="6" numFmtId="0" xfId="0" applyBorder="1" applyFont="1"/>
    <xf borderId="56" fillId="8" fontId="6" numFmtId="0" xfId="0" applyBorder="1" applyFont="1"/>
    <xf borderId="34" fillId="8" fontId="6" numFmtId="0" xfId="0" applyBorder="1" applyFont="1"/>
    <xf borderId="15" fillId="6" fontId="6" numFmtId="0" xfId="0" applyBorder="1" applyFont="1"/>
    <xf borderId="16" fillId="6" fontId="6" numFmtId="0" xfId="0" applyBorder="1" applyFont="1"/>
    <xf borderId="15" fillId="6" fontId="6" numFmtId="0" xfId="0" applyBorder="1" applyFont="1"/>
    <xf borderId="14" fillId="6" fontId="6" numFmtId="0" xfId="0" applyBorder="1" applyFont="1"/>
    <xf borderId="14" fillId="4" fontId="6" numFmtId="0" xfId="0" applyBorder="1" applyFont="1"/>
    <xf borderId="15" fillId="4" fontId="6" numFmtId="0" xfId="0" applyBorder="1" applyFont="1"/>
    <xf borderId="16" fillId="4" fontId="6" numFmtId="0" xfId="0" applyBorder="1" applyFont="1"/>
    <xf borderId="15" fillId="4" fontId="6" numFmtId="0" xfId="0" applyBorder="1" applyFont="1"/>
    <xf borderId="50" fillId="0" fontId="6" numFmtId="0" xfId="0" applyBorder="1" applyFont="1"/>
    <xf borderId="0" fillId="0" fontId="6" numFmtId="0" xfId="0" applyFont="1"/>
    <xf borderId="10" fillId="0" fontId="6" numFmtId="0" xfId="0" applyBorder="1" applyFont="1"/>
    <xf borderId="0" fillId="19" fontId="4" numFmtId="0" xfId="0" applyAlignment="1" applyFont="1">
      <alignment readingOrder="0"/>
    </xf>
    <xf borderId="0" fillId="17" fontId="3" numFmtId="0" xfId="0" applyAlignment="1" applyFont="1">
      <alignment shrinkToFit="0" vertical="top" wrapText="0"/>
    </xf>
    <xf borderId="0" fillId="21" fontId="6" numFmtId="2" xfId="0" applyFont="1" applyNumberFormat="1"/>
    <xf borderId="0" fillId="0" fontId="4" numFmtId="2" xfId="0" applyFont="1" applyNumberFormat="1"/>
    <xf borderId="0" fillId="0" fontId="4" numFmtId="2" xfId="0" applyAlignment="1" applyFont="1" applyNumberFormat="1">
      <alignment readingOrder="0"/>
    </xf>
    <xf borderId="0" fillId="9" fontId="6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0" fillId="19" fontId="6" numFmtId="0" xfId="0" applyFont="1"/>
    <xf borderId="0" fillId="22" fontId="6" numFmtId="0" xfId="0" applyFill="1" applyFont="1"/>
    <xf borderId="0" fillId="0" fontId="4" numFmtId="0" xfId="0" applyAlignment="1" applyFont="1">
      <alignment horizontal="right" readingOrder="0"/>
    </xf>
    <xf borderId="0" fillId="0" fontId="6" numFmtId="2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9" fillId="9" fontId="4" numFmtId="0" xfId="0" applyAlignment="1" applyBorder="1" applyFont="1">
      <alignment horizontal="center" readingOrder="0"/>
    </xf>
    <xf borderId="11" fillId="9" fontId="4" numFmtId="0" xfId="0" applyAlignment="1" applyBorder="1" applyFont="1">
      <alignment horizontal="center" readingOrder="0"/>
    </xf>
    <xf borderId="0" fillId="0" fontId="6" numFmtId="1" xfId="0" applyAlignment="1" applyFont="1" applyNumberFormat="1">
      <alignment horizontal="center" readingOrder="0"/>
    </xf>
    <xf borderId="0" fillId="0" fontId="6" numFmtId="2" xfId="0" applyAlignment="1" applyFont="1" applyNumberFormat="1">
      <alignment horizontal="left"/>
    </xf>
    <xf borderId="13" fillId="0" fontId="6" numFmtId="0" xfId="0" applyAlignment="1" applyBorder="1" applyFont="1">
      <alignment horizontal="center" readingOrder="0"/>
    </xf>
    <xf borderId="13" fillId="0" fontId="6" numFmtId="2" xfId="0" applyAlignment="1" applyBorder="1" applyFont="1" applyNumberFormat="1">
      <alignment horizontal="center"/>
    </xf>
    <xf borderId="8" fillId="0" fontId="6" numFmtId="2" xfId="0" applyBorder="1" applyFont="1" applyNumberFormat="1"/>
    <xf borderId="13" fillId="0" fontId="6" numFmtId="0" xfId="0" applyAlignment="1" applyBorder="1" applyFont="1">
      <alignment readingOrder="0"/>
    </xf>
    <xf borderId="0" fillId="19" fontId="6" numFmtId="2" xfId="0" applyAlignment="1" applyFont="1" applyNumberFormat="1">
      <alignment horizontal="left"/>
    </xf>
    <xf borderId="8" fillId="19" fontId="6" numFmtId="0" xfId="0" applyAlignment="1" applyBorder="1" applyFont="1">
      <alignment readingOrder="0"/>
    </xf>
    <xf borderId="8" fillId="19" fontId="6" numFmtId="2" xfId="0" applyBorder="1" applyFont="1" applyNumberFormat="1"/>
    <xf borderId="14" fillId="0" fontId="6" numFmtId="0" xfId="0" applyAlignment="1" applyBorder="1" applyFont="1">
      <alignment horizontal="center" readingOrder="0"/>
    </xf>
    <xf borderId="16" fillId="0" fontId="6" numFmtId="0" xfId="0" applyAlignment="1" applyBorder="1" applyFont="1">
      <alignment readingOrder="0"/>
    </xf>
    <xf borderId="14" fillId="0" fontId="6" numFmtId="2" xfId="0" applyAlignment="1" applyBorder="1" applyFont="1" applyNumberFormat="1">
      <alignment horizontal="center"/>
    </xf>
    <xf borderId="16" fillId="0" fontId="6" numFmtId="2" xfId="0" applyBorder="1" applyFont="1" applyNumberFormat="1"/>
    <xf borderId="14" fillId="0" fontId="6" numFmtId="0" xfId="0" applyAlignment="1" applyBorder="1" applyFont="1">
      <alignment readingOrder="0"/>
    </xf>
    <xf borderId="13" fillId="0" fontId="6" numFmtId="0" xfId="0" applyBorder="1" applyFont="1"/>
    <xf borderId="0" fillId="19" fontId="6" numFmtId="0" xfId="0" applyAlignment="1" applyFont="1">
      <alignment horizontal="left"/>
    </xf>
    <xf borderId="0" fillId="0" fontId="6" numFmtId="2" xfId="0" applyAlignment="1" applyFont="1" applyNumberFormat="1">
      <alignment horizontal="right"/>
    </xf>
    <xf borderId="13" fillId="0" fontId="6" numFmtId="0" xfId="0" applyAlignment="1" applyBorder="1" applyFont="1">
      <alignment horizontal="right"/>
    </xf>
    <xf borderId="0" fillId="0" fontId="6" numFmtId="2" xfId="0" applyAlignment="1" applyFont="1" applyNumberFormat="1">
      <alignment horizontal="right" shrinkToFit="0" wrapText="1"/>
    </xf>
    <xf borderId="0" fillId="0" fontId="6" numFmtId="0" xfId="0" applyAlignment="1" applyFont="1">
      <alignment horizontal="left" shrinkToFit="0" wrapText="1"/>
    </xf>
    <xf borderId="13" fillId="0" fontId="6" numFmtId="0" xfId="0" applyAlignment="1" applyBorder="1" applyFont="1">
      <alignment horizontal="right" shrinkToFit="0" wrapText="1"/>
    </xf>
    <xf borderId="8" fillId="19" fontId="6" numFmtId="0" xfId="0" applyBorder="1" applyFont="1"/>
    <xf borderId="14" fillId="0" fontId="6" numFmtId="0" xfId="0" applyBorder="1" applyFont="1"/>
    <xf borderId="1" fillId="2" fontId="2" numFmtId="49" xfId="0" applyAlignment="1" applyBorder="1" applyFont="1" applyNumberFormat="1">
      <alignment readingOrder="0" shrinkToFit="0" vertical="top" wrapText="1"/>
    </xf>
    <xf borderId="0" fillId="0" fontId="6" numFmtId="0" xfId="0" applyAlignment="1" applyFont="1">
      <alignment shrinkToFit="0" wrapText="1"/>
    </xf>
    <xf borderId="0" fillId="0" fontId="6" numFmtId="4" xfId="0" applyAlignment="1" applyFont="1" applyNumberFormat="1">
      <alignment readingOrder="0"/>
    </xf>
    <xf borderId="0" fillId="0" fontId="6" numFmtId="4" xfId="0" applyAlignment="1" applyFont="1" applyNumberFormat="1">
      <alignment readingOrder="0" shrinkToFit="0" wrapText="1"/>
    </xf>
    <xf borderId="57" fillId="18" fontId="4" numFmtId="0" xfId="0" applyAlignment="1" applyBorder="1" applyFont="1">
      <alignment horizontal="center" readingOrder="0"/>
    </xf>
    <xf borderId="58" fillId="2" fontId="2" numFmtId="49" xfId="0" applyAlignment="1" applyBorder="1" applyFont="1" applyNumberFormat="1">
      <alignment shrinkToFit="0" vertical="top" wrapText="1"/>
    </xf>
    <xf borderId="58" fillId="2" fontId="2" numFmtId="49" xfId="0" applyAlignment="1" applyBorder="1" applyFont="1" applyNumberFormat="1">
      <alignment readingOrder="0" shrinkToFit="0" vertical="top" wrapText="1"/>
    </xf>
    <xf borderId="58" fillId="4" fontId="3" numFmtId="0" xfId="0" applyAlignment="1" applyBorder="1" applyFont="1">
      <alignment shrinkToFit="0" vertical="top" wrapText="0"/>
    </xf>
    <xf borderId="58" fillId="0" fontId="6" numFmtId="4" xfId="0" applyAlignment="1" applyBorder="1" applyFont="1" applyNumberFormat="1">
      <alignment readingOrder="0"/>
    </xf>
    <xf borderId="58" fillId="0" fontId="6" numFmtId="0" xfId="0" applyBorder="1" applyFont="1"/>
    <xf borderId="58" fillId="0" fontId="6" numFmtId="0" xfId="0" applyAlignment="1" applyBorder="1" applyFont="1">
      <alignment readingOrder="0"/>
    </xf>
    <xf borderId="58" fillId="0" fontId="6" numFmtId="0" xfId="0" applyAlignment="1" applyBorder="1" applyFont="1">
      <alignment readingOrder="0" shrinkToFit="0" wrapText="1"/>
    </xf>
    <xf borderId="58" fillId="0" fontId="4" numFmtId="0" xfId="0" applyAlignment="1" applyBorder="1" applyFont="1">
      <alignment readingOrder="0"/>
    </xf>
    <xf borderId="58" fillId="0" fontId="4" numFmtId="0" xfId="0" applyBorder="1" applyFont="1"/>
    <xf borderId="58" fillId="0" fontId="4" numFmtId="4" xfId="0" applyBorder="1" applyFont="1" applyNumberFormat="1"/>
    <xf borderId="57" fillId="17" fontId="4" numFmtId="0" xfId="0" applyAlignment="1" applyBorder="1" applyFont="1">
      <alignment horizontal="center" readingOrder="0"/>
    </xf>
    <xf borderId="57" fillId="6" fontId="4" numFmtId="0" xfId="0" applyAlignment="1" applyBorder="1" applyFont="1">
      <alignment horizontal="center" readingOrder="0"/>
    </xf>
    <xf borderId="58" fillId="0" fontId="3" numFmtId="0" xfId="0" applyAlignment="1" applyBorder="1" applyFont="1">
      <alignment shrinkToFit="0" vertical="top" wrapText="0"/>
    </xf>
    <xf borderId="58" fillId="0" fontId="6" numFmtId="4" xfId="0" applyAlignment="1" applyBorder="1" applyFont="1" applyNumberFormat="1">
      <alignment readingOrder="0" shrinkToFit="0" wrapText="1"/>
    </xf>
    <xf borderId="58" fillId="6" fontId="3" numFmtId="0" xfId="0" applyAlignment="1" applyBorder="1" applyFont="1">
      <alignment shrinkToFit="0" vertical="top" wrapText="0"/>
    </xf>
    <xf borderId="58" fillId="6" fontId="6" numFmtId="4" xfId="0" applyAlignment="1" applyBorder="1" applyFont="1" applyNumberFormat="1">
      <alignment readingOrder="0"/>
    </xf>
    <xf borderId="58" fillId="6" fontId="6" numFmtId="0" xfId="0" applyBorder="1" applyFont="1"/>
    <xf borderId="58" fillId="6" fontId="6" numFmtId="0" xfId="0" applyAlignment="1" applyBorder="1" applyFont="1">
      <alignment readingOrder="0"/>
    </xf>
    <xf borderId="57" fillId="10" fontId="4" numFmtId="0" xfId="0" applyAlignment="1" applyBorder="1" applyFont="1">
      <alignment horizontal="center" readingOrder="0"/>
    </xf>
    <xf borderId="57" fillId="11" fontId="4" numFmtId="0" xfId="0" applyAlignment="1" applyBorder="1" applyFont="1">
      <alignment horizontal="center" readingOrder="0"/>
    </xf>
    <xf borderId="58" fillId="0" fontId="8" numFmtId="0" xfId="0" applyAlignment="1" applyBorder="1" applyFont="1">
      <alignment horizontal="right" vertical="top"/>
    </xf>
    <xf borderId="58" fillId="0" fontId="10" numFmtId="0" xfId="0" applyAlignment="1" applyBorder="1" applyFont="1">
      <alignment vertical="bottom"/>
    </xf>
    <xf borderId="58" fillId="0" fontId="10" numFmtId="0" xfId="0" applyAlignment="1" applyBorder="1" applyFont="1">
      <alignment shrinkToFit="0" vertical="bottom" wrapText="1"/>
    </xf>
    <xf borderId="57" fillId="9" fontId="4" numFmtId="0" xfId="0" applyAlignment="1" applyBorder="1" applyFont="1">
      <alignment horizontal="center" readingOrder="0"/>
    </xf>
    <xf borderId="57" fillId="14" fontId="4" numFmtId="0" xfId="0" applyAlignment="1" applyBorder="1" applyFont="1">
      <alignment horizontal="center" readingOrder="0"/>
    </xf>
    <xf borderId="58" fillId="23" fontId="6" numFmtId="0" xfId="0" applyBorder="1" applyFill="1" applyFont="1"/>
    <xf borderId="58" fillId="0" fontId="6" numFmtId="0" xfId="0" applyBorder="1" applyFont="1"/>
    <xf borderId="0" fillId="24" fontId="6" numFmtId="0" xfId="0" applyFill="1" applyFont="1"/>
    <xf borderId="0" fillId="24" fontId="6" numFmtId="4" xfId="0" applyFont="1" applyNumberFormat="1"/>
    <xf borderId="0" fillId="24" fontId="6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25" fontId="4" numFmtId="0" xfId="0" applyAlignment="1" applyFill="1" applyFont="1">
      <alignment horizontal="center" readingOrder="0"/>
    </xf>
    <xf borderId="0" fillId="24" fontId="6" numFmtId="4" xfId="0" applyAlignment="1" applyFont="1" applyNumberFormat="1">
      <alignment readingOrder="0" shrinkToFit="0" wrapText="1"/>
    </xf>
    <xf borderId="0" fillId="24" fontId="6" numFmtId="0" xfId="0" applyFont="1"/>
    <xf borderId="57" fillId="25" fontId="4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quotePrefix="1"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5" fillId="4" fontId="2" numFmtId="49" xfId="0" applyAlignment="1" applyBorder="1" applyFont="1" applyNumberFormat="1">
      <alignment shrinkToFit="0" vertical="top" wrapText="0"/>
    </xf>
    <xf borderId="6" fillId="4" fontId="3" numFmtId="0" xfId="0" applyAlignment="1" applyBorder="1" applyFont="1">
      <alignment shrinkToFit="0" vertical="top" wrapText="0"/>
    </xf>
    <xf borderId="7" fillId="4" fontId="3" numFmtId="0" xfId="0" applyAlignment="1" applyBorder="1" applyFont="1">
      <alignment shrinkToFit="0" vertical="top" wrapText="0"/>
    </xf>
    <xf borderId="7" fillId="4" fontId="3" numFmtId="49" xfId="0" applyAlignment="1" applyBorder="1" applyFont="1" applyNumberFormat="1">
      <alignment shrinkToFit="0" vertical="top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17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1"/>
    </xf>
    <xf borderId="0" fillId="12" fontId="4" numFmtId="0" xfId="0" applyAlignment="1" applyFont="1">
      <alignment readingOrder="0" shrinkToFit="0" wrapText="1"/>
    </xf>
    <xf borderId="0" fillId="6" fontId="4" numFmtId="0" xfId="0" applyAlignment="1" applyFont="1">
      <alignment readingOrder="0" shrinkToFit="0" wrapText="1"/>
    </xf>
    <xf borderId="0" fillId="7" fontId="4" numFmtId="0" xfId="0" applyAlignment="1" applyFont="1">
      <alignment readingOrder="0" shrinkToFit="0" wrapText="1"/>
    </xf>
    <xf borderId="0" fillId="17" fontId="4" numFmtId="0" xfId="0" applyFont="1"/>
    <xf borderId="0" fillId="19" fontId="6" numFmtId="0" xfId="0" applyAlignment="1" applyFont="1">
      <alignment readingOrder="0" shrinkToFit="0" wrapText="1"/>
    </xf>
    <xf borderId="0" fillId="20" fontId="6" numFmtId="0" xfId="0" applyAlignment="1" applyFont="1">
      <alignment readingOrder="0" shrinkToFit="0" wrapText="1"/>
    </xf>
    <xf borderId="0" fillId="12" fontId="6" numFmtId="0" xfId="0" applyAlignment="1" applyFont="1">
      <alignment readingOrder="0" shrinkToFit="0" wrapText="1"/>
    </xf>
    <xf borderId="0" fillId="6" fontId="6" numFmtId="0" xfId="0" applyAlignment="1" applyFont="1">
      <alignment readingOrder="0" shrinkToFit="0" wrapText="1"/>
    </xf>
    <xf borderId="0" fillId="0" fontId="10" numFmtId="0" xfId="0" applyAlignment="1" applyFont="1">
      <alignment horizontal="right" shrinkToFit="0" vertical="bottom" wrapText="1"/>
    </xf>
    <xf borderId="0" fillId="0" fontId="10" numFmtId="0" xfId="0" applyAlignment="1" applyFont="1">
      <alignment shrinkToFit="0" vertical="bottom" wrapText="1"/>
    </xf>
    <xf borderId="0" fillId="20" fontId="10" numFmtId="0" xfId="0" applyAlignment="1" applyFont="1">
      <alignment shrinkToFit="0" vertical="bottom" wrapText="1"/>
    </xf>
    <xf borderId="0" fillId="0" fontId="10" numFmtId="0" xfId="0" applyAlignment="1" applyFont="1">
      <alignment readingOrder="0" vertical="bottom"/>
    </xf>
    <xf borderId="0" fillId="20" fontId="6" numFmtId="0" xfId="0" applyFont="1"/>
    <xf borderId="0" fillId="0" fontId="11" numFmtId="2" xfId="0" applyFont="1" applyNumberFormat="1"/>
    <xf borderId="0" fillId="6" fontId="6" numFmtId="0" xfId="0" applyAlignment="1" applyFont="1">
      <alignment readingOrder="0"/>
    </xf>
    <xf borderId="59" fillId="26" fontId="12" numFmtId="0" xfId="0" applyAlignment="1" applyBorder="1" applyFill="1" applyFont="1">
      <alignment readingOrder="0" shrinkToFit="0" wrapText="0"/>
    </xf>
    <xf borderId="60" fillId="26" fontId="12" numFmtId="0" xfId="0" applyAlignment="1" applyBorder="1" applyFont="1">
      <alignment readingOrder="0" shrinkToFit="0" wrapText="0"/>
    </xf>
    <xf borderId="0" fillId="23" fontId="6" numFmtId="0" xfId="0" applyAlignment="1" applyFont="1">
      <alignment readingOrder="0" shrinkToFit="0" wrapText="1"/>
    </xf>
    <xf borderId="0" fillId="17" fontId="4" numFmtId="0" xfId="0" applyAlignment="1" applyFont="1">
      <alignment horizontal="center" readingOrder="0" shrinkToFit="0" wrapText="1"/>
    </xf>
    <xf borderId="29" fillId="17" fontId="4" numFmtId="0" xfId="0" applyAlignment="1" applyBorder="1" applyFont="1">
      <alignment horizontal="center" readingOrder="0" shrinkToFit="0" wrapText="1"/>
    </xf>
    <xf borderId="61" fillId="17" fontId="4" numFmtId="0" xfId="0" applyAlignment="1" applyBorder="1" applyFont="1">
      <alignment horizontal="center" readingOrder="0" shrinkToFit="0" wrapText="1"/>
    </xf>
    <xf borderId="0" fillId="6" fontId="4" numFmtId="0" xfId="0" applyAlignment="1" applyFont="1">
      <alignment horizontal="center" readingOrder="0" shrinkToFit="0" wrapText="1"/>
    </xf>
    <xf borderId="29" fillId="6" fontId="4" numFmtId="0" xfId="0" applyAlignment="1" applyBorder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0" fillId="17" fontId="4" numFmtId="0" xfId="0" applyAlignment="1" applyFont="1">
      <alignment horizontal="center" shrinkToFit="0" wrapText="1"/>
    </xf>
    <xf borderId="61" fillId="0" fontId="6" numFmtId="0" xfId="0" applyAlignment="1" applyBorder="1" applyFont="1">
      <alignment readingOrder="0"/>
    </xf>
    <xf borderId="62" fillId="0" fontId="9" numFmtId="0" xfId="0" applyAlignment="1" applyBorder="1" applyFont="1">
      <alignment horizontal="center" readingOrder="0" shrinkToFit="0" vertical="bottom" wrapText="1"/>
    </xf>
    <xf borderId="63" fillId="0" fontId="5" numFmtId="0" xfId="0" applyBorder="1" applyFont="1"/>
    <xf borderId="64" fillId="0" fontId="5" numFmtId="0" xfId="0" applyBorder="1" applyFont="1"/>
    <xf borderId="62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30" fillId="17" fontId="4" numFmtId="0" xfId="0" applyAlignment="1" applyBorder="1" applyFont="1">
      <alignment horizontal="center" readingOrder="0" shrinkToFit="0" wrapText="1"/>
    </xf>
    <xf borderId="0" fillId="17" fontId="9" numFmtId="0" xfId="0" applyAlignment="1" applyFont="1">
      <alignment shrinkToFit="0" vertical="bottom" wrapText="1"/>
    </xf>
    <xf borderId="29" fillId="17" fontId="4" numFmtId="0" xfId="0" applyAlignment="1" applyBorder="1" applyFont="1">
      <alignment readingOrder="0" shrinkToFit="0" wrapText="1"/>
    </xf>
    <xf borderId="30" fillId="17" fontId="4" numFmtId="0" xfId="0" applyAlignment="1" applyBorder="1" applyFont="1">
      <alignment readingOrder="0" shrinkToFit="0" wrapText="1"/>
    </xf>
    <xf borderId="0" fillId="17" fontId="4" numFmtId="0" xfId="0" applyAlignment="1" applyFont="1">
      <alignment shrinkToFit="0" wrapText="1"/>
    </xf>
    <xf borderId="30" fillId="20" fontId="6" numFmtId="0" xfId="0" applyAlignment="1" applyBorder="1" applyFont="1">
      <alignment horizontal="center" readingOrder="0"/>
    </xf>
    <xf borderId="0" fillId="10" fontId="10" numFmtId="0" xfId="0" applyAlignment="1" applyFont="1">
      <alignment vertical="bottom"/>
    </xf>
    <xf borderId="0" fillId="11" fontId="10" numFmtId="0" xfId="0" applyAlignment="1" applyFont="1">
      <alignment vertical="bottom"/>
    </xf>
    <xf borderId="0" fillId="7" fontId="10" numFmtId="0" xfId="0" applyAlignment="1" applyFont="1">
      <alignment horizontal="right" vertical="bottom"/>
    </xf>
    <xf borderId="29" fillId="12" fontId="6" numFmtId="0" xfId="0" applyAlignment="1" applyBorder="1" applyFont="1">
      <alignment readingOrder="0"/>
    </xf>
    <xf borderId="30" fillId="4" fontId="6" numFmtId="0" xfId="0" applyAlignment="1" applyBorder="1" applyFont="1">
      <alignment readingOrder="0"/>
    </xf>
    <xf borderId="0" fillId="4" fontId="6" numFmtId="0" xfId="0" applyAlignment="1" applyFont="1">
      <alignment readingOrder="0"/>
    </xf>
    <xf borderId="30" fillId="8" fontId="6" numFmtId="0" xfId="0" applyAlignment="1" applyBorder="1" applyFont="1">
      <alignment readingOrder="0"/>
    </xf>
    <xf borderId="0" fillId="8" fontId="6" numFmtId="0" xfId="0" applyAlignment="1" applyFont="1">
      <alignment readingOrder="0"/>
    </xf>
    <xf borderId="29" fillId="6" fontId="6" numFmtId="0" xfId="0" applyAlignment="1" applyBorder="1" applyFont="1">
      <alignment readingOrder="0"/>
    </xf>
    <xf borderId="0" fillId="0" fontId="10" numFmtId="0" xfId="0" applyAlignment="1" applyFont="1">
      <alignment horizontal="center" shrinkToFit="0" vertical="bottom" wrapText="1"/>
    </xf>
    <xf borderId="36" fillId="0" fontId="6" numFmtId="0" xfId="0" applyAlignment="1" applyBorder="1" applyFont="1">
      <alignment horizontal="center" readingOrder="0" shrinkToFit="0" wrapText="1"/>
    </xf>
    <xf borderId="36" fillId="0" fontId="6" numFmtId="0" xfId="0" applyAlignment="1" applyBorder="1" applyFont="1">
      <alignment readingOrder="0" shrinkToFit="0" wrapText="1"/>
    </xf>
    <xf borderId="36" fillId="20" fontId="6" numFmtId="0" xfId="0" applyAlignment="1" applyBorder="1" applyFont="1">
      <alignment horizontal="center" readingOrder="0"/>
    </xf>
    <xf borderId="36" fillId="10" fontId="10" numFmtId="0" xfId="0" applyAlignment="1" applyBorder="1" applyFont="1">
      <alignment vertical="bottom"/>
    </xf>
    <xf borderId="36" fillId="11" fontId="10" numFmtId="0" xfId="0" applyAlignment="1" applyBorder="1" applyFont="1">
      <alignment vertical="bottom"/>
    </xf>
    <xf borderId="36" fillId="7" fontId="10" numFmtId="0" xfId="0" applyAlignment="1" applyBorder="1" applyFont="1">
      <alignment horizontal="right" vertical="bottom"/>
    </xf>
    <xf borderId="36" fillId="12" fontId="6" numFmtId="0" xfId="0" applyAlignment="1" applyBorder="1" applyFont="1">
      <alignment readingOrder="0"/>
    </xf>
    <xf borderId="36" fillId="4" fontId="6" numFmtId="0" xfId="0" applyAlignment="1" applyBorder="1" applyFont="1">
      <alignment readingOrder="0"/>
    </xf>
    <xf borderId="36" fillId="8" fontId="6" numFmtId="0" xfId="0" applyAlignment="1" applyBorder="1" applyFont="1">
      <alignment readingOrder="0"/>
    </xf>
    <xf borderId="36" fillId="6" fontId="6" numFmtId="0" xfId="0" applyAlignment="1" applyBorder="1" applyFont="1">
      <alignment readingOrder="0"/>
    </xf>
    <xf borderId="30" fillId="20" fontId="10" numFmtId="0" xfId="0" applyAlignment="1" applyBorder="1" applyFont="1">
      <alignment horizontal="center" vertical="bottom"/>
    </xf>
    <xf borderId="0" fillId="10" fontId="10" numFmtId="0" xfId="0" applyAlignment="1" applyFont="1">
      <alignment horizontal="right" vertical="bottom"/>
    </xf>
    <xf borderId="0" fillId="11" fontId="10" numFmtId="0" xfId="0" applyAlignment="1" applyFont="1">
      <alignment horizontal="right" vertical="bottom"/>
    </xf>
    <xf borderId="35" fillId="20" fontId="10" numFmtId="0" xfId="0" applyAlignment="1" applyBorder="1" applyFont="1">
      <alignment horizontal="center" vertical="bottom"/>
    </xf>
    <xf borderId="36" fillId="10" fontId="10" numFmtId="0" xfId="0" applyAlignment="1" applyBorder="1" applyFont="1">
      <alignment horizontal="right" vertical="bottom"/>
    </xf>
    <xf borderId="36" fillId="11" fontId="10" numFmtId="0" xfId="0" applyAlignment="1" applyBorder="1" applyFont="1">
      <alignment horizontal="right" vertical="bottom"/>
    </xf>
    <xf borderId="34" fillId="12" fontId="6" numFmtId="0" xfId="0" applyAlignment="1" applyBorder="1" applyFont="1">
      <alignment readingOrder="0"/>
    </xf>
    <xf borderId="35" fillId="4" fontId="6" numFmtId="0" xfId="0" applyAlignment="1" applyBorder="1" applyFont="1">
      <alignment readingOrder="0"/>
    </xf>
    <xf borderId="35" fillId="8" fontId="6" numFmtId="0" xfId="0" applyAlignment="1" applyBorder="1" applyFont="1">
      <alignment readingOrder="0"/>
    </xf>
    <xf borderId="34" fillId="6" fontId="6" numFmtId="0" xfId="0" applyAlignment="1" applyBorder="1" applyFont="1">
      <alignment readingOrder="0"/>
    </xf>
    <xf borderId="8" fillId="17" fontId="4" numFmtId="0" xfId="0" applyAlignment="1" applyBorder="1" applyFont="1">
      <alignment horizontal="center" readingOrder="0"/>
    </xf>
    <xf borderId="0" fillId="17" fontId="4" numFmtId="0" xfId="0" applyAlignment="1" applyFont="1">
      <alignment horizontal="center" readingOrder="0"/>
    </xf>
    <xf borderId="0" fillId="17" fontId="4" numFmtId="0" xfId="0" applyAlignment="1" applyFont="1">
      <alignment horizontal="left" readingOrder="0"/>
    </xf>
    <xf borderId="8" fillId="0" fontId="4" numFmtId="0" xfId="0" applyAlignment="1" applyBorder="1" applyFont="1">
      <alignment horizontal="center" readingOrder="0" vertical="center"/>
    </xf>
    <xf borderId="0" fillId="7" fontId="6" numFmtId="0" xfId="0" applyAlignment="1" applyFont="1">
      <alignment horizontal="center" readingOrder="0"/>
    </xf>
    <xf borderId="0" fillId="7" fontId="6" numFmtId="0" xfId="0" applyAlignment="1" applyFont="1">
      <alignment horizontal="left" readingOrder="0"/>
    </xf>
    <xf borderId="8" fillId="0" fontId="5" numFmtId="0" xfId="0" applyBorder="1" applyFont="1"/>
    <xf borderId="65" fillId="0" fontId="4" numFmtId="0" xfId="0" applyAlignment="1" applyBorder="1" applyFont="1">
      <alignment horizontal="center" readingOrder="0" vertical="center"/>
    </xf>
    <xf borderId="33" fillId="0" fontId="6" numFmtId="0" xfId="0" applyAlignment="1" applyBorder="1" applyFont="1">
      <alignment horizontal="center" readingOrder="0"/>
    </xf>
    <xf borderId="33" fillId="0" fontId="6" numFmtId="0" xfId="0" applyAlignment="1" applyBorder="1" applyFont="1">
      <alignment horizontal="left" readingOrder="0"/>
    </xf>
    <xf borderId="33" fillId="7" fontId="6" numFmtId="0" xfId="0" applyAlignment="1" applyBorder="1" applyFont="1">
      <alignment horizontal="center" readingOrder="0"/>
    </xf>
    <xf borderId="33" fillId="7" fontId="6" numFmtId="0" xfId="0" applyAlignment="1" applyBorder="1" applyFont="1">
      <alignment horizontal="left" readingOrder="0"/>
    </xf>
    <xf borderId="33" fillId="4" fontId="6" numFmtId="0" xfId="0" applyAlignment="1" applyBorder="1" applyFont="1">
      <alignment readingOrder="0"/>
    </xf>
    <xf borderId="33" fillId="12" fontId="6" numFmtId="0" xfId="0" applyAlignment="1" applyBorder="1" applyFont="1">
      <alignment readingOrder="0"/>
    </xf>
    <xf borderId="33" fillId="6" fontId="6" numFmtId="0" xfId="0" applyAlignment="1" applyBorder="1" applyFont="1">
      <alignment readingOrder="0"/>
    </xf>
    <xf borderId="66" fillId="0" fontId="2" numFmtId="0" xfId="0" applyAlignment="1" applyBorder="1" applyFont="1">
      <alignment horizontal="center" readingOrder="0" shrinkToFit="0" vertical="top" wrapText="0"/>
    </xf>
    <xf borderId="67" fillId="0" fontId="3" numFmtId="0" xfId="0" applyAlignment="1" applyBorder="1" applyFont="1">
      <alignment horizontal="center" shrinkToFit="0" vertical="top" wrapText="0"/>
    </xf>
    <xf borderId="67" fillId="0" fontId="3" numFmtId="49" xfId="0" applyAlignment="1" applyBorder="1" applyFont="1" applyNumberFormat="1">
      <alignment horizontal="left" shrinkToFit="0" vertical="top" wrapText="0"/>
    </xf>
    <xf borderId="67" fillId="7" fontId="3" numFmtId="49" xfId="0" applyAlignment="1" applyBorder="1" applyFont="1" applyNumberFormat="1">
      <alignment horizontal="center" readingOrder="0" shrinkToFit="0" vertical="top" wrapText="0"/>
    </xf>
    <xf borderId="67" fillId="7" fontId="3" numFmtId="49" xfId="0" applyAlignment="1" applyBorder="1" applyFont="1" applyNumberFormat="1">
      <alignment horizontal="left" shrinkToFit="0" vertical="top" wrapText="0"/>
    </xf>
    <xf borderId="67" fillId="7" fontId="3" numFmtId="49" xfId="0" applyAlignment="1" applyBorder="1" applyFont="1" applyNumberFormat="1">
      <alignment horizontal="left" readingOrder="0" shrinkToFit="0" vertical="top" wrapText="0"/>
    </xf>
    <xf borderId="67" fillId="4" fontId="6" numFmtId="0" xfId="0" applyAlignment="1" applyBorder="1" applyFont="1">
      <alignment readingOrder="0"/>
    </xf>
    <xf borderId="67" fillId="12" fontId="6" numFmtId="0" xfId="0" applyAlignment="1" applyBorder="1" applyFont="1">
      <alignment readingOrder="0"/>
    </xf>
    <xf borderId="67" fillId="6" fontId="6" numFmtId="0" xfId="0" applyAlignment="1" applyBorder="1" applyFont="1">
      <alignment readingOrder="0"/>
    </xf>
    <xf borderId="67" fillId="0" fontId="6" numFmtId="0" xfId="0" applyBorder="1" applyFont="1"/>
    <xf borderId="0" fillId="0" fontId="3" numFmtId="49" xfId="0" applyAlignment="1" applyFont="1" applyNumberFormat="1">
      <alignment horizontal="left" shrinkToFit="0" vertical="top" wrapText="0"/>
    </xf>
    <xf borderId="0" fillId="7" fontId="3" numFmtId="49" xfId="0" applyAlignment="1" applyFont="1" applyNumberFormat="1">
      <alignment horizontal="center" readingOrder="0" shrinkToFit="0" vertical="top" wrapText="0"/>
    </xf>
    <xf borderId="0" fillId="7" fontId="3" numFmtId="49" xfId="0" applyAlignment="1" applyFont="1" applyNumberFormat="1">
      <alignment horizontal="left" shrinkToFit="0" vertical="top" wrapText="0"/>
    </xf>
    <xf borderId="0" fillId="7" fontId="3" numFmtId="49" xfId="0" applyAlignment="1" applyFont="1" applyNumberFormat="1">
      <alignment horizontal="left" readingOrder="0" shrinkToFit="0" vertical="top" wrapText="0"/>
    </xf>
    <xf borderId="36" fillId="0" fontId="3" numFmtId="49" xfId="0" applyAlignment="1" applyBorder="1" applyFont="1" applyNumberFormat="1">
      <alignment horizontal="left" shrinkToFit="0" vertical="top" wrapText="0"/>
    </xf>
    <xf borderId="65" fillId="0" fontId="2" numFmtId="0" xfId="0" applyAlignment="1" applyBorder="1" applyFont="1">
      <alignment horizontal="center" readingOrder="0" shrinkToFit="0" vertical="center" wrapText="0"/>
    </xf>
    <xf borderId="33" fillId="0" fontId="3" numFmtId="0" xfId="0" applyAlignment="1" applyBorder="1" applyFont="1">
      <alignment horizontal="center" shrinkToFit="0" vertical="top" wrapText="0"/>
    </xf>
    <xf borderId="33" fillId="0" fontId="3" numFmtId="49" xfId="0" applyAlignment="1" applyBorder="1" applyFont="1" applyNumberFormat="1">
      <alignment horizontal="left" shrinkToFit="0" vertical="top" wrapText="0"/>
    </xf>
    <xf borderId="33" fillId="7" fontId="3" numFmtId="49" xfId="0" applyAlignment="1" applyBorder="1" applyFont="1" applyNumberFormat="1">
      <alignment horizontal="center" readingOrder="0" shrinkToFit="0" vertical="top" wrapText="0"/>
    </xf>
    <xf borderId="33" fillId="7" fontId="3" numFmtId="49" xfId="0" applyAlignment="1" applyBorder="1" applyFont="1" applyNumberFormat="1">
      <alignment horizontal="left" shrinkToFit="0" vertical="top" wrapText="0"/>
    </xf>
    <xf borderId="33" fillId="7" fontId="3" numFmtId="49" xfId="0" applyAlignment="1" applyBorder="1" applyFont="1" applyNumberFormat="1">
      <alignment horizontal="left" readingOrder="0" shrinkToFit="0" vertical="top" wrapText="0"/>
    </xf>
    <xf borderId="0" fillId="0" fontId="6" numFmtId="49" xfId="0" applyAlignment="1" applyFont="1" applyNumberFormat="1">
      <alignment horizontal="left"/>
    </xf>
    <xf borderId="0" fillId="7" fontId="6" numFmtId="49" xfId="0" applyAlignment="1" applyFont="1" applyNumberFormat="1">
      <alignment horizontal="left"/>
    </xf>
    <xf borderId="0" fillId="7" fontId="6" numFmtId="49" xfId="0" applyAlignment="1" applyFont="1" applyNumberFormat="1">
      <alignment horizontal="left" readingOrder="0"/>
    </xf>
    <xf borderId="27" fillId="17" fontId="4" numFmtId="0" xfId="0" applyAlignment="1" applyBorder="1" applyFont="1">
      <alignment readingOrder="0"/>
    </xf>
    <xf borderId="33" fillId="17" fontId="4" numFmtId="0" xfId="0" applyAlignment="1" applyBorder="1" applyFont="1">
      <alignment readingOrder="0"/>
    </xf>
    <xf borderId="28" fillId="17" fontId="4" numFmtId="0" xfId="0" applyAlignment="1" applyBorder="1" applyFont="1">
      <alignment readingOrder="0"/>
    </xf>
    <xf borderId="0" fillId="17" fontId="4" numFmtId="49" xfId="0" applyAlignment="1" applyFont="1" applyNumberFormat="1">
      <alignment readingOrder="0"/>
    </xf>
    <xf borderId="29" fillId="4" fontId="6" numFmtId="0" xfId="0" applyAlignment="1" applyBorder="1" applyFont="1">
      <alignment readingOrder="0"/>
    </xf>
    <xf borderId="34" fillId="4" fontId="6" numFmtId="0" xfId="0" applyAlignment="1" applyBorder="1" applyFont="1">
      <alignment readingOrder="0"/>
    </xf>
    <xf borderId="27" fillId="17" fontId="4" numFmtId="0" xfId="0" applyAlignment="1" applyBorder="1" applyFont="1">
      <alignment horizontal="center" readingOrder="0"/>
    </xf>
    <xf borderId="33" fillId="17" fontId="4" numFmtId="0" xfId="0" applyAlignment="1" applyBorder="1" applyFont="1">
      <alignment horizontal="center" readingOrder="0"/>
    </xf>
    <xf borderId="28" fillId="17" fontId="4" numFmtId="0" xfId="0" applyAlignment="1" applyBorder="1" applyFont="1">
      <alignment horizontal="center" readingOrder="0"/>
    </xf>
    <xf borderId="0" fillId="17" fontId="4" numFmtId="0" xfId="0" applyAlignment="1" applyFont="1">
      <alignment horizontal="center"/>
    </xf>
    <xf borderId="30" fillId="12" fontId="6" numFmtId="0" xfId="0" applyAlignment="1" applyBorder="1" applyFont="1">
      <alignment readingOrder="0"/>
    </xf>
    <xf borderId="35" fillId="12" fontId="6" numFmtId="0" xfId="0" applyAlignment="1" applyBorder="1" applyFont="1">
      <alignment readingOrder="0"/>
    </xf>
    <xf borderId="0" fillId="17" fontId="9" numFmtId="0" xfId="0" applyAlignment="1" applyFont="1">
      <alignment horizontal="center" shrinkToFit="0" vertical="bottom" wrapText="1"/>
    </xf>
    <xf borderId="27" fillId="17" fontId="4" numFmtId="0" xfId="0" applyAlignment="1" applyBorder="1" applyFont="1">
      <alignment horizontal="center" readingOrder="0" shrinkToFit="0" wrapText="1"/>
    </xf>
    <xf borderId="33" fillId="17" fontId="4" numFmtId="0" xfId="0" applyAlignment="1" applyBorder="1" applyFont="1">
      <alignment horizontal="center" readingOrder="0" shrinkToFit="0" wrapText="1"/>
    </xf>
    <xf borderId="28" fillId="17" fontId="4" numFmtId="0" xfId="0" applyAlignment="1" applyBorder="1" applyFont="1">
      <alignment horizontal="center" readingOrder="0" shrinkToFit="0" wrapText="1"/>
    </xf>
    <xf quotePrefix="1" borderId="0" fillId="0" fontId="10" numFmtId="0" xfId="0" applyAlignment="1" applyFont="1">
      <alignment horizontal="center" vertical="bottom"/>
    </xf>
    <xf borderId="29" fillId="8" fontId="6" numFmtId="0" xfId="0" applyAlignment="1" applyBorder="1" applyFont="1">
      <alignment readingOrder="0"/>
    </xf>
    <xf borderId="0" fillId="0" fontId="10" numFmtId="0" xfId="0" applyAlignment="1" applyFont="1">
      <alignment horizontal="center" vertical="bottom"/>
    </xf>
    <xf borderId="0" fillId="0" fontId="8" numFmtId="0" xfId="0" applyAlignment="1" applyFont="1">
      <alignment horizontal="center" vertical="top"/>
    </xf>
    <xf borderId="34" fillId="8" fontId="6" numFmtId="0" xfId="0" applyAlignment="1" applyBorder="1" applyFont="1">
      <alignment readingOrder="0"/>
    </xf>
    <xf borderId="0" fillId="10" fontId="4" numFmtId="0" xfId="0" applyAlignment="1" applyFont="1">
      <alignment horizontal="center" readingOrder="0"/>
    </xf>
    <xf borderId="0" fillId="17" fontId="6" numFmtId="0" xfId="0" applyAlignment="1" applyFont="1">
      <alignment readingOrder="0"/>
    </xf>
    <xf borderId="0" fillId="6" fontId="10" numFmtId="0" xfId="0" applyAlignment="1" applyFont="1">
      <alignment vertical="bottom"/>
    </xf>
    <xf borderId="0" fillId="17" fontId="10" numFmtId="0" xfId="0" applyAlignment="1" applyFont="1">
      <alignment vertical="bottom"/>
    </xf>
    <xf borderId="0" fillId="17" fontId="4" numFmtId="0" xfId="0" applyAlignment="1" applyFont="1">
      <alignment horizontal="left"/>
    </xf>
    <xf borderId="0" fillId="10" fontId="6" numFmtId="0" xfId="0" applyAlignment="1" applyFont="1">
      <alignment horizontal="left"/>
    </xf>
    <xf borderId="33" fillId="10" fontId="6" numFmtId="0" xfId="0" applyAlignment="1" applyBorder="1" applyFont="1">
      <alignment horizontal="left" readingOrder="0"/>
    </xf>
    <xf borderId="33" fillId="10" fontId="6" numFmtId="0" xfId="0" applyAlignment="1" applyBorder="1" applyFont="1">
      <alignment horizontal="left"/>
    </xf>
    <xf borderId="67" fillId="10" fontId="3" numFmtId="0" xfId="0" applyAlignment="1" applyBorder="1" applyFont="1">
      <alignment horizontal="left" shrinkToFit="0" vertical="top" wrapText="0"/>
    </xf>
    <xf borderId="67" fillId="10" fontId="3" numFmtId="0" xfId="0" applyAlignment="1" applyBorder="1" applyFont="1">
      <alignment horizontal="left" readingOrder="0" shrinkToFit="0" vertical="top" wrapText="0"/>
    </xf>
    <xf borderId="0" fillId="10" fontId="3" numFmtId="0" xfId="0" applyAlignment="1" applyFont="1">
      <alignment horizontal="left" shrinkToFit="0" vertical="top" wrapText="0"/>
    </xf>
    <xf borderId="0" fillId="10" fontId="3" numFmtId="0" xfId="0" applyAlignment="1" applyFont="1">
      <alignment horizontal="left" readingOrder="0" shrinkToFit="0" vertical="top" wrapText="0"/>
    </xf>
    <xf borderId="33" fillId="10" fontId="3" numFmtId="0" xfId="0" applyAlignment="1" applyBorder="1" applyFont="1">
      <alignment horizontal="left" shrinkToFit="0" vertical="top" wrapText="0"/>
    </xf>
    <xf borderId="33" fillId="10" fontId="3" numFmtId="0" xfId="0" applyAlignment="1" applyBorder="1" applyFont="1">
      <alignment horizontal="left" readingOrder="0" shrinkToFit="0" vertical="top" wrapText="0"/>
    </xf>
    <xf borderId="0" fillId="10" fontId="6" numFmtId="4" xfId="0" applyFont="1" applyNumberFormat="1"/>
    <xf borderId="0" fillId="10" fontId="6" numFmtId="0" xfId="0" applyFont="1"/>
    <xf borderId="0" fillId="10" fontId="6" numFmtId="4" xfId="0" applyAlignment="1" applyFont="1" applyNumberFormat="1">
      <alignment readingOrder="0"/>
    </xf>
  </cellXfs>
  <cellStyles count="1">
    <cellStyle xfId="0" name="Normal" builtinId="0"/>
  </cellStyles>
  <dxfs count="14">
    <dxf>
      <font>
        <color rgb="FFC53929"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2">
    <tableStyle count="4" pivot="0" name="S1 Interaction Effects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5" pivot="0" name="Demographics (S1 &amp; S2)-style">
      <tableStyleElement dxfId="9" type="headerRow"/>
      <tableStyleElement dxfId="4" type="firstRowStripe"/>
      <tableStyleElement dxfId="10" type="secondRowStripe"/>
      <tableStyleElement dxfId="11" type="totalRow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Dynamic, Static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'Data for Graphs'!$Z$7:$Z$8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for Graphs'!$Y$9:$Y$13</c:f>
            </c:strRef>
          </c:cat>
          <c:val>
            <c:numRef>
              <c:f>'Data for Graphs'!$Z$9:$Z$13</c:f>
              <c:numCache/>
            </c:numRef>
          </c:val>
        </c:ser>
        <c:ser>
          <c:idx val="1"/>
          <c:order val="1"/>
          <c:tx>
            <c:strRef>
              <c:f>'Data for Graphs'!$AA$7:$AA$8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'Data for Graphs'!$Y$9:$Y$13</c:f>
            </c:strRef>
          </c:cat>
          <c:val>
            <c:numRef>
              <c:f>'Data for Graphs'!$AA$9:$AA$13</c:f>
              <c:numCache/>
            </c:numRef>
          </c:val>
        </c:ser>
        <c:overlap val="100"/>
        <c:axId val="644791054"/>
        <c:axId val="1965928954"/>
      </c:barChart>
      <c:catAx>
        <c:axId val="644791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Questionnaire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928954"/>
      </c:catAx>
      <c:valAx>
        <c:axId val="1965928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791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47625</xdr:colOff>
      <xdr:row>18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D202" sheet="Data for Graphs"/>
  </cacheSource>
  <cacheFields>
    <cacheField name="Participant ID" numFmtId="0">
      <sharedItems containsSemiMixedTypes="0" containsString="0" containsNumber="1" containsInteger="1">
        <n v="1.0"/>
        <n v="2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</sharedItems>
    </cacheField>
    <cacheField name="Instruction Format" numFmtId="0">
      <sharedItems>
        <s v="Dynamic"/>
        <s v="Static"/>
      </sharedItems>
    </cacheField>
    <cacheField name="Questionnaire" numFmtId="0">
      <sharedItems>
        <s v="SEQ"/>
        <s v="NASA-TLX"/>
        <s v="SUS"/>
        <s v="UEQ-S"/>
        <s v="Physical Demand"/>
      </sharedItems>
    </cacheField>
    <cacheField name="Scores" numFmtId="0">
      <sharedItems containsSemiMixedTypes="0" containsString="0" containsNumber="1">
        <n v="5.0"/>
        <n v="3.0"/>
        <n v="6.0"/>
        <n v="7.0"/>
        <n v="4.0"/>
        <n v="2.0"/>
        <n v="38.89"/>
        <n v="66.67"/>
        <n v="41.67"/>
        <n v="30.56"/>
        <n v="16.67"/>
        <n v="27.78"/>
        <n v="11.11"/>
        <n v="22.22"/>
        <n v="52.78"/>
        <n v="25.0"/>
        <n v="36.11"/>
        <n v="50.0"/>
        <n v="58.33"/>
        <n v="47.22"/>
        <n v="19.44"/>
        <n v="44.44"/>
        <n v="72.5"/>
        <n v="52.5"/>
        <n v="80.0"/>
        <n v="75.0"/>
        <n v="95.0"/>
        <n v="100.0"/>
        <n v="90.0"/>
        <n v="97.5"/>
        <n v="57.5"/>
        <n v="87.5"/>
        <n v="82.5"/>
        <n v="60.0"/>
        <n v="67.5"/>
        <n v="92.5"/>
        <n v="65.0"/>
        <n v="70.0"/>
        <n v="47.5"/>
        <n v="35.0"/>
        <n v="77.5"/>
        <n v="37.5"/>
        <n v="-0.38"/>
        <n v="1.25"/>
        <n v="-0.25"/>
        <n v="2.63"/>
        <n v="1.38"/>
        <n v="1.88"/>
        <n v="0.38"/>
        <n v="0.5"/>
        <n v="0.63"/>
        <n v="2.25"/>
        <n v="1.0"/>
        <n v="0.75"/>
        <n v="1.63"/>
        <n v="1.5"/>
        <n v="0.0"/>
        <n v="-1.25"/>
        <n v="0.88"/>
        <n v="2.13"/>
        <n v="-1.0"/>
        <n v="83.33"/>
        <n v="33.3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 for Graphs" cacheId="0" dataCaption="" compact="0" compactData="0">
  <location ref="Y7:AB14" firstHeaderRow="0" firstDataRow="1" firstDataCol="1"/>
  <pivotFields>
    <pivotField name="Participa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nstruction Format" axis="axisCol" compact="0" outline="0" multipleItemSelectionAllowed="1" showAll="0" sortType="ascending">
      <items>
        <item x="0"/>
        <item x="1"/>
        <item t="default"/>
      </items>
    </pivotField>
    <pivotField name="Questionnaire" axis="axisRow" compact="0" outline="0" multipleItemSelectionAllowed="1" showAll="0" sortType="ascending">
      <items>
        <item x="1"/>
        <item x="4"/>
        <item x="0"/>
        <item x="2"/>
        <item x="3"/>
        <item t="default"/>
      </items>
    </pivotField>
    <pivotField name="Sco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</pivotFields>
  <rowFields>
    <field x="2"/>
  </rowFields>
  <colFields>
    <field x="1"/>
  </colFields>
  <dataFields>
    <dataField name="AVERAGE of Scores" fld="3" subtotal="average" baseField="0"/>
  </dataFields>
</pivotTableDefinition>
</file>

<file path=xl/tables/table1.xml><?xml version="1.0" encoding="utf-8"?>
<table xmlns="http://schemas.openxmlformats.org/spreadsheetml/2006/main" ref="A25:N45" displayName="Table1" name="Table1" id="1">
  <tableColumns count="14">
    <tableColumn name="Participant ID" id="1"/>
    <tableColumn name="Part 1" id="2"/>
    <tableColumn name="Part 2" id="3"/>
    <tableColumn name="Order" id="4"/>
    <tableColumn name="Part 1 SEQ" id="5"/>
    <tableColumn name="Part 2 SEQ" id="6"/>
    <tableColumn name="Part 1 NASA-TLX" id="7"/>
    <tableColumn name="Part 2 NASA-TLX" id="8"/>
    <tableColumn name="Part 1 SUS" id="9"/>
    <tableColumn name="Part 2 SUS" id="10"/>
    <tableColumn name="Part 1 UEQ" id="11"/>
    <tableColumn name="Part 2 UEQ" id="12"/>
    <tableColumn name="Part 1 Physical NASA-TLX " id="13"/>
    <tableColumn name="Part 2 Physical NASA-TLX " id="14"/>
  </tableColumns>
  <tableStyleInfo name="S1 Interaction Effect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T22" displayName="Table3" name="Table3" id="2">
  <tableColumns count="20">
    <tableColumn name="Timestamp" id="1"/>
    <tableColumn totalsRowLabel="Min" name="Participant ID" id="2"/>
    <tableColumn totalsRowFunction="custom" name="Age" id="3"/>
    <tableColumn name="Gender" id="4"/>
    <tableColumn name="Dominant Hand" id="5"/>
    <tableColumn name="Do you have prior experience with any of the following? (Select all that apply)" id="6"/>
    <tableColumn name="When I have a new technical system in front of me, I try it out intensively." id="7"/>
    <tableColumn name="I enjoy spending time becoming acquainted with a new technical system." id="8"/>
    <tableColumn name="I try to understand how a technical system exactly works." id="9"/>
    <tableColumn name="I try to make full use of the capabilities of a technical system." id="10"/>
    <tableColumn name="Column 11" id="11"/>
    <tableColumn name="Column 2" id="12"/>
    <tableColumn name="Column 3" id="13"/>
    <tableColumn name="Column 4" id="14"/>
    <tableColumn name="Column 5" id="15"/>
    <tableColumn totalsRowLabel="1" name="Column 6" id="16"/>
    <tableColumn name="Column 7" id="17"/>
    <tableColumn name="Column 8" id="18"/>
    <tableColumn name="Column 9" id="19"/>
    <tableColumn name="Column 10" id="20"/>
  </tableColumns>
  <tableStyleInfo name="Demographics (S1 &amp; S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88"/>
    <col customWidth="1" min="2" max="2" width="10.75"/>
    <col customWidth="1" min="3" max="3" width="4.13"/>
    <col customWidth="1" min="4" max="4" width="6.38"/>
    <col customWidth="1" min="5" max="5" width="12.13"/>
    <col customWidth="1" min="6" max="6" width="54.63"/>
    <col customWidth="1" min="7" max="7" width="51.63"/>
    <col customWidth="1" min="8" max="8" width="52.0"/>
    <col customWidth="1" min="9" max="9" width="41.25"/>
    <col customWidth="1" min="10" max="10" width="43.75"/>
    <col customWidth="1" min="11" max="11" width="33.25"/>
    <col customWidth="1" min="12" max="12" width="68.5"/>
    <col customWidth="1" min="13" max="13" width="28.88"/>
    <col customWidth="1" min="14" max="14" width="29.88"/>
    <col customWidth="1" min="15" max="15" width="35.13"/>
    <col customWidth="1" min="16" max="16" width="51.13"/>
    <col customWidth="1" min="17" max="17" width="52.0"/>
    <col customWidth="1" min="18" max="18" width="50.63"/>
    <col customWidth="1" min="19" max="19" width="47.0"/>
    <col customWidth="1" min="20" max="20" width="38.75"/>
    <col customWidth="1" min="21" max="21" width="36.0"/>
    <col customWidth="1" min="22" max="22" width="71.75"/>
    <col customWidth="1" min="23" max="23" width="55.25"/>
    <col customWidth="1" min="24" max="24" width="51.38"/>
    <col customWidth="1" min="25" max="25" width="64.13"/>
    <col customWidth="1" min="26" max="26" width="40.13"/>
    <col customWidth="1" min="27" max="27" width="35.13"/>
    <col customWidth="1" min="28" max="28" width="61.13"/>
    <col customWidth="1" min="29" max="36" width="45.38"/>
    <col customWidth="1" min="37" max="37" width="33.25"/>
    <col customWidth="1" min="38" max="38" width="70.13"/>
    <col customWidth="1" min="39" max="39" width="28.88"/>
    <col customWidth="1" min="40" max="40" width="29.88"/>
    <col customWidth="1" min="41" max="41" width="35.13"/>
    <col customWidth="1" min="42" max="42" width="51.13"/>
    <col customWidth="1" min="43" max="43" width="52.0"/>
    <col customWidth="1" min="44" max="44" width="50.63"/>
    <col customWidth="1" min="45" max="45" width="47.0"/>
    <col customWidth="1" min="46" max="46" width="38.75"/>
    <col customWidth="1" min="47" max="47" width="36.0"/>
    <col customWidth="1" min="48" max="48" width="71.75"/>
    <col customWidth="1" min="49" max="49" width="55.25"/>
    <col customWidth="1" min="50" max="50" width="51.38"/>
    <col customWidth="1" min="51" max="51" width="64.13"/>
    <col customWidth="1" min="52" max="52" width="40.13"/>
    <col customWidth="1" min="53" max="53" width="35.13"/>
    <col customWidth="1" min="54" max="54" width="61.13"/>
    <col customWidth="1" min="55" max="62" width="45.38"/>
    <col customWidth="1" min="63" max="78" width="2.0"/>
  </cols>
  <sheetData>
    <row r="1" ht="27.0" customHeight="1">
      <c r="A1" s="1" t="s">
        <v>0</v>
      </c>
    </row>
    <row r="2" ht="4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29</v>
      </c>
      <c r="AE2" s="2" t="s">
        <v>29</v>
      </c>
      <c r="AF2" s="2" t="s">
        <v>29</v>
      </c>
      <c r="AG2" s="2" t="s">
        <v>29</v>
      </c>
      <c r="AH2" s="2" t="s">
        <v>29</v>
      </c>
      <c r="AI2" s="2" t="s">
        <v>29</v>
      </c>
      <c r="AJ2" s="2" t="s">
        <v>29</v>
      </c>
      <c r="AK2" s="2" t="s">
        <v>30</v>
      </c>
      <c r="AL2" s="2" t="s">
        <v>31</v>
      </c>
      <c r="AM2" s="3" t="s">
        <v>13</v>
      </c>
      <c r="AN2" s="3" t="s">
        <v>14</v>
      </c>
      <c r="AO2" s="3" t="s">
        <v>15</v>
      </c>
      <c r="AP2" s="2" t="s">
        <v>16</v>
      </c>
      <c r="AQ2" s="2" t="s">
        <v>17</v>
      </c>
      <c r="AR2" s="2" t="s">
        <v>18</v>
      </c>
      <c r="AS2" s="2" t="s">
        <v>19</v>
      </c>
      <c r="AT2" s="2" t="s">
        <v>20</v>
      </c>
      <c r="AU2" s="2" t="s">
        <v>21</v>
      </c>
      <c r="AV2" s="2" t="s">
        <v>22</v>
      </c>
      <c r="AW2" s="2" t="s">
        <v>23</v>
      </c>
      <c r="AX2" s="2" t="s">
        <v>24</v>
      </c>
      <c r="AY2" s="2" t="s">
        <v>25</v>
      </c>
      <c r="AZ2" s="2" t="s">
        <v>26</v>
      </c>
      <c r="BA2" s="2" t="s">
        <v>27</v>
      </c>
      <c r="BB2" s="2" t="s">
        <v>28</v>
      </c>
      <c r="BC2" s="2" t="s">
        <v>29</v>
      </c>
      <c r="BD2" s="2" t="s">
        <v>29</v>
      </c>
      <c r="BE2" s="2" t="s">
        <v>29</v>
      </c>
      <c r="BF2" s="2" t="s">
        <v>29</v>
      </c>
      <c r="BG2" s="2" t="s">
        <v>29</v>
      </c>
      <c r="BH2" s="2" t="s">
        <v>29</v>
      </c>
      <c r="BI2" s="2" t="s">
        <v>29</v>
      </c>
      <c r="BJ2" s="2" t="s">
        <v>29</v>
      </c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</row>
    <row r="3" ht="20.25" customHeight="1">
      <c r="A3" s="5" t="s">
        <v>32</v>
      </c>
      <c r="B3" s="6">
        <v>0.0</v>
      </c>
      <c r="C3" s="7">
        <v>32.0</v>
      </c>
      <c r="D3" s="8" t="s">
        <v>33</v>
      </c>
      <c r="E3" s="8" t="s">
        <v>34</v>
      </c>
      <c r="F3" s="8" t="s">
        <v>35</v>
      </c>
      <c r="G3" s="7">
        <v>3.0</v>
      </c>
      <c r="H3" s="7">
        <v>2.0</v>
      </c>
      <c r="I3" s="7">
        <v>5.0</v>
      </c>
      <c r="J3" s="7">
        <v>4.0</v>
      </c>
      <c r="K3" s="8" t="s">
        <v>36</v>
      </c>
      <c r="L3" s="7">
        <v>5.0</v>
      </c>
      <c r="M3" s="7">
        <v>2.0</v>
      </c>
      <c r="N3" s="7">
        <v>5.0</v>
      </c>
      <c r="O3" s="7">
        <v>1.0</v>
      </c>
      <c r="P3" s="7">
        <v>6.0</v>
      </c>
      <c r="Q3" s="7">
        <v>3.0</v>
      </c>
      <c r="R3" s="7">
        <v>3.0</v>
      </c>
      <c r="S3" s="7">
        <v>4.0</v>
      </c>
      <c r="T3" s="7">
        <v>2.0</v>
      </c>
      <c r="U3" s="7">
        <v>4.0</v>
      </c>
      <c r="V3" s="7">
        <v>1.0</v>
      </c>
      <c r="W3" s="7">
        <v>4.0</v>
      </c>
      <c r="X3" s="7">
        <v>1.0</v>
      </c>
      <c r="Y3" s="7">
        <v>5.0</v>
      </c>
      <c r="Z3" s="7">
        <v>1.0</v>
      </c>
      <c r="AA3" s="7">
        <v>5.0</v>
      </c>
      <c r="AB3" s="7">
        <v>1.0</v>
      </c>
      <c r="AC3" s="7">
        <v>7.0</v>
      </c>
      <c r="AD3" s="7">
        <v>6.0</v>
      </c>
      <c r="AE3" s="7">
        <v>4.0</v>
      </c>
      <c r="AF3" s="7">
        <v>5.0</v>
      </c>
      <c r="AG3" s="7">
        <v>6.0</v>
      </c>
      <c r="AH3" s="7">
        <v>5.0</v>
      </c>
      <c r="AI3" s="7">
        <v>5.0</v>
      </c>
      <c r="AJ3" s="7">
        <v>6.0</v>
      </c>
      <c r="AK3" s="8" t="s">
        <v>37</v>
      </c>
      <c r="AL3" s="7">
        <v>3.0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>
        <v>7.0</v>
      </c>
      <c r="BD3" s="7">
        <v>6.0</v>
      </c>
      <c r="BE3" s="7">
        <v>5.0</v>
      </c>
      <c r="BF3" s="7">
        <v>6.0</v>
      </c>
      <c r="BG3" s="7">
        <v>2.0</v>
      </c>
      <c r="BH3" s="7">
        <v>3.0</v>
      </c>
      <c r="BI3" s="7">
        <v>4.0</v>
      </c>
      <c r="BJ3" s="7">
        <v>2.0</v>
      </c>
      <c r="BK3" s="7">
        <v>2.0</v>
      </c>
      <c r="BL3" s="7">
        <v>1.0</v>
      </c>
      <c r="BM3" s="7">
        <v>6.0</v>
      </c>
      <c r="BN3" s="7">
        <v>3.0</v>
      </c>
      <c r="BO3" s="7">
        <v>2.0</v>
      </c>
      <c r="BP3" s="7">
        <v>1.0</v>
      </c>
      <c r="BQ3" s="7">
        <v>1.0</v>
      </c>
      <c r="BR3" s="7">
        <v>1.0</v>
      </c>
      <c r="BS3" s="7">
        <v>3.0</v>
      </c>
      <c r="BT3" s="7">
        <v>5.0</v>
      </c>
      <c r="BU3" s="7">
        <v>3.0</v>
      </c>
      <c r="BV3" s="7">
        <v>1.0</v>
      </c>
      <c r="BW3" s="7">
        <v>5.0</v>
      </c>
      <c r="BX3" s="7">
        <v>2.0</v>
      </c>
      <c r="BY3" s="7">
        <v>3.0</v>
      </c>
      <c r="BZ3" s="7">
        <v>4.0</v>
      </c>
    </row>
    <row r="4" ht="19.5" customHeight="1">
      <c r="A4" s="9" t="s">
        <v>38</v>
      </c>
      <c r="B4" s="10">
        <v>1.0</v>
      </c>
      <c r="C4" s="11">
        <v>23.0</v>
      </c>
      <c r="D4" s="12" t="s">
        <v>33</v>
      </c>
      <c r="E4" s="12" t="s">
        <v>34</v>
      </c>
      <c r="F4" s="12" t="s">
        <v>39</v>
      </c>
      <c r="G4" s="11">
        <v>4.0</v>
      </c>
      <c r="H4" s="11">
        <v>4.0</v>
      </c>
      <c r="I4" s="11">
        <v>4.0</v>
      </c>
      <c r="J4" s="11">
        <v>4.0</v>
      </c>
      <c r="K4" s="12" t="s">
        <v>40</v>
      </c>
      <c r="L4" s="11">
        <v>5.0</v>
      </c>
      <c r="M4" s="11">
        <v>3.0</v>
      </c>
      <c r="N4" s="11">
        <v>4.0</v>
      </c>
      <c r="O4" s="11">
        <v>2.0</v>
      </c>
      <c r="P4" s="11">
        <v>6.0</v>
      </c>
      <c r="Q4" s="11">
        <v>3.0</v>
      </c>
      <c r="R4" s="11">
        <v>2.0</v>
      </c>
      <c r="S4" s="11">
        <v>2.0</v>
      </c>
      <c r="T4" s="11">
        <v>2.0</v>
      </c>
      <c r="U4" s="11">
        <v>4.0</v>
      </c>
      <c r="V4" s="11">
        <v>1.0</v>
      </c>
      <c r="W4" s="11">
        <v>4.0</v>
      </c>
      <c r="X4" s="11">
        <v>1.0</v>
      </c>
      <c r="Y4" s="11">
        <v>4.0</v>
      </c>
      <c r="Z4" s="11">
        <v>3.0</v>
      </c>
      <c r="AA4" s="11">
        <v>4.0</v>
      </c>
      <c r="AB4" s="11">
        <v>2.0</v>
      </c>
      <c r="AC4" s="11">
        <v>3.0</v>
      </c>
      <c r="AD4" s="11">
        <v>5.0</v>
      </c>
      <c r="AE4" s="11">
        <v>4.0</v>
      </c>
      <c r="AF4" s="11">
        <v>6.0</v>
      </c>
      <c r="AG4" s="11">
        <v>2.0</v>
      </c>
      <c r="AH4" s="11">
        <v>3.0</v>
      </c>
      <c r="AI4" s="11">
        <v>2.0</v>
      </c>
      <c r="AJ4" s="11">
        <v>4.0</v>
      </c>
      <c r="AK4" s="12" t="s">
        <v>41</v>
      </c>
      <c r="AL4" s="11">
        <v>3.0</v>
      </c>
      <c r="AM4" s="11">
        <v>5.0</v>
      </c>
      <c r="AN4" s="11">
        <v>3.0</v>
      </c>
      <c r="AO4" s="11">
        <v>1.0</v>
      </c>
      <c r="AP4" s="11">
        <v>6.0</v>
      </c>
      <c r="AQ4" s="11">
        <v>5.0</v>
      </c>
      <c r="AR4" s="11">
        <v>1.0</v>
      </c>
      <c r="AS4" s="11">
        <v>2.0</v>
      </c>
      <c r="AT4" s="11">
        <v>3.0</v>
      </c>
      <c r="AU4" s="11">
        <v>4.0</v>
      </c>
      <c r="AV4" s="11">
        <v>2.0</v>
      </c>
      <c r="AW4" s="11">
        <v>3.0</v>
      </c>
      <c r="AX4" s="11">
        <v>2.0</v>
      </c>
      <c r="AY4" s="11">
        <v>4.0</v>
      </c>
      <c r="AZ4" s="11">
        <v>3.0</v>
      </c>
      <c r="BA4" s="11">
        <v>4.0</v>
      </c>
      <c r="BB4" s="11">
        <v>1.0</v>
      </c>
      <c r="BC4" s="11">
        <v>5.0</v>
      </c>
      <c r="BD4" s="11">
        <v>6.0</v>
      </c>
      <c r="BE4" s="11">
        <v>4.0</v>
      </c>
      <c r="BF4" s="11">
        <v>4.0</v>
      </c>
      <c r="BG4" s="11">
        <v>3.0</v>
      </c>
      <c r="BH4" s="11">
        <v>2.0</v>
      </c>
      <c r="BI4" s="11">
        <v>3.0</v>
      </c>
      <c r="BJ4" s="11">
        <v>3.0</v>
      </c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</row>
    <row r="5" ht="19.5" customHeight="1">
      <c r="A5" s="9" t="s">
        <v>42</v>
      </c>
      <c r="B5" s="10">
        <v>2.0</v>
      </c>
      <c r="C5" s="11">
        <v>24.0</v>
      </c>
      <c r="D5" s="12" t="s">
        <v>43</v>
      </c>
      <c r="E5" s="12" t="s">
        <v>34</v>
      </c>
      <c r="F5" s="12" t="s">
        <v>44</v>
      </c>
      <c r="G5" s="11">
        <v>5.0</v>
      </c>
      <c r="H5" s="11">
        <v>5.0</v>
      </c>
      <c r="I5" s="11">
        <v>4.0</v>
      </c>
      <c r="J5" s="11">
        <v>5.0</v>
      </c>
      <c r="K5" s="12" t="s">
        <v>37</v>
      </c>
      <c r="L5" s="11">
        <v>5.0</v>
      </c>
      <c r="M5" s="11">
        <v>4.0</v>
      </c>
      <c r="N5" s="11">
        <v>3.0</v>
      </c>
      <c r="O5" s="11">
        <v>2.0</v>
      </c>
      <c r="P5" s="11">
        <v>6.0</v>
      </c>
      <c r="Q5" s="11">
        <v>4.0</v>
      </c>
      <c r="R5" s="11">
        <v>2.0</v>
      </c>
      <c r="S5" s="11">
        <v>5.0</v>
      </c>
      <c r="T5" s="11">
        <v>2.0</v>
      </c>
      <c r="U5" s="11">
        <v>4.0</v>
      </c>
      <c r="V5" s="11">
        <v>2.0</v>
      </c>
      <c r="W5" s="11">
        <v>5.0</v>
      </c>
      <c r="X5" s="11">
        <v>1.0</v>
      </c>
      <c r="Y5" s="11">
        <v>5.0</v>
      </c>
      <c r="Z5" s="11">
        <v>1.0</v>
      </c>
      <c r="AA5" s="11">
        <v>4.0</v>
      </c>
      <c r="AB5" s="11">
        <v>1.0</v>
      </c>
      <c r="AC5" s="11">
        <v>6.0</v>
      </c>
      <c r="AD5" s="11">
        <v>5.0</v>
      </c>
      <c r="AE5" s="11">
        <v>6.0</v>
      </c>
      <c r="AF5" s="11">
        <v>5.0</v>
      </c>
      <c r="AG5" s="11">
        <v>5.0</v>
      </c>
      <c r="AH5" s="11">
        <v>7.0</v>
      </c>
      <c r="AI5" s="11">
        <v>5.0</v>
      </c>
      <c r="AJ5" s="11">
        <v>5.0</v>
      </c>
      <c r="AK5" s="12" t="s">
        <v>36</v>
      </c>
      <c r="AL5" s="11">
        <v>3.0</v>
      </c>
      <c r="AM5" s="11">
        <v>5.0</v>
      </c>
      <c r="AN5" s="11">
        <v>6.0</v>
      </c>
      <c r="AO5" s="11">
        <v>2.0</v>
      </c>
      <c r="AP5" s="11">
        <v>6.0</v>
      </c>
      <c r="AQ5" s="11">
        <v>6.0</v>
      </c>
      <c r="AR5" s="11">
        <v>5.0</v>
      </c>
      <c r="AS5" s="11">
        <v>5.0</v>
      </c>
      <c r="AT5" s="11">
        <v>2.0</v>
      </c>
      <c r="AU5" s="11">
        <v>3.0</v>
      </c>
      <c r="AV5" s="11">
        <v>5.0</v>
      </c>
      <c r="AW5" s="11">
        <v>4.0</v>
      </c>
      <c r="AX5" s="11">
        <v>4.0</v>
      </c>
      <c r="AY5" s="11">
        <v>2.0</v>
      </c>
      <c r="AZ5" s="11">
        <v>2.0</v>
      </c>
      <c r="BA5" s="11">
        <v>2.0</v>
      </c>
      <c r="BB5" s="11">
        <v>2.0</v>
      </c>
      <c r="BC5" s="11">
        <v>6.0</v>
      </c>
      <c r="BD5" s="11">
        <v>3.0</v>
      </c>
      <c r="BE5" s="11">
        <v>6.0</v>
      </c>
      <c r="BF5" s="11">
        <v>3.0</v>
      </c>
      <c r="BG5" s="11">
        <v>6.0</v>
      </c>
      <c r="BH5" s="11">
        <v>7.0</v>
      </c>
      <c r="BI5" s="11">
        <v>5.0</v>
      </c>
      <c r="BJ5" s="11">
        <v>6.0</v>
      </c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</row>
    <row r="6" ht="19.5" customHeight="1">
      <c r="A6" s="9" t="s">
        <v>45</v>
      </c>
      <c r="B6" s="10">
        <v>3.0</v>
      </c>
      <c r="C6" s="11">
        <v>30.0</v>
      </c>
      <c r="D6" s="12" t="s">
        <v>33</v>
      </c>
      <c r="E6" s="12" t="s">
        <v>34</v>
      </c>
      <c r="F6" s="12" t="s">
        <v>44</v>
      </c>
      <c r="G6" s="11">
        <v>3.0</v>
      </c>
      <c r="H6" s="11">
        <v>4.0</v>
      </c>
      <c r="I6" s="11">
        <v>5.0</v>
      </c>
      <c r="J6" s="11">
        <v>4.0</v>
      </c>
      <c r="K6" s="12" t="s">
        <v>36</v>
      </c>
      <c r="L6" s="11">
        <v>5.0</v>
      </c>
      <c r="M6" s="11">
        <v>5.0</v>
      </c>
      <c r="N6" s="11">
        <v>5.0</v>
      </c>
      <c r="O6" s="11">
        <v>3.0</v>
      </c>
      <c r="P6" s="11">
        <v>6.0</v>
      </c>
      <c r="Q6" s="11">
        <v>3.0</v>
      </c>
      <c r="R6" s="11">
        <v>3.0</v>
      </c>
      <c r="S6" s="11">
        <v>2.0</v>
      </c>
      <c r="T6" s="11">
        <v>3.0</v>
      </c>
      <c r="U6" s="11">
        <v>3.0</v>
      </c>
      <c r="V6" s="11">
        <v>2.0</v>
      </c>
      <c r="W6" s="11">
        <v>3.0</v>
      </c>
      <c r="X6" s="11">
        <v>3.0</v>
      </c>
      <c r="Y6" s="11">
        <v>4.0</v>
      </c>
      <c r="Z6" s="11">
        <v>3.0</v>
      </c>
      <c r="AA6" s="11">
        <v>3.0</v>
      </c>
      <c r="AB6" s="11">
        <v>2.0</v>
      </c>
      <c r="AC6" s="11">
        <v>5.0</v>
      </c>
      <c r="AD6" s="11">
        <v>5.0</v>
      </c>
      <c r="AE6" s="11">
        <v>6.0</v>
      </c>
      <c r="AF6" s="11">
        <v>5.0</v>
      </c>
      <c r="AG6" s="11">
        <v>5.0</v>
      </c>
      <c r="AH6" s="11">
        <v>5.0</v>
      </c>
      <c r="AI6" s="11">
        <v>4.0</v>
      </c>
      <c r="AJ6" s="11">
        <v>3.0</v>
      </c>
      <c r="AK6" s="12" t="s">
        <v>37</v>
      </c>
      <c r="AL6" s="11">
        <v>6.0</v>
      </c>
      <c r="AM6" s="11">
        <v>3.0</v>
      </c>
      <c r="AN6" s="11">
        <v>3.0</v>
      </c>
      <c r="AO6" s="11">
        <v>3.0</v>
      </c>
      <c r="AP6" s="11">
        <v>5.0</v>
      </c>
      <c r="AQ6" s="11">
        <v>4.0</v>
      </c>
      <c r="AR6" s="11">
        <v>3.0</v>
      </c>
      <c r="AS6" s="11">
        <v>2.0</v>
      </c>
      <c r="AT6" s="11">
        <v>2.0</v>
      </c>
      <c r="AU6" s="11">
        <v>4.0</v>
      </c>
      <c r="AV6" s="11">
        <v>1.0</v>
      </c>
      <c r="AW6" s="11">
        <v>4.0</v>
      </c>
      <c r="AX6" s="11">
        <v>3.0</v>
      </c>
      <c r="AY6" s="11">
        <v>2.0</v>
      </c>
      <c r="AZ6" s="11">
        <v>3.0</v>
      </c>
      <c r="BA6" s="11">
        <v>3.0</v>
      </c>
      <c r="BB6" s="11">
        <v>1.0</v>
      </c>
      <c r="BC6" s="11">
        <v>6.0</v>
      </c>
      <c r="BD6" s="11">
        <v>6.0</v>
      </c>
      <c r="BE6" s="11">
        <v>6.0</v>
      </c>
      <c r="BF6" s="11">
        <v>5.0</v>
      </c>
      <c r="BG6" s="11">
        <v>6.0</v>
      </c>
      <c r="BH6" s="11">
        <v>3.0</v>
      </c>
      <c r="BI6" s="11">
        <v>3.0</v>
      </c>
      <c r="BJ6" s="11">
        <v>3.0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</row>
    <row r="7" ht="19.5" customHeight="1">
      <c r="A7" s="9" t="s">
        <v>46</v>
      </c>
      <c r="B7" s="10">
        <v>4.0</v>
      </c>
      <c r="C7" s="11">
        <v>24.0</v>
      </c>
      <c r="D7" s="12" t="s">
        <v>43</v>
      </c>
      <c r="E7" s="12" t="s">
        <v>34</v>
      </c>
      <c r="F7" s="12" t="s">
        <v>44</v>
      </c>
      <c r="G7" s="11">
        <v>3.0</v>
      </c>
      <c r="H7" s="11">
        <v>2.0</v>
      </c>
      <c r="I7" s="11">
        <v>4.0</v>
      </c>
      <c r="J7" s="11">
        <v>4.0</v>
      </c>
      <c r="K7" s="12" t="s">
        <v>41</v>
      </c>
      <c r="L7" s="11">
        <v>3.0</v>
      </c>
      <c r="M7" s="11">
        <v>5.0</v>
      </c>
      <c r="N7" s="11">
        <v>4.0</v>
      </c>
      <c r="O7" s="11">
        <v>3.0</v>
      </c>
      <c r="P7" s="11">
        <v>5.0</v>
      </c>
      <c r="Q7" s="11">
        <v>5.0</v>
      </c>
      <c r="R7" s="11">
        <v>5.0</v>
      </c>
      <c r="S7" s="11">
        <v>3.0</v>
      </c>
      <c r="T7" s="11">
        <v>1.0</v>
      </c>
      <c r="U7" s="11">
        <v>4.0</v>
      </c>
      <c r="V7" s="11">
        <v>3.0</v>
      </c>
      <c r="W7" s="11">
        <v>5.0</v>
      </c>
      <c r="X7" s="11">
        <v>1.0</v>
      </c>
      <c r="Y7" s="11">
        <v>5.0</v>
      </c>
      <c r="Z7" s="11">
        <v>3.0</v>
      </c>
      <c r="AA7" s="11">
        <v>3.0</v>
      </c>
      <c r="AB7" s="11">
        <v>2.0</v>
      </c>
      <c r="AC7" s="11">
        <v>5.0</v>
      </c>
      <c r="AD7" s="11">
        <v>4.0</v>
      </c>
      <c r="AE7" s="11">
        <v>7.0</v>
      </c>
      <c r="AF7" s="11">
        <v>5.0</v>
      </c>
      <c r="AG7" s="11">
        <v>6.0</v>
      </c>
      <c r="AH7" s="11">
        <v>5.0</v>
      </c>
      <c r="AI7" s="11">
        <v>1.0</v>
      </c>
      <c r="AJ7" s="11">
        <v>3.0</v>
      </c>
      <c r="AK7" s="12" t="s">
        <v>40</v>
      </c>
      <c r="AL7" s="11">
        <v>6.0</v>
      </c>
      <c r="AM7" s="11">
        <v>3.0</v>
      </c>
      <c r="AN7" s="11">
        <v>3.0</v>
      </c>
      <c r="AO7" s="11">
        <v>2.0</v>
      </c>
      <c r="AP7" s="11">
        <v>6.0</v>
      </c>
      <c r="AQ7" s="11">
        <v>4.0</v>
      </c>
      <c r="AR7" s="11">
        <v>3.0</v>
      </c>
      <c r="AS7" s="11">
        <v>3.0</v>
      </c>
      <c r="AT7" s="11">
        <v>2.0</v>
      </c>
      <c r="AU7" s="11">
        <v>5.0</v>
      </c>
      <c r="AV7" s="11">
        <v>1.0</v>
      </c>
      <c r="AW7" s="11">
        <v>5.0</v>
      </c>
      <c r="AX7" s="11">
        <v>3.0</v>
      </c>
      <c r="AY7" s="11">
        <v>5.0</v>
      </c>
      <c r="AZ7" s="11">
        <v>3.0</v>
      </c>
      <c r="BA7" s="11">
        <v>4.0</v>
      </c>
      <c r="BB7" s="11">
        <v>1.0</v>
      </c>
      <c r="BC7" s="11">
        <v>6.0</v>
      </c>
      <c r="BD7" s="11">
        <v>5.0</v>
      </c>
      <c r="BE7" s="11">
        <v>6.0</v>
      </c>
      <c r="BF7" s="11">
        <v>4.0</v>
      </c>
      <c r="BG7" s="11">
        <v>3.0</v>
      </c>
      <c r="BH7" s="11">
        <v>2.0</v>
      </c>
      <c r="BI7" s="11">
        <v>2.0</v>
      </c>
      <c r="BJ7" s="11">
        <v>2.0</v>
      </c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</row>
    <row r="8" ht="19.5" customHeight="1">
      <c r="A8" s="9" t="s">
        <v>47</v>
      </c>
      <c r="B8" s="10">
        <v>5.0</v>
      </c>
      <c r="C8" s="11">
        <v>27.0</v>
      </c>
      <c r="D8" s="12" t="s">
        <v>33</v>
      </c>
      <c r="E8" s="12" t="s">
        <v>34</v>
      </c>
      <c r="F8" s="12" t="s">
        <v>44</v>
      </c>
      <c r="G8" s="11">
        <v>5.0</v>
      </c>
      <c r="H8" s="11">
        <v>5.0</v>
      </c>
      <c r="I8" s="11">
        <v>5.0</v>
      </c>
      <c r="J8" s="11">
        <v>4.0</v>
      </c>
      <c r="K8" s="12" t="s">
        <v>40</v>
      </c>
      <c r="L8" s="11">
        <v>5.0</v>
      </c>
      <c r="M8" s="11">
        <v>3.0</v>
      </c>
      <c r="N8" s="11">
        <v>4.0</v>
      </c>
      <c r="O8" s="11">
        <v>2.0</v>
      </c>
      <c r="P8" s="11">
        <v>6.0</v>
      </c>
      <c r="Q8" s="11">
        <v>2.0</v>
      </c>
      <c r="R8" s="11">
        <v>3.0</v>
      </c>
      <c r="S8" s="11">
        <v>4.0</v>
      </c>
      <c r="T8" s="11">
        <v>3.0</v>
      </c>
      <c r="U8" s="11">
        <v>4.0</v>
      </c>
      <c r="V8" s="11">
        <v>1.0</v>
      </c>
      <c r="W8" s="11">
        <v>2.0</v>
      </c>
      <c r="X8" s="11">
        <v>2.0</v>
      </c>
      <c r="Y8" s="11">
        <v>5.0</v>
      </c>
      <c r="Z8" s="11">
        <v>2.0</v>
      </c>
      <c r="AA8" s="11">
        <v>4.0</v>
      </c>
      <c r="AB8" s="11">
        <v>1.0</v>
      </c>
      <c r="AC8" s="11">
        <v>5.0</v>
      </c>
      <c r="AD8" s="11">
        <v>5.0</v>
      </c>
      <c r="AE8" s="11">
        <v>3.0</v>
      </c>
      <c r="AF8" s="11">
        <v>3.0</v>
      </c>
      <c r="AG8" s="11">
        <v>5.0</v>
      </c>
      <c r="AH8" s="11">
        <v>5.0</v>
      </c>
      <c r="AI8" s="11">
        <v>2.0</v>
      </c>
      <c r="AJ8" s="11">
        <v>2.0</v>
      </c>
      <c r="AK8" s="12" t="s">
        <v>41</v>
      </c>
      <c r="AL8" s="11">
        <v>3.0</v>
      </c>
      <c r="AM8" s="11">
        <v>4.0</v>
      </c>
      <c r="AN8" s="11">
        <v>5.0</v>
      </c>
      <c r="AO8" s="11">
        <v>5.0</v>
      </c>
      <c r="AP8" s="11">
        <v>4.0</v>
      </c>
      <c r="AQ8" s="11">
        <v>4.0</v>
      </c>
      <c r="AR8" s="11">
        <v>3.0</v>
      </c>
      <c r="AS8" s="11">
        <v>4.0</v>
      </c>
      <c r="AT8" s="11">
        <v>3.0</v>
      </c>
      <c r="AU8" s="11">
        <v>4.0</v>
      </c>
      <c r="AV8" s="11">
        <v>2.0</v>
      </c>
      <c r="AW8" s="11">
        <v>3.0</v>
      </c>
      <c r="AX8" s="11">
        <v>1.0</v>
      </c>
      <c r="AY8" s="11">
        <v>5.0</v>
      </c>
      <c r="AZ8" s="11">
        <v>2.0</v>
      </c>
      <c r="BA8" s="11">
        <v>4.0</v>
      </c>
      <c r="BB8" s="11">
        <v>4.0</v>
      </c>
      <c r="BC8" s="11">
        <v>5.0</v>
      </c>
      <c r="BD8" s="11">
        <v>5.0</v>
      </c>
      <c r="BE8" s="11">
        <v>6.0</v>
      </c>
      <c r="BF8" s="11">
        <v>5.0</v>
      </c>
      <c r="BG8" s="11">
        <v>4.0</v>
      </c>
      <c r="BH8" s="11">
        <v>5.0</v>
      </c>
      <c r="BI8" s="11">
        <v>2.0</v>
      </c>
      <c r="BJ8" s="11">
        <v>3.0</v>
      </c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</row>
    <row r="9" ht="19.5" customHeight="1">
      <c r="A9" s="9" t="s">
        <v>48</v>
      </c>
      <c r="B9" s="10">
        <v>6.0</v>
      </c>
      <c r="C9" s="11">
        <v>22.0</v>
      </c>
      <c r="D9" s="12" t="s">
        <v>43</v>
      </c>
      <c r="E9" s="12" t="s">
        <v>34</v>
      </c>
      <c r="F9" s="12" t="s">
        <v>49</v>
      </c>
      <c r="G9" s="11">
        <v>4.0</v>
      </c>
      <c r="H9" s="11">
        <v>3.0</v>
      </c>
      <c r="I9" s="11">
        <v>4.0</v>
      </c>
      <c r="J9" s="11">
        <v>5.0</v>
      </c>
      <c r="K9" s="12" t="s">
        <v>37</v>
      </c>
      <c r="L9" s="11">
        <v>6.0</v>
      </c>
      <c r="M9" s="11">
        <v>2.0</v>
      </c>
      <c r="N9" s="11">
        <v>2.0</v>
      </c>
      <c r="O9" s="11">
        <v>1.0</v>
      </c>
      <c r="P9" s="11">
        <v>7.0</v>
      </c>
      <c r="Q9" s="11">
        <v>1.0</v>
      </c>
      <c r="R9" s="11">
        <v>2.0</v>
      </c>
      <c r="S9" s="11">
        <v>5.0</v>
      </c>
      <c r="T9" s="11">
        <v>1.0</v>
      </c>
      <c r="U9" s="11">
        <v>5.0</v>
      </c>
      <c r="V9" s="11">
        <v>1.0</v>
      </c>
      <c r="W9" s="11">
        <v>5.0</v>
      </c>
      <c r="X9" s="11">
        <v>1.0</v>
      </c>
      <c r="Y9" s="11">
        <v>5.0</v>
      </c>
      <c r="Z9" s="11">
        <v>1.0</v>
      </c>
      <c r="AA9" s="11">
        <v>4.0</v>
      </c>
      <c r="AB9" s="11">
        <v>1.0</v>
      </c>
      <c r="AC9" s="11">
        <v>7.0</v>
      </c>
      <c r="AD9" s="11">
        <v>7.0</v>
      </c>
      <c r="AE9" s="11">
        <v>7.0</v>
      </c>
      <c r="AF9" s="11">
        <v>7.0</v>
      </c>
      <c r="AG9" s="11">
        <v>7.0</v>
      </c>
      <c r="AH9" s="11">
        <v>7.0</v>
      </c>
      <c r="AI9" s="11">
        <v>5.0</v>
      </c>
      <c r="AJ9" s="11">
        <v>6.0</v>
      </c>
      <c r="AK9" s="12" t="s">
        <v>36</v>
      </c>
      <c r="AL9" s="11">
        <v>5.0</v>
      </c>
      <c r="AM9" s="11">
        <v>2.0</v>
      </c>
      <c r="AN9" s="11">
        <v>3.0</v>
      </c>
      <c r="AO9" s="11">
        <v>2.0</v>
      </c>
      <c r="AP9" s="11">
        <v>6.0</v>
      </c>
      <c r="AQ9" s="11">
        <v>2.0</v>
      </c>
      <c r="AR9" s="11">
        <v>2.0</v>
      </c>
      <c r="AS9" s="11">
        <v>5.0</v>
      </c>
      <c r="AT9" s="11">
        <v>1.0</v>
      </c>
      <c r="AU9" s="11">
        <v>4.0</v>
      </c>
      <c r="AV9" s="11">
        <v>1.0</v>
      </c>
      <c r="AW9" s="11">
        <v>5.0</v>
      </c>
      <c r="AX9" s="11">
        <v>1.0</v>
      </c>
      <c r="AY9" s="11">
        <v>5.0</v>
      </c>
      <c r="AZ9" s="11">
        <v>1.0</v>
      </c>
      <c r="BA9" s="11">
        <v>4.0</v>
      </c>
      <c r="BB9" s="11">
        <v>1.0</v>
      </c>
      <c r="BC9" s="11">
        <v>7.0</v>
      </c>
      <c r="BD9" s="11">
        <v>7.0</v>
      </c>
      <c r="BE9" s="11">
        <v>7.0</v>
      </c>
      <c r="BF9" s="11">
        <v>6.0</v>
      </c>
      <c r="BG9" s="11">
        <v>7.0</v>
      </c>
      <c r="BH9" s="11">
        <v>7.0</v>
      </c>
      <c r="BI9" s="11">
        <v>6.0</v>
      </c>
      <c r="BJ9" s="11">
        <v>6.0</v>
      </c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</row>
    <row r="10" ht="19.5" customHeight="1">
      <c r="A10" s="9" t="s">
        <v>50</v>
      </c>
      <c r="B10" s="10">
        <v>7.0</v>
      </c>
      <c r="C10" s="11">
        <v>23.0</v>
      </c>
      <c r="D10" s="12" t="s">
        <v>33</v>
      </c>
      <c r="E10" s="12" t="s">
        <v>34</v>
      </c>
      <c r="F10" s="12" t="s">
        <v>44</v>
      </c>
      <c r="G10" s="11">
        <v>3.0</v>
      </c>
      <c r="H10" s="11">
        <v>4.0</v>
      </c>
      <c r="I10" s="11">
        <v>5.0</v>
      </c>
      <c r="J10" s="11">
        <v>5.0</v>
      </c>
      <c r="K10" s="12" t="s">
        <v>36</v>
      </c>
      <c r="L10" s="11">
        <v>3.0</v>
      </c>
      <c r="M10" s="11">
        <v>3.0</v>
      </c>
      <c r="N10" s="11">
        <v>4.0</v>
      </c>
      <c r="O10" s="11">
        <v>3.0</v>
      </c>
      <c r="P10" s="11">
        <v>6.0</v>
      </c>
      <c r="Q10" s="11">
        <v>4.0</v>
      </c>
      <c r="R10" s="11">
        <v>1.0</v>
      </c>
      <c r="S10" s="11">
        <v>2.0</v>
      </c>
      <c r="T10" s="11">
        <v>1.0</v>
      </c>
      <c r="U10" s="11">
        <v>4.0</v>
      </c>
      <c r="V10" s="11">
        <v>1.0</v>
      </c>
      <c r="W10" s="11">
        <v>3.0</v>
      </c>
      <c r="X10" s="11">
        <v>1.0</v>
      </c>
      <c r="Y10" s="11">
        <v>3.0</v>
      </c>
      <c r="Z10" s="11">
        <v>1.0</v>
      </c>
      <c r="AA10" s="11">
        <v>4.0</v>
      </c>
      <c r="AB10" s="11">
        <v>3.0</v>
      </c>
      <c r="AC10" s="11">
        <v>7.0</v>
      </c>
      <c r="AD10" s="11">
        <v>6.0</v>
      </c>
      <c r="AE10" s="11">
        <v>6.0</v>
      </c>
      <c r="AF10" s="11">
        <v>6.0</v>
      </c>
      <c r="AG10" s="11">
        <v>4.0</v>
      </c>
      <c r="AH10" s="11">
        <v>4.0</v>
      </c>
      <c r="AI10" s="11">
        <v>5.0</v>
      </c>
      <c r="AJ10" s="11">
        <v>5.0</v>
      </c>
      <c r="AK10" s="12" t="s">
        <v>37</v>
      </c>
      <c r="AL10" s="11">
        <v>3.0</v>
      </c>
      <c r="AM10" s="11">
        <v>5.0</v>
      </c>
      <c r="AN10" s="11">
        <v>5.0</v>
      </c>
      <c r="AO10" s="11">
        <v>2.0</v>
      </c>
      <c r="AP10" s="11">
        <v>6.0</v>
      </c>
      <c r="AQ10" s="11">
        <v>5.0</v>
      </c>
      <c r="AR10" s="11">
        <v>4.0</v>
      </c>
      <c r="AS10" s="11">
        <v>2.0</v>
      </c>
      <c r="AT10" s="11">
        <v>2.0</v>
      </c>
      <c r="AU10" s="11">
        <v>4.0</v>
      </c>
      <c r="AV10" s="11">
        <v>4.0</v>
      </c>
      <c r="AW10" s="11">
        <v>3.0</v>
      </c>
      <c r="AX10" s="11">
        <v>3.0</v>
      </c>
      <c r="AY10" s="11">
        <v>2.0</v>
      </c>
      <c r="AZ10" s="11">
        <v>3.0</v>
      </c>
      <c r="BA10" s="11">
        <v>2.0</v>
      </c>
      <c r="BB10" s="11">
        <v>2.0</v>
      </c>
      <c r="BC10" s="11">
        <v>6.0</v>
      </c>
      <c r="BD10" s="11">
        <v>4.0</v>
      </c>
      <c r="BE10" s="11">
        <v>5.0</v>
      </c>
      <c r="BF10" s="11">
        <v>4.0</v>
      </c>
      <c r="BG10" s="11">
        <v>3.0</v>
      </c>
      <c r="BH10" s="11">
        <v>3.0</v>
      </c>
      <c r="BI10" s="11">
        <v>3.0</v>
      </c>
      <c r="BJ10" s="11">
        <v>4.0</v>
      </c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</row>
    <row r="11" ht="19.5" customHeight="1">
      <c r="A11" s="9" t="s">
        <v>51</v>
      </c>
      <c r="B11" s="10">
        <v>8.0</v>
      </c>
      <c r="C11" s="11">
        <v>31.0</v>
      </c>
      <c r="D11" s="12" t="s">
        <v>43</v>
      </c>
      <c r="E11" s="12" t="s">
        <v>34</v>
      </c>
      <c r="F11" s="12" t="s">
        <v>44</v>
      </c>
      <c r="G11" s="11">
        <v>5.0</v>
      </c>
      <c r="H11" s="11">
        <v>4.0</v>
      </c>
      <c r="I11" s="11">
        <v>4.0</v>
      </c>
      <c r="J11" s="11">
        <v>3.0</v>
      </c>
      <c r="K11" s="12" t="s">
        <v>41</v>
      </c>
      <c r="L11" s="11">
        <v>5.0</v>
      </c>
      <c r="M11" s="11">
        <v>3.0</v>
      </c>
      <c r="N11" s="11">
        <v>6.0</v>
      </c>
      <c r="O11" s="11">
        <v>1.0</v>
      </c>
      <c r="P11" s="11">
        <v>6.0</v>
      </c>
      <c r="Q11" s="11">
        <v>2.0</v>
      </c>
      <c r="R11" s="11">
        <v>1.0</v>
      </c>
      <c r="S11" s="11">
        <v>5.0</v>
      </c>
      <c r="T11" s="11">
        <v>1.0</v>
      </c>
      <c r="U11" s="11">
        <v>5.0</v>
      </c>
      <c r="V11" s="11">
        <v>1.0</v>
      </c>
      <c r="W11" s="11">
        <v>4.0</v>
      </c>
      <c r="X11" s="11">
        <v>1.0</v>
      </c>
      <c r="Y11" s="11">
        <v>5.0</v>
      </c>
      <c r="Z11" s="11">
        <v>1.0</v>
      </c>
      <c r="AA11" s="11">
        <v>5.0</v>
      </c>
      <c r="AB11" s="11">
        <v>1.0</v>
      </c>
      <c r="AC11" s="11">
        <v>7.0</v>
      </c>
      <c r="AD11" s="11">
        <v>7.0</v>
      </c>
      <c r="AE11" s="11">
        <v>7.0</v>
      </c>
      <c r="AF11" s="11">
        <v>7.0</v>
      </c>
      <c r="AG11" s="11">
        <v>5.0</v>
      </c>
      <c r="AH11" s="11">
        <v>5.0</v>
      </c>
      <c r="AI11" s="11">
        <v>2.0</v>
      </c>
      <c r="AJ11" s="11">
        <v>2.0</v>
      </c>
      <c r="AK11" s="12" t="s">
        <v>40</v>
      </c>
      <c r="AL11" s="11">
        <v>7.0</v>
      </c>
      <c r="AM11" s="11">
        <v>1.0</v>
      </c>
      <c r="AN11" s="11">
        <v>1.0</v>
      </c>
      <c r="AO11" s="11">
        <v>1.0</v>
      </c>
      <c r="AP11" s="11">
        <v>7.0</v>
      </c>
      <c r="AQ11" s="11">
        <v>1.0</v>
      </c>
      <c r="AR11" s="11">
        <v>1.0</v>
      </c>
      <c r="AS11" s="11">
        <v>5.0</v>
      </c>
      <c r="AT11" s="11">
        <v>1.0</v>
      </c>
      <c r="AU11" s="11">
        <v>5.0</v>
      </c>
      <c r="AV11" s="11">
        <v>1.0</v>
      </c>
      <c r="AW11" s="11">
        <v>5.0</v>
      </c>
      <c r="AX11" s="11">
        <v>1.0</v>
      </c>
      <c r="AY11" s="11">
        <v>5.0</v>
      </c>
      <c r="AZ11" s="11">
        <v>1.0</v>
      </c>
      <c r="BA11" s="11">
        <v>5.0</v>
      </c>
      <c r="BB11" s="11">
        <v>1.0</v>
      </c>
      <c r="BC11" s="11">
        <v>7.0</v>
      </c>
      <c r="BD11" s="11">
        <v>7.0</v>
      </c>
      <c r="BE11" s="11">
        <v>7.0</v>
      </c>
      <c r="BF11" s="11">
        <v>7.0</v>
      </c>
      <c r="BG11" s="11">
        <v>6.0</v>
      </c>
      <c r="BH11" s="11">
        <v>6.0</v>
      </c>
      <c r="BI11" s="11">
        <v>4.0</v>
      </c>
      <c r="BJ11" s="11">
        <v>3.0</v>
      </c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</row>
    <row r="12" ht="19.5" customHeight="1">
      <c r="A12" s="9" t="s">
        <v>52</v>
      </c>
      <c r="B12" s="10">
        <v>9.0</v>
      </c>
      <c r="C12" s="11">
        <v>31.0</v>
      </c>
      <c r="D12" s="12" t="s">
        <v>33</v>
      </c>
      <c r="E12" s="12" t="s">
        <v>34</v>
      </c>
      <c r="F12" s="12" t="s">
        <v>49</v>
      </c>
      <c r="G12" s="11">
        <v>4.0</v>
      </c>
      <c r="H12" s="11">
        <v>5.0</v>
      </c>
      <c r="I12" s="11">
        <v>5.0</v>
      </c>
      <c r="J12" s="11">
        <v>4.0</v>
      </c>
      <c r="K12" s="12" t="s">
        <v>40</v>
      </c>
      <c r="L12" s="11">
        <v>6.0</v>
      </c>
      <c r="M12" s="11">
        <v>3.0</v>
      </c>
      <c r="N12" s="11">
        <v>2.0</v>
      </c>
      <c r="O12" s="11">
        <v>1.0</v>
      </c>
      <c r="P12" s="11">
        <v>6.0</v>
      </c>
      <c r="Q12" s="11">
        <v>2.0</v>
      </c>
      <c r="R12" s="11">
        <v>2.0</v>
      </c>
      <c r="S12" s="11">
        <v>5.0</v>
      </c>
      <c r="T12" s="11">
        <v>1.0</v>
      </c>
      <c r="U12" s="11">
        <v>4.0</v>
      </c>
      <c r="V12" s="11">
        <v>1.0</v>
      </c>
      <c r="W12" s="11">
        <v>5.0</v>
      </c>
      <c r="X12" s="11">
        <v>1.0</v>
      </c>
      <c r="Y12" s="11">
        <v>4.0</v>
      </c>
      <c r="Z12" s="11">
        <v>1.0</v>
      </c>
      <c r="AA12" s="11">
        <v>3.0</v>
      </c>
      <c r="AB12" s="11">
        <v>1.0</v>
      </c>
      <c r="AC12" s="11">
        <v>7.0</v>
      </c>
      <c r="AD12" s="11">
        <v>7.0</v>
      </c>
      <c r="AE12" s="11">
        <v>4.0</v>
      </c>
      <c r="AF12" s="11">
        <v>6.0</v>
      </c>
      <c r="AG12" s="11">
        <v>2.0</v>
      </c>
      <c r="AH12" s="11">
        <v>3.0</v>
      </c>
      <c r="AI12" s="11">
        <v>5.0</v>
      </c>
      <c r="AJ12" s="11">
        <v>1.0</v>
      </c>
      <c r="AK12" s="12" t="s">
        <v>41</v>
      </c>
      <c r="AL12" s="11">
        <v>4.0</v>
      </c>
      <c r="AM12" s="11">
        <v>3.0</v>
      </c>
      <c r="AN12" s="11">
        <v>4.0</v>
      </c>
      <c r="AO12" s="11">
        <v>3.0</v>
      </c>
      <c r="AP12" s="11">
        <v>7.0</v>
      </c>
      <c r="AQ12" s="11">
        <v>3.0</v>
      </c>
      <c r="AR12" s="11">
        <v>3.0</v>
      </c>
      <c r="AS12" s="11">
        <v>3.0</v>
      </c>
      <c r="AT12" s="11">
        <v>1.0</v>
      </c>
      <c r="AU12" s="11">
        <v>3.0</v>
      </c>
      <c r="AV12" s="11">
        <v>1.0</v>
      </c>
      <c r="AW12" s="11">
        <v>3.0</v>
      </c>
      <c r="AX12" s="11">
        <v>1.0</v>
      </c>
      <c r="AY12" s="11">
        <v>3.0</v>
      </c>
      <c r="AZ12" s="11">
        <v>2.0</v>
      </c>
      <c r="BA12" s="11">
        <v>4.0</v>
      </c>
      <c r="BB12" s="11">
        <v>1.0</v>
      </c>
      <c r="BC12" s="11">
        <v>4.0</v>
      </c>
      <c r="BD12" s="11">
        <v>4.0</v>
      </c>
      <c r="BE12" s="11">
        <v>4.0</v>
      </c>
      <c r="BF12" s="11">
        <v>4.0</v>
      </c>
      <c r="BG12" s="11">
        <v>1.0</v>
      </c>
      <c r="BH12" s="11">
        <v>3.0</v>
      </c>
      <c r="BI12" s="11">
        <v>1.0</v>
      </c>
      <c r="BJ12" s="11">
        <v>1.0</v>
      </c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</row>
    <row r="13" ht="19.5" customHeight="1">
      <c r="A13" s="9" t="s">
        <v>53</v>
      </c>
      <c r="B13" s="10">
        <v>10.0</v>
      </c>
      <c r="C13" s="11">
        <v>31.0</v>
      </c>
      <c r="D13" s="12" t="s">
        <v>43</v>
      </c>
      <c r="E13" s="12" t="s">
        <v>34</v>
      </c>
      <c r="F13" s="12" t="s">
        <v>35</v>
      </c>
      <c r="G13" s="11">
        <v>5.0</v>
      </c>
      <c r="H13" s="11">
        <v>4.0</v>
      </c>
      <c r="I13" s="11">
        <v>3.0</v>
      </c>
      <c r="J13" s="11">
        <v>4.0</v>
      </c>
      <c r="K13" s="12" t="s">
        <v>37</v>
      </c>
      <c r="L13" s="11">
        <v>6.0</v>
      </c>
      <c r="M13" s="11">
        <v>2.0</v>
      </c>
      <c r="N13" s="11">
        <v>1.0</v>
      </c>
      <c r="O13" s="11">
        <v>1.0</v>
      </c>
      <c r="P13" s="11">
        <v>5.0</v>
      </c>
      <c r="Q13" s="11">
        <v>1.0</v>
      </c>
      <c r="R13" s="11">
        <v>3.0</v>
      </c>
      <c r="S13" s="11">
        <v>3.0</v>
      </c>
      <c r="T13" s="11">
        <v>3.0</v>
      </c>
      <c r="U13" s="11">
        <v>5.0</v>
      </c>
      <c r="V13" s="11">
        <v>1.0</v>
      </c>
      <c r="W13" s="11">
        <v>4.0</v>
      </c>
      <c r="X13" s="11">
        <v>1.0</v>
      </c>
      <c r="Y13" s="11">
        <v>5.0</v>
      </c>
      <c r="Z13" s="11">
        <v>1.0</v>
      </c>
      <c r="AA13" s="11">
        <v>4.0</v>
      </c>
      <c r="AB13" s="11">
        <v>2.0</v>
      </c>
      <c r="AC13" s="11">
        <v>5.0</v>
      </c>
      <c r="AD13" s="11">
        <v>6.0</v>
      </c>
      <c r="AE13" s="11">
        <v>5.0</v>
      </c>
      <c r="AF13" s="11">
        <v>7.0</v>
      </c>
      <c r="AG13" s="11">
        <v>5.0</v>
      </c>
      <c r="AH13" s="11">
        <v>5.0</v>
      </c>
      <c r="AI13" s="11">
        <v>3.0</v>
      </c>
      <c r="AJ13" s="11">
        <v>3.0</v>
      </c>
      <c r="AK13" s="12" t="s">
        <v>36</v>
      </c>
      <c r="AL13" s="11">
        <v>6.0</v>
      </c>
      <c r="AM13" s="11">
        <v>1.0</v>
      </c>
      <c r="AN13" s="11">
        <v>2.0</v>
      </c>
      <c r="AO13" s="11">
        <v>1.0</v>
      </c>
      <c r="AP13" s="11">
        <v>2.0</v>
      </c>
      <c r="AQ13" s="11">
        <v>2.0</v>
      </c>
      <c r="AR13" s="11">
        <v>2.0</v>
      </c>
      <c r="AS13" s="11">
        <v>4.0</v>
      </c>
      <c r="AT13" s="11">
        <v>2.0</v>
      </c>
      <c r="AU13" s="11">
        <v>5.0</v>
      </c>
      <c r="AV13" s="11">
        <v>1.0</v>
      </c>
      <c r="AW13" s="11">
        <v>4.0</v>
      </c>
      <c r="AX13" s="11">
        <v>1.0</v>
      </c>
      <c r="AY13" s="11">
        <v>5.0</v>
      </c>
      <c r="AZ13" s="11">
        <v>1.0</v>
      </c>
      <c r="BA13" s="11">
        <v>4.0</v>
      </c>
      <c r="BB13" s="11">
        <v>1.0</v>
      </c>
      <c r="BC13" s="11">
        <v>5.0</v>
      </c>
      <c r="BD13" s="11">
        <v>6.0</v>
      </c>
      <c r="BE13" s="11">
        <v>5.0</v>
      </c>
      <c r="BF13" s="11">
        <v>6.0</v>
      </c>
      <c r="BG13" s="11">
        <v>4.0</v>
      </c>
      <c r="BH13" s="11">
        <v>4.0</v>
      </c>
      <c r="BI13" s="11">
        <v>3.0</v>
      </c>
      <c r="BJ13" s="11">
        <v>3.0</v>
      </c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ht="19.5" customHeight="1">
      <c r="A14" s="9" t="s">
        <v>54</v>
      </c>
      <c r="B14" s="10">
        <v>11.0</v>
      </c>
      <c r="C14" s="11">
        <v>24.0</v>
      </c>
      <c r="D14" s="12" t="s">
        <v>43</v>
      </c>
      <c r="E14" s="12" t="s">
        <v>34</v>
      </c>
      <c r="F14" s="12" t="s">
        <v>39</v>
      </c>
      <c r="G14" s="11">
        <v>4.0</v>
      </c>
      <c r="H14" s="11">
        <v>4.0</v>
      </c>
      <c r="I14" s="11">
        <v>4.0</v>
      </c>
      <c r="J14" s="11">
        <v>4.0</v>
      </c>
      <c r="K14" s="12" t="s">
        <v>36</v>
      </c>
      <c r="L14" s="11">
        <v>6.0</v>
      </c>
      <c r="M14" s="11">
        <v>2.0</v>
      </c>
      <c r="N14" s="11">
        <v>3.0</v>
      </c>
      <c r="O14" s="11">
        <v>1.0</v>
      </c>
      <c r="P14" s="11">
        <v>7.0</v>
      </c>
      <c r="Q14" s="11">
        <v>6.0</v>
      </c>
      <c r="R14" s="11">
        <v>1.0</v>
      </c>
      <c r="S14" s="11">
        <v>5.0</v>
      </c>
      <c r="T14" s="11">
        <v>1.0</v>
      </c>
      <c r="U14" s="11">
        <v>5.0</v>
      </c>
      <c r="V14" s="11">
        <v>1.0</v>
      </c>
      <c r="W14" s="11">
        <v>4.0</v>
      </c>
      <c r="X14" s="11">
        <v>1.0</v>
      </c>
      <c r="Y14" s="11">
        <v>5.0</v>
      </c>
      <c r="Z14" s="11">
        <v>1.0</v>
      </c>
      <c r="AA14" s="11">
        <v>5.0</v>
      </c>
      <c r="AB14" s="11">
        <v>1.0</v>
      </c>
      <c r="AC14" s="11">
        <v>7.0</v>
      </c>
      <c r="AD14" s="11">
        <v>7.0</v>
      </c>
      <c r="AE14" s="11">
        <v>6.0</v>
      </c>
      <c r="AF14" s="11">
        <v>6.0</v>
      </c>
      <c r="AG14" s="11">
        <v>4.0</v>
      </c>
      <c r="AH14" s="11">
        <v>5.0</v>
      </c>
      <c r="AI14" s="11">
        <v>1.0</v>
      </c>
      <c r="AJ14" s="11">
        <v>1.0</v>
      </c>
      <c r="AK14" s="12" t="s">
        <v>37</v>
      </c>
      <c r="AL14" s="11">
        <v>5.0</v>
      </c>
      <c r="AM14" s="11">
        <v>2.0</v>
      </c>
      <c r="AN14" s="11">
        <v>2.0</v>
      </c>
      <c r="AO14" s="11">
        <v>1.0</v>
      </c>
      <c r="AP14" s="11">
        <v>5.0</v>
      </c>
      <c r="AQ14" s="11">
        <v>2.0</v>
      </c>
      <c r="AR14" s="11">
        <v>1.0</v>
      </c>
      <c r="AS14" s="11">
        <v>4.0</v>
      </c>
      <c r="AT14" s="11">
        <v>1.0</v>
      </c>
      <c r="AU14" s="11">
        <v>5.0</v>
      </c>
      <c r="AV14" s="11">
        <v>1.0</v>
      </c>
      <c r="AW14" s="11">
        <v>4.0</v>
      </c>
      <c r="AX14" s="11">
        <v>1.0</v>
      </c>
      <c r="AY14" s="11">
        <v>5.0</v>
      </c>
      <c r="AZ14" s="11">
        <v>2.0</v>
      </c>
      <c r="BA14" s="11">
        <v>5.0</v>
      </c>
      <c r="BB14" s="11">
        <v>1.0</v>
      </c>
      <c r="BC14" s="11">
        <v>6.0</v>
      </c>
      <c r="BD14" s="11">
        <v>6.0</v>
      </c>
      <c r="BE14" s="11">
        <v>5.0</v>
      </c>
      <c r="BF14" s="11">
        <v>5.0</v>
      </c>
      <c r="BG14" s="11">
        <v>3.0</v>
      </c>
      <c r="BH14" s="11">
        <v>3.0</v>
      </c>
      <c r="BI14" s="11">
        <v>1.0</v>
      </c>
      <c r="BJ14" s="11">
        <v>1.0</v>
      </c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</row>
    <row r="15" ht="19.5" customHeight="1">
      <c r="A15" s="9" t="s">
        <v>55</v>
      </c>
      <c r="B15" s="10">
        <v>12.0</v>
      </c>
      <c r="C15" s="11">
        <v>42.0</v>
      </c>
      <c r="D15" s="12" t="s">
        <v>33</v>
      </c>
      <c r="E15" s="12" t="s">
        <v>34</v>
      </c>
      <c r="F15" s="12" t="s">
        <v>49</v>
      </c>
      <c r="G15" s="11">
        <v>4.0</v>
      </c>
      <c r="H15" s="11">
        <v>4.0</v>
      </c>
      <c r="I15" s="11">
        <v>3.0</v>
      </c>
      <c r="J15" s="11">
        <v>3.0</v>
      </c>
      <c r="K15" s="12" t="s">
        <v>41</v>
      </c>
      <c r="L15" s="11">
        <v>6.0</v>
      </c>
      <c r="M15" s="11">
        <v>1.0</v>
      </c>
      <c r="N15" s="11">
        <v>5.0</v>
      </c>
      <c r="O15" s="11">
        <v>1.0</v>
      </c>
      <c r="P15" s="11">
        <v>5.0</v>
      </c>
      <c r="Q15" s="11">
        <v>1.0</v>
      </c>
      <c r="R15" s="11">
        <v>2.0</v>
      </c>
      <c r="S15" s="11">
        <v>4.0</v>
      </c>
      <c r="T15" s="11">
        <v>2.0</v>
      </c>
      <c r="U15" s="11">
        <v>5.0</v>
      </c>
      <c r="V15" s="11">
        <v>1.0</v>
      </c>
      <c r="W15" s="11">
        <v>3.0</v>
      </c>
      <c r="X15" s="11">
        <v>1.0</v>
      </c>
      <c r="Y15" s="11">
        <v>5.0</v>
      </c>
      <c r="Z15" s="11">
        <v>1.0</v>
      </c>
      <c r="AA15" s="11">
        <v>5.0</v>
      </c>
      <c r="AB15" s="11">
        <v>1.0</v>
      </c>
      <c r="AC15" s="11">
        <v>7.0</v>
      </c>
      <c r="AD15" s="11">
        <v>7.0</v>
      </c>
      <c r="AE15" s="11">
        <v>6.0</v>
      </c>
      <c r="AF15" s="11">
        <v>6.0</v>
      </c>
      <c r="AG15" s="11">
        <v>5.0</v>
      </c>
      <c r="AH15" s="11">
        <v>5.0</v>
      </c>
      <c r="AI15" s="11">
        <v>3.0</v>
      </c>
      <c r="AJ15" s="11">
        <v>3.0</v>
      </c>
      <c r="AK15" s="12" t="s">
        <v>40</v>
      </c>
      <c r="AL15" s="11">
        <v>5.0</v>
      </c>
      <c r="AM15" s="11">
        <v>1.0</v>
      </c>
      <c r="AN15" s="11">
        <v>3.0</v>
      </c>
      <c r="AO15" s="11">
        <v>1.0</v>
      </c>
      <c r="AP15" s="11">
        <v>5.0</v>
      </c>
      <c r="AQ15" s="11">
        <v>2.0</v>
      </c>
      <c r="AR15" s="11">
        <v>2.0</v>
      </c>
      <c r="AS15" s="11">
        <v>4.0</v>
      </c>
      <c r="AT15" s="11">
        <v>2.0</v>
      </c>
      <c r="AU15" s="11">
        <v>5.0</v>
      </c>
      <c r="AV15" s="11">
        <v>1.0</v>
      </c>
      <c r="AW15" s="11">
        <v>4.0</v>
      </c>
      <c r="AX15" s="11">
        <v>1.0</v>
      </c>
      <c r="AY15" s="11">
        <v>5.0</v>
      </c>
      <c r="AZ15" s="11">
        <v>1.0</v>
      </c>
      <c r="BA15" s="11">
        <v>4.0</v>
      </c>
      <c r="BB15" s="11">
        <v>1.0</v>
      </c>
      <c r="BC15" s="11">
        <v>7.0</v>
      </c>
      <c r="BD15" s="11">
        <v>6.0</v>
      </c>
      <c r="BE15" s="11">
        <v>5.0</v>
      </c>
      <c r="BF15" s="11">
        <v>6.0</v>
      </c>
      <c r="BG15" s="11">
        <v>6.0</v>
      </c>
      <c r="BH15" s="11">
        <v>6.0</v>
      </c>
      <c r="BI15" s="11">
        <v>3.0</v>
      </c>
      <c r="BJ15" s="11">
        <v>3.0</v>
      </c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</row>
    <row r="16" ht="19.5" customHeight="1">
      <c r="A16" s="9" t="s">
        <v>56</v>
      </c>
      <c r="B16" s="10">
        <v>13.0</v>
      </c>
      <c r="C16" s="11">
        <v>26.0</v>
      </c>
      <c r="D16" s="12" t="s">
        <v>33</v>
      </c>
      <c r="E16" s="12" t="s">
        <v>34</v>
      </c>
      <c r="F16" s="12" t="s">
        <v>39</v>
      </c>
      <c r="G16" s="11">
        <v>4.0</v>
      </c>
      <c r="H16" s="11">
        <v>4.0</v>
      </c>
      <c r="I16" s="11">
        <v>4.0</v>
      </c>
      <c r="J16" s="11">
        <v>5.0</v>
      </c>
      <c r="K16" s="12" t="s">
        <v>40</v>
      </c>
      <c r="L16" s="11">
        <v>6.0</v>
      </c>
      <c r="M16" s="11">
        <v>2.0</v>
      </c>
      <c r="N16" s="11">
        <v>2.0</v>
      </c>
      <c r="O16" s="11">
        <v>1.0</v>
      </c>
      <c r="P16" s="11">
        <v>7.0</v>
      </c>
      <c r="Q16" s="11">
        <v>3.0</v>
      </c>
      <c r="R16" s="11">
        <v>2.0</v>
      </c>
      <c r="S16" s="11">
        <v>5.0</v>
      </c>
      <c r="T16" s="11">
        <v>1.0</v>
      </c>
      <c r="U16" s="11">
        <v>4.0</v>
      </c>
      <c r="V16" s="11">
        <v>1.0</v>
      </c>
      <c r="W16" s="11">
        <v>5.0</v>
      </c>
      <c r="X16" s="11">
        <v>1.0</v>
      </c>
      <c r="Y16" s="11">
        <v>4.0</v>
      </c>
      <c r="Z16" s="11">
        <v>1.0</v>
      </c>
      <c r="AA16" s="11">
        <v>5.0</v>
      </c>
      <c r="AB16" s="11">
        <v>1.0</v>
      </c>
      <c r="AC16" s="11">
        <v>7.0</v>
      </c>
      <c r="AD16" s="11">
        <v>7.0</v>
      </c>
      <c r="AE16" s="11">
        <v>6.0</v>
      </c>
      <c r="AF16" s="11">
        <v>7.0</v>
      </c>
      <c r="AG16" s="11">
        <v>5.0</v>
      </c>
      <c r="AH16" s="11">
        <v>5.0</v>
      </c>
      <c r="AI16" s="11">
        <v>6.0</v>
      </c>
      <c r="AJ16" s="11">
        <v>7.0</v>
      </c>
      <c r="AK16" s="12" t="s">
        <v>41</v>
      </c>
      <c r="AL16" s="11">
        <v>4.0</v>
      </c>
      <c r="AM16" s="11">
        <v>4.0</v>
      </c>
      <c r="AN16" s="11">
        <v>4.0</v>
      </c>
      <c r="AO16" s="11">
        <v>2.0</v>
      </c>
      <c r="AP16" s="11">
        <v>6.0</v>
      </c>
      <c r="AQ16" s="11">
        <v>3.0</v>
      </c>
      <c r="AR16" s="11">
        <v>1.0</v>
      </c>
      <c r="AS16" s="11">
        <v>5.0</v>
      </c>
      <c r="AT16" s="11">
        <v>1.0</v>
      </c>
      <c r="AU16" s="11">
        <v>5.0</v>
      </c>
      <c r="AV16" s="11">
        <v>1.0</v>
      </c>
      <c r="AW16" s="11">
        <v>5.0</v>
      </c>
      <c r="AX16" s="11">
        <v>1.0</v>
      </c>
      <c r="AY16" s="11">
        <v>5.0</v>
      </c>
      <c r="AZ16" s="11">
        <v>1.0</v>
      </c>
      <c r="BA16" s="11">
        <v>4.0</v>
      </c>
      <c r="BB16" s="11">
        <v>2.0</v>
      </c>
      <c r="BC16" s="11">
        <v>7.0</v>
      </c>
      <c r="BD16" s="11">
        <v>6.0</v>
      </c>
      <c r="BE16" s="11">
        <v>6.0</v>
      </c>
      <c r="BF16" s="11">
        <v>7.0</v>
      </c>
      <c r="BG16" s="11">
        <v>6.0</v>
      </c>
      <c r="BH16" s="11">
        <v>6.0</v>
      </c>
      <c r="BI16" s="11">
        <v>6.0</v>
      </c>
      <c r="BJ16" s="11">
        <v>6.0</v>
      </c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</row>
    <row r="17" ht="19.5" customHeight="1">
      <c r="A17" s="9" t="s">
        <v>57</v>
      </c>
      <c r="B17" s="10">
        <v>14.0</v>
      </c>
      <c r="C17" s="11">
        <v>25.0</v>
      </c>
      <c r="D17" s="12" t="s">
        <v>33</v>
      </c>
      <c r="E17" s="12" t="s">
        <v>58</v>
      </c>
      <c r="F17" s="12" t="s">
        <v>49</v>
      </c>
      <c r="G17" s="11">
        <v>4.0</v>
      </c>
      <c r="H17" s="11">
        <v>4.0</v>
      </c>
      <c r="I17" s="11">
        <v>4.0</v>
      </c>
      <c r="J17" s="11">
        <v>4.0</v>
      </c>
      <c r="K17" s="12" t="s">
        <v>37</v>
      </c>
      <c r="L17" s="11">
        <v>4.0</v>
      </c>
      <c r="M17" s="11">
        <v>5.0</v>
      </c>
      <c r="N17" s="11">
        <v>3.0</v>
      </c>
      <c r="O17" s="11">
        <v>2.0</v>
      </c>
      <c r="P17" s="11">
        <v>4.0</v>
      </c>
      <c r="Q17" s="11">
        <v>5.0</v>
      </c>
      <c r="R17" s="11">
        <v>3.0</v>
      </c>
      <c r="S17" s="11">
        <v>3.0</v>
      </c>
      <c r="T17" s="11">
        <v>4.0</v>
      </c>
      <c r="U17" s="11">
        <v>2.0</v>
      </c>
      <c r="V17" s="11">
        <v>4.0</v>
      </c>
      <c r="W17" s="11">
        <v>2.0</v>
      </c>
      <c r="X17" s="11">
        <v>4.0</v>
      </c>
      <c r="Y17" s="11">
        <v>3.0</v>
      </c>
      <c r="Z17" s="11">
        <v>2.0</v>
      </c>
      <c r="AA17" s="11">
        <v>2.0</v>
      </c>
      <c r="AB17" s="11">
        <v>4.0</v>
      </c>
      <c r="AC17" s="11">
        <v>4.0</v>
      </c>
      <c r="AD17" s="11">
        <v>4.0</v>
      </c>
      <c r="AE17" s="11">
        <v>4.0</v>
      </c>
      <c r="AF17" s="11">
        <v>3.0</v>
      </c>
      <c r="AG17" s="11">
        <v>6.0</v>
      </c>
      <c r="AH17" s="11">
        <v>5.0</v>
      </c>
      <c r="AI17" s="11">
        <v>5.0</v>
      </c>
      <c r="AJ17" s="11">
        <v>4.0</v>
      </c>
      <c r="AK17" s="12" t="s">
        <v>36</v>
      </c>
      <c r="AL17" s="11">
        <v>4.0</v>
      </c>
      <c r="AM17" s="11">
        <v>5.0</v>
      </c>
      <c r="AN17" s="11">
        <v>5.0</v>
      </c>
      <c r="AO17" s="11">
        <v>4.0</v>
      </c>
      <c r="AP17" s="11">
        <v>5.0</v>
      </c>
      <c r="AQ17" s="11">
        <v>3.0</v>
      </c>
      <c r="AR17" s="11">
        <v>3.0</v>
      </c>
      <c r="AS17" s="11">
        <v>3.0</v>
      </c>
      <c r="AT17" s="11">
        <v>3.0</v>
      </c>
      <c r="AU17" s="11">
        <v>4.0</v>
      </c>
      <c r="AV17" s="11">
        <v>3.0</v>
      </c>
      <c r="AW17" s="11">
        <v>4.0</v>
      </c>
      <c r="AX17" s="11">
        <v>2.0</v>
      </c>
      <c r="AY17" s="11">
        <v>3.0</v>
      </c>
      <c r="AZ17" s="11">
        <v>3.0</v>
      </c>
      <c r="BA17" s="11">
        <v>4.0</v>
      </c>
      <c r="BB17" s="11">
        <v>4.0</v>
      </c>
      <c r="BC17" s="11">
        <v>5.0</v>
      </c>
      <c r="BD17" s="11">
        <v>5.0</v>
      </c>
      <c r="BE17" s="11">
        <v>5.0</v>
      </c>
      <c r="BF17" s="11">
        <v>5.0</v>
      </c>
      <c r="BG17" s="11">
        <v>6.0</v>
      </c>
      <c r="BH17" s="11">
        <v>5.0</v>
      </c>
      <c r="BI17" s="11">
        <v>5.0</v>
      </c>
      <c r="BJ17" s="11">
        <v>4.0</v>
      </c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</row>
    <row r="18" ht="19.5" customHeight="1">
      <c r="A18" s="9" t="s">
        <v>59</v>
      </c>
      <c r="B18" s="10">
        <v>15.0</v>
      </c>
      <c r="C18" s="11">
        <v>25.0</v>
      </c>
      <c r="D18" s="12" t="s">
        <v>33</v>
      </c>
      <c r="E18" s="12" t="s">
        <v>34</v>
      </c>
      <c r="F18" s="12" t="s">
        <v>44</v>
      </c>
      <c r="G18" s="11">
        <v>4.0</v>
      </c>
      <c r="H18" s="11">
        <v>5.0</v>
      </c>
      <c r="I18" s="11">
        <v>5.0</v>
      </c>
      <c r="J18" s="11">
        <v>5.0</v>
      </c>
      <c r="K18" s="12" t="s">
        <v>36</v>
      </c>
      <c r="L18" s="11">
        <v>6.0</v>
      </c>
      <c r="M18" s="11">
        <v>1.0</v>
      </c>
      <c r="N18" s="11">
        <v>2.0</v>
      </c>
      <c r="O18" s="11">
        <v>1.0</v>
      </c>
      <c r="P18" s="11">
        <v>7.0</v>
      </c>
      <c r="Q18" s="11">
        <v>2.0</v>
      </c>
      <c r="R18" s="11">
        <v>2.0</v>
      </c>
      <c r="S18" s="11">
        <v>5.0</v>
      </c>
      <c r="T18" s="11">
        <v>2.0</v>
      </c>
      <c r="U18" s="11">
        <v>5.0</v>
      </c>
      <c r="V18" s="11">
        <v>1.0</v>
      </c>
      <c r="W18" s="11">
        <v>5.0</v>
      </c>
      <c r="X18" s="11">
        <v>1.0</v>
      </c>
      <c r="Y18" s="11">
        <v>5.0</v>
      </c>
      <c r="Z18" s="11">
        <v>1.0</v>
      </c>
      <c r="AA18" s="11">
        <v>5.0</v>
      </c>
      <c r="AB18" s="11">
        <v>1.0</v>
      </c>
      <c r="AC18" s="11">
        <v>7.0</v>
      </c>
      <c r="AD18" s="11">
        <v>6.0</v>
      </c>
      <c r="AE18" s="11">
        <v>7.0</v>
      </c>
      <c r="AF18" s="11">
        <v>6.0</v>
      </c>
      <c r="AG18" s="11">
        <v>6.0</v>
      </c>
      <c r="AH18" s="11">
        <v>6.0</v>
      </c>
      <c r="AI18" s="11">
        <v>4.0</v>
      </c>
      <c r="AJ18" s="11">
        <v>5.0</v>
      </c>
      <c r="AK18" s="12" t="s">
        <v>37</v>
      </c>
      <c r="AL18" s="11">
        <v>7.0</v>
      </c>
      <c r="AM18" s="11">
        <v>3.0</v>
      </c>
      <c r="AN18" s="11">
        <v>1.0</v>
      </c>
      <c r="AO18" s="11">
        <v>1.0</v>
      </c>
      <c r="AP18" s="11">
        <v>5.0</v>
      </c>
      <c r="AQ18" s="11">
        <v>2.0</v>
      </c>
      <c r="AR18" s="11">
        <v>2.0</v>
      </c>
      <c r="AS18" s="11">
        <v>5.0</v>
      </c>
      <c r="AT18" s="11">
        <v>1.0</v>
      </c>
      <c r="AU18" s="11">
        <v>4.0</v>
      </c>
      <c r="AV18" s="11">
        <v>1.0</v>
      </c>
      <c r="AW18" s="11">
        <v>5.0</v>
      </c>
      <c r="AX18" s="11">
        <v>1.0</v>
      </c>
      <c r="AY18" s="11">
        <v>5.0</v>
      </c>
      <c r="AZ18" s="11">
        <v>1.0</v>
      </c>
      <c r="BA18" s="11">
        <v>4.0</v>
      </c>
      <c r="BB18" s="11">
        <v>1.0</v>
      </c>
      <c r="BC18" s="11">
        <v>6.0</v>
      </c>
      <c r="BD18" s="11">
        <v>5.0</v>
      </c>
      <c r="BE18" s="11">
        <v>7.0</v>
      </c>
      <c r="BF18" s="11">
        <v>5.0</v>
      </c>
      <c r="BG18" s="11">
        <v>6.0</v>
      </c>
      <c r="BH18" s="11">
        <v>7.0</v>
      </c>
      <c r="BI18" s="11">
        <v>4.0</v>
      </c>
      <c r="BJ18" s="11">
        <v>5.0</v>
      </c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</row>
    <row r="19" ht="19.5" customHeight="1">
      <c r="A19" s="9" t="s">
        <v>60</v>
      </c>
      <c r="B19" s="10">
        <v>16.0</v>
      </c>
      <c r="C19" s="11">
        <v>23.0</v>
      </c>
      <c r="D19" s="12" t="s">
        <v>33</v>
      </c>
      <c r="E19" s="12" t="s">
        <v>34</v>
      </c>
      <c r="F19" s="12" t="s">
        <v>44</v>
      </c>
      <c r="G19" s="11">
        <v>3.0</v>
      </c>
      <c r="H19" s="11">
        <v>4.0</v>
      </c>
      <c r="I19" s="11">
        <v>4.0</v>
      </c>
      <c r="J19" s="11">
        <v>3.0</v>
      </c>
      <c r="K19" s="12" t="s">
        <v>41</v>
      </c>
      <c r="L19" s="11">
        <v>5.0</v>
      </c>
      <c r="M19" s="11">
        <v>3.0</v>
      </c>
      <c r="N19" s="11">
        <v>2.0</v>
      </c>
      <c r="O19" s="11">
        <v>1.0</v>
      </c>
      <c r="P19" s="11">
        <v>4.0</v>
      </c>
      <c r="Q19" s="11">
        <v>2.0</v>
      </c>
      <c r="R19" s="11">
        <v>2.0</v>
      </c>
      <c r="S19" s="11">
        <v>2.0</v>
      </c>
      <c r="T19" s="11">
        <v>1.0</v>
      </c>
      <c r="U19" s="11">
        <v>4.0</v>
      </c>
      <c r="V19" s="11">
        <v>1.0</v>
      </c>
      <c r="W19" s="11">
        <v>3.0</v>
      </c>
      <c r="X19" s="11">
        <v>1.0</v>
      </c>
      <c r="Y19" s="11">
        <v>5.0</v>
      </c>
      <c r="Z19" s="11">
        <v>1.0</v>
      </c>
      <c r="AA19" s="11">
        <v>3.0</v>
      </c>
      <c r="AB19" s="11">
        <v>1.0</v>
      </c>
      <c r="AC19" s="11">
        <v>6.0</v>
      </c>
      <c r="AD19" s="11">
        <v>6.0</v>
      </c>
      <c r="AE19" s="11">
        <v>7.0</v>
      </c>
      <c r="AF19" s="11">
        <v>5.0</v>
      </c>
      <c r="AG19" s="11">
        <v>4.0</v>
      </c>
      <c r="AH19" s="11">
        <v>4.0</v>
      </c>
      <c r="AI19" s="11">
        <v>3.0</v>
      </c>
      <c r="AJ19" s="11">
        <v>2.0</v>
      </c>
      <c r="AK19" s="12" t="s">
        <v>40</v>
      </c>
      <c r="AL19" s="11">
        <v>6.0</v>
      </c>
      <c r="AM19" s="11">
        <v>2.0</v>
      </c>
      <c r="AN19" s="11">
        <v>2.0</v>
      </c>
      <c r="AO19" s="11">
        <v>1.0</v>
      </c>
      <c r="AP19" s="11">
        <v>6.0</v>
      </c>
      <c r="AQ19" s="11">
        <v>2.0</v>
      </c>
      <c r="AR19" s="11">
        <v>2.0</v>
      </c>
      <c r="AS19" s="11">
        <v>3.0</v>
      </c>
      <c r="AT19" s="11">
        <v>2.0</v>
      </c>
      <c r="AU19" s="11">
        <v>5.0</v>
      </c>
      <c r="AV19" s="11">
        <v>1.0</v>
      </c>
      <c r="AW19" s="11">
        <v>4.0</v>
      </c>
      <c r="AX19" s="11">
        <v>1.0</v>
      </c>
      <c r="AY19" s="11">
        <v>5.0</v>
      </c>
      <c r="AZ19" s="11">
        <v>1.0</v>
      </c>
      <c r="BA19" s="11">
        <v>4.0</v>
      </c>
      <c r="BB19" s="11">
        <v>1.0</v>
      </c>
      <c r="BC19" s="11">
        <v>6.0</v>
      </c>
      <c r="BD19" s="11">
        <v>6.0</v>
      </c>
      <c r="BE19" s="11">
        <v>7.0</v>
      </c>
      <c r="BF19" s="11">
        <v>5.0</v>
      </c>
      <c r="BG19" s="11">
        <v>4.0</v>
      </c>
      <c r="BH19" s="11">
        <v>4.0</v>
      </c>
      <c r="BI19" s="11">
        <v>3.0</v>
      </c>
      <c r="BJ19" s="11">
        <v>3.0</v>
      </c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 ht="19.5" customHeight="1">
      <c r="A20" s="9" t="s">
        <v>61</v>
      </c>
      <c r="B20" s="10">
        <v>17.0</v>
      </c>
      <c r="C20" s="11">
        <v>35.0</v>
      </c>
      <c r="D20" s="12" t="s">
        <v>33</v>
      </c>
      <c r="E20" s="12" t="s">
        <v>62</v>
      </c>
      <c r="F20" s="12" t="s">
        <v>63</v>
      </c>
      <c r="G20" s="11">
        <v>5.0</v>
      </c>
      <c r="H20" s="11">
        <v>5.0</v>
      </c>
      <c r="I20" s="11">
        <v>5.0</v>
      </c>
      <c r="J20" s="11">
        <v>4.0</v>
      </c>
      <c r="K20" s="12" t="s">
        <v>40</v>
      </c>
      <c r="L20" s="11">
        <v>6.0</v>
      </c>
      <c r="M20" s="11">
        <v>3.0</v>
      </c>
      <c r="N20" s="11">
        <v>2.0</v>
      </c>
      <c r="O20" s="11">
        <v>3.0</v>
      </c>
      <c r="P20" s="11">
        <v>7.0</v>
      </c>
      <c r="Q20" s="11">
        <v>2.0</v>
      </c>
      <c r="R20" s="11">
        <v>2.0</v>
      </c>
      <c r="S20" s="11">
        <v>4.0</v>
      </c>
      <c r="T20" s="11">
        <v>2.0</v>
      </c>
      <c r="U20" s="11">
        <v>4.0</v>
      </c>
      <c r="V20" s="11">
        <v>1.0</v>
      </c>
      <c r="W20" s="11">
        <v>4.0</v>
      </c>
      <c r="X20" s="11">
        <v>2.0</v>
      </c>
      <c r="Y20" s="11">
        <v>4.0</v>
      </c>
      <c r="Z20" s="11">
        <v>1.0</v>
      </c>
      <c r="AA20" s="11">
        <v>4.0</v>
      </c>
      <c r="AB20" s="11">
        <v>1.0</v>
      </c>
      <c r="AC20" s="11">
        <v>6.0</v>
      </c>
      <c r="AD20" s="11">
        <v>7.0</v>
      </c>
      <c r="AE20" s="11">
        <v>6.0</v>
      </c>
      <c r="AF20" s="11">
        <v>6.0</v>
      </c>
      <c r="AG20" s="11">
        <v>2.0</v>
      </c>
      <c r="AH20" s="11">
        <v>4.0</v>
      </c>
      <c r="AI20" s="11">
        <v>3.0</v>
      </c>
      <c r="AJ20" s="11">
        <v>3.0</v>
      </c>
      <c r="AK20" s="12" t="s">
        <v>41</v>
      </c>
      <c r="AL20" s="11">
        <v>5.0</v>
      </c>
      <c r="AM20" s="11">
        <v>3.0</v>
      </c>
      <c r="AN20" s="11">
        <v>5.0</v>
      </c>
      <c r="AO20" s="11">
        <v>2.0</v>
      </c>
      <c r="AP20" s="11">
        <v>5.0</v>
      </c>
      <c r="AQ20" s="11">
        <v>5.0</v>
      </c>
      <c r="AR20" s="11">
        <v>4.0</v>
      </c>
      <c r="AS20" s="11">
        <v>4.0</v>
      </c>
      <c r="AT20" s="11">
        <v>1.0</v>
      </c>
      <c r="AU20" s="11">
        <v>3.0</v>
      </c>
      <c r="AV20" s="11">
        <v>2.0</v>
      </c>
      <c r="AW20" s="11">
        <v>3.0</v>
      </c>
      <c r="AX20" s="11">
        <v>2.0</v>
      </c>
      <c r="AY20" s="11">
        <v>4.0</v>
      </c>
      <c r="AZ20" s="11">
        <v>3.0</v>
      </c>
      <c r="BA20" s="11">
        <v>3.0</v>
      </c>
      <c r="BB20" s="11">
        <v>3.0</v>
      </c>
      <c r="BC20" s="11">
        <v>5.0</v>
      </c>
      <c r="BD20" s="11">
        <v>4.0</v>
      </c>
      <c r="BE20" s="11">
        <v>5.0</v>
      </c>
      <c r="BF20" s="11">
        <v>5.0</v>
      </c>
      <c r="BG20" s="11">
        <v>3.0</v>
      </c>
      <c r="BH20" s="11">
        <v>3.0</v>
      </c>
      <c r="BI20" s="11">
        <v>2.0</v>
      </c>
      <c r="BJ20" s="11">
        <v>2.0</v>
      </c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</row>
    <row r="21" ht="19.5" customHeight="1">
      <c r="A21" s="9" t="s">
        <v>64</v>
      </c>
      <c r="B21" s="10">
        <v>18.0</v>
      </c>
      <c r="C21" s="11">
        <v>24.0</v>
      </c>
      <c r="D21" s="12" t="s">
        <v>43</v>
      </c>
      <c r="E21" s="12" t="s">
        <v>58</v>
      </c>
      <c r="F21" s="12" t="s">
        <v>44</v>
      </c>
      <c r="G21" s="11">
        <v>1.0</v>
      </c>
      <c r="H21" s="11">
        <v>4.0</v>
      </c>
      <c r="I21" s="11">
        <v>4.0</v>
      </c>
      <c r="J21" s="11">
        <v>5.0</v>
      </c>
      <c r="K21" s="12" t="s">
        <v>37</v>
      </c>
      <c r="L21" s="11">
        <v>4.0</v>
      </c>
      <c r="M21" s="11">
        <v>5.0</v>
      </c>
      <c r="N21" s="11">
        <v>2.0</v>
      </c>
      <c r="O21" s="11">
        <v>1.0</v>
      </c>
      <c r="P21" s="11">
        <v>5.0</v>
      </c>
      <c r="Q21" s="11">
        <v>3.0</v>
      </c>
      <c r="R21" s="11">
        <v>5.0</v>
      </c>
      <c r="S21" s="11">
        <v>3.0</v>
      </c>
      <c r="T21" s="11">
        <v>1.0</v>
      </c>
      <c r="U21" s="11">
        <v>4.0</v>
      </c>
      <c r="V21" s="11">
        <v>2.0</v>
      </c>
      <c r="W21" s="11">
        <v>4.0</v>
      </c>
      <c r="X21" s="11">
        <v>2.0</v>
      </c>
      <c r="Y21" s="11">
        <v>4.0</v>
      </c>
      <c r="Z21" s="11">
        <v>2.0</v>
      </c>
      <c r="AA21" s="11">
        <v>3.0</v>
      </c>
      <c r="AB21" s="11">
        <v>2.0</v>
      </c>
      <c r="AC21" s="11">
        <v>7.0</v>
      </c>
      <c r="AD21" s="11">
        <v>5.0</v>
      </c>
      <c r="AE21" s="11">
        <v>6.0</v>
      </c>
      <c r="AF21" s="11">
        <v>6.0</v>
      </c>
      <c r="AG21" s="11">
        <v>3.0</v>
      </c>
      <c r="AH21" s="11">
        <v>3.0</v>
      </c>
      <c r="AI21" s="11">
        <v>4.0</v>
      </c>
      <c r="AJ21" s="11">
        <v>6.0</v>
      </c>
      <c r="AK21" s="12" t="s">
        <v>36</v>
      </c>
      <c r="AL21" s="11">
        <v>5.0</v>
      </c>
      <c r="AM21" s="11">
        <v>3.0</v>
      </c>
      <c r="AN21" s="11">
        <v>3.0</v>
      </c>
      <c r="AO21" s="11">
        <v>1.0</v>
      </c>
      <c r="AP21" s="11">
        <v>6.0</v>
      </c>
      <c r="AQ21" s="11">
        <v>4.0</v>
      </c>
      <c r="AR21" s="11">
        <v>3.0</v>
      </c>
      <c r="AS21" s="11">
        <v>2.0</v>
      </c>
      <c r="AT21" s="11">
        <v>3.0</v>
      </c>
      <c r="AU21" s="11">
        <v>4.0</v>
      </c>
      <c r="AV21" s="11">
        <v>4.0</v>
      </c>
      <c r="AW21" s="11">
        <v>4.0</v>
      </c>
      <c r="AX21" s="11">
        <v>2.0</v>
      </c>
      <c r="AY21" s="11">
        <v>4.0</v>
      </c>
      <c r="AZ21" s="11">
        <v>2.0</v>
      </c>
      <c r="BA21" s="11">
        <v>3.0</v>
      </c>
      <c r="BB21" s="11">
        <v>2.0</v>
      </c>
      <c r="BC21" s="11">
        <v>5.0</v>
      </c>
      <c r="BD21" s="11">
        <v>5.0</v>
      </c>
      <c r="BE21" s="11">
        <v>6.0</v>
      </c>
      <c r="BF21" s="11">
        <v>5.0</v>
      </c>
      <c r="BG21" s="11">
        <v>5.0</v>
      </c>
      <c r="BH21" s="11">
        <v>6.0</v>
      </c>
      <c r="BI21" s="11">
        <v>4.0</v>
      </c>
      <c r="BJ21" s="11">
        <v>6.0</v>
      </c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 ht="19.5" customHeight="1">
      <c r="A22" s="9" t="s">
        <v>65</v>
      </c>
      <c r="B22" s="10">
        <v>19.0</v>
      </c>
      <c r="C22" s="11">
        <v>26.0</v>
      </c>
      <c r="D22" s="12" t="s">
        <v>43</v>
      </c>
      <c r="E22" s="12" t="s">
        <v>34</v>
      </c>
      <c r="F22" s="12" t="s">
        <v>39</v>
      </c>
      <c r="G22" s="11">
        <v>2.0</v>
      </c>
      <c r="H22" s="11">
        <v>3.0</v>
      </c>
      <c r="I22" s="11">
        <v>5.0</v>
      </c>
      <c r="J22" s="11">
        <v>5.0</v>
      </c>
      <c r="K22" s="12" t="s">
        <v>36</v>
      </c>
      <c r="L22" s="11">
        <v>5.0</v>
      </c>
      <c r="M22" s="11">
        <v>5.0</v>
      </c>
      <c r="N22" s="11">
        <v>2.0</v>
      </c>
      <c r="O22" s="11">
        <v>3.0</v>
      </c>
      <c r="P22" s="11">
        <v>5.0</v>
      </c>
      <c r="Q22" s="11">
        <v>3.0</v>
      </c>
      <c r="R22" s="11">
        <v>6.0</v>
      </c>
      <c r="S22" s="11">
        <v>3.0</v>
      </c>
      <c r="T22" s="11">
        <v>1.0</v>
      </c>
      <c r="U22" s="11">
        <v>4.0</v>
      </c>
      <c r="V22" s="11">
        <v>2.0</v>
      </c>
      <c r="W22" s="11">
        <v>4.0</v>
      </c>
      <c r="X22" s="11">
        <v>2.0</v>
      </c>
      <c r="Y22" s="11">
        <v>3.0</v>
      </c>
      <c r="Z22" s="11">
        <v>2.0</v>
      </c>
      <c r="AA22" s="11">
        <v>1.0</v>
      </c>
      <c r="AB22" s="11">
        <v>1.0</v>
      </c>
      <c r="AC22" s="11">
        <v>5.0</v>
      </c>
      <c r="AD22" s="11">
        <v>5.0</v>
      </c>
      <c r="AE22" s="11">
        <v>7.0</v>
      </c>
      <c r="AF22" s="11">
        <v>5.0</v>
      </c>
      <c r="AG22" s="11">
        <v>5.0</v>
      </c>
      <c r="AH22" s="11">
        <v>6.0</v>
      </c>
      <c r="AI22" s="11">
        <v>7.0</v>
      </c>
      <c r="AJ22" s="11">
        <v>5.0</v>
      </c>
      <c r="AK22" s="12" t="s">
        <v>37</v>
      </c>
      <c r="AL22" s="11">
        <v>7.0</v>
      </c>
      <c r="AM22" s="11">
        <v>2.0</v>
      </c>
      <c r="AN22" s="11">
        <v>1.0</v>
      </c>
      <c r="AO22" s="11">
        <v>5.0</v>
      </c>
      <c r="AP22" s="11">
        <v>5.0</v>
      </c>
      <c r="AQ22" s="11">
        <v>3.0</v>
      </c>
      <c r="AR22" s="11">
        <v>3.0</v>
      </c>
      <c r="AS22" s="11">
        <v>3.0</v>
      </c>
      <c r="AT22" s="11">
        <v>1.0</v>
      </c>
      <c r="AU22" s="11">
        <v>5.0</v>
      </c>
      <c r="AV22" s="11">
        <v>1.0</v>
      </c>
      <c r="AW22" s="11">
        <v>5.0</v>
      </c>
      <c r="AX22" s="11">
        <v>1.0</v>
      </c>
      <c r="AY22" s="11">
        <v>3.0</v>
      </c>
      <c r="AZ22" s="11">
        <v>4.0</v>
      </c>
      <c r="BA22" s="11">
        <v>3.0</v>
      </c>
      <c r="BB22" s="11">
        <v>1.0</v>
      </c>
      <c r="BC22" s="11">
        <v>7.0</v>
      </c>
      <c r="BD22" s="11">
        <v>6.0</v>
      </c>
      <c r="BE22" s="11">
        <v>7.0</v>
      </c>
      <c r="BF22" s="11">
        <v>7.0</v>
      </c>
      <c r="BG22" s="11">
        <v>5.0</v>
      </c>
      <c r="BH22" s="11">
        <v>6.0</v>
      </c>
      <c r="BI22" s="11">
        <v>6.0</v>
      </c>
      <c r="BJ22" s="11">
        <v>5.0</v>
      </c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</row>
    <row r="23" ht="19.5" customHeight="1">
      <c r="A23" s="9" t="s">
        <v>66</v>
      </c>
      <c r="B23" s="10">
        <v>20.0</v>
      </c>
      <c r="C23" s="11">
        <v>34.0</v>
      </c>
      <c r="D23" s="12" t="s">
        <v>33</v>
      </c>
      <c r="E23" s="12" t="s">
        <v>58</v>
      </c>
      <c r="F23" s="12" t="s">
        <v>44</v>
      </c>
      <c r="G23" s="11">
        <v>4.0</v>
      </c>
      <c r="H23" s="11">
        <v>4.0</v>
      </c>
      <c r="I23" s="11">
        <v>5.0</v>
      </c>
      <c r="J23" s="11">
        <v>4.0</v>
      </c>
      <c r="K23" s="12" t="s">
        <v>41</v>
      </c>
      <c r="L23" s="11">
        <v>6.0</v>
      </c>
      <c r="M23" s="11">
        <v>4.0</v>
      </c>
      <c r="N23" s="11">
        <v>6.0</v>
      </c>
      <c r="O23" s="11">
        <v>3.0</v>
      </c>
      <c r="P23" s="11">
        <v>7.0</v>
      </c>
      <c r="Q23" s="11">
        <v>3.0</v>
      </c>
      <c r="R23" s="11">
        <v>1.0</v>
      </c>
      <c r="S23" s="11">
        <v>4.0</v>
      </c>
      <c r="T23" s="11">
        <v>3.0</v>
      </c>
      <c r="U23" s="11">
        <v>4.0</v>
      </c>
      <c r="V23" s="11">
        <v>1.0</v>
      </c>
      <c r="W23" s="11">
        <v>3.0</v>
      </c>
      <c r="X23" s="11">
        <v>2.0</v>
      </c>
      <c r="Y23" s="11">
        <v>4.0</v>
      </c>
      <c r="Z23" s="11">
        <v>1.0</v>
      </c>
      <c r="AA23" s="11">
        <v>4.0</v>
      </c>
      <c r="AB23" s="11">
        <v>1.0</v>
      </c>
      <c r="AC23" s="11">
        <v>6.0</v>
      </c>
      <c r="AD23" s="11">
        <v>6.0</v>
      </c>
      <c r="AE23" s="11">
        <v>4.0</v>
      </c>
      <c r="AF23" s="11">
        <v>5.0</v>
      </c>
      <c r="AG23" s="11">
        <v>4.0</v>
      </c>
      <c r="AH23" s="11">
        <v>6.0</v>
      </c>
      <c r="AI23" s="11">
        <v>5.0</v>
      </c>
      <c r="AJ23" s="11">
        <v>4.0</v>
      </c>
      <c r="AK23" s="12" t="s">
        <v>40</v>
      </c>
      <c r="AL23" s="11">
        <v>7.0</v>
      </c>
      <c r="AM23" s="11">
        <v>3.0</v>
      </c>
      <c r="AN23" s="11">
        <v>4.0</v>
      </c>
      <c r="AO23" s="11">
        <v>3.0</v>
      </c>
      <c r="AP23" s="11">
        <v>6.0</v>
      </c>
      <c r="AQ23" s="11">
        <v>3.0</v>
      </c>
      <c r="AR23" s="11">
        <v>1.0</v>
      </c>
      <c r="AS23" s="11">
        <v>5.0</v>
      </c>
      <c r="AT23" s="11">
        <v>2.0</v>
      </c>
      <c r="AU23" s="11">
        <v>5.0</v>
      </c>
      <c r="AV23" s="11">
        <v>3.0</v>
      </c>
      <c r="AW23" s="11">
        <v>5.0</v>
      </c>
      <c r="AX23" s="11">
        <v>1.0</v>
      </c>
      <c r="AY23" s="11">
        <v>4.0</v>
      </c>
      <c r="AZ23" s="11">
        <v>1.0</v>
      </c>
      <c r="BA23" s="11">
        <v>4.0</v>
      </c>
      <c r="BB23" s="11">
        <v>1.0</v>
      </c>
      <c r="BC23" s="11">
        <v>5.0</v>
      </c>
      <c r="BD23" s="11">
        <v>5.0</v>
      </c>
      <c r="BE23" s="11">
        <v>7.0</v>
      </c>
      <c r="BF23" s="11">
        <v>7.0</v>
      </c>
      <c r="BG23" s="11">
        <v>5.0</v>
      </c>
      <c r="BH23" s="11">
        <v>6.0</v>
      </c>
      <c r="BI23" s="11">
        <v>5.0</v>
      </c>
      <c r="BJ23" s="11">
        <v>5.0</v>
      </c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 ht="19.5" customHeight="1">
      <c r="A24" s="9" t="s">
        <v>67</v>
      </c>
      <c r="B24" s="10">
        <v>21.0</v>
      </c>
      <c r="C24" s="11">
        <v>29.0</v>
      </c>
      <c r="D24" s="12" t="s">
        <v>43</v>
      </c>
      <c r="E24" s="12" t="s">
        <v>34</v>
      </c>
      <c r="F24" s="12" t="s">
        <v>39</v>
      </c>
      <c r="G24" s="11">
        <v>4.0</v>
      </c>
      <c r="H24" s="11">
        <v>3.0</v>
      </c>
      <c r="I24" s="11">
        <v>3.0</v>
      </c>
      <c r="J24" s="11">
        <v>2.0</v>
      </c>
      <c r="K24" s="12" t="s">
        <v>36</v>
      </c>
      <c r="L24" s="11">
        <v>6.0</v>
      </c>
      <c r="M24" s="11">
        <v>5.0</v>
      </c>
      <c r="N24" s="11">
        <v>2.0</v>
      </c>
      <c r="O24" s="11">
        <v>1.0</v>
      </c>
      <c r="P24" s="11">
        <v>7.0</v>
      </c>
      <c r="Q24" s="11">
        <v>5.0</v>
      </c>
      <c r="R24" s="11">
        <v>1.0</v>
      </c>
      <c r="S24" s="11">
        <v>5.0</v>
      </c>
      <c r="T24" s="11">
        <v>2.0</v>
      </c>
      <c r="U24" s="11">
        <v>4.0</v>
      </c>
      <c r="V24" s="11">
        <v>1.0</v>
      </c>
      <c r="W24" s="11">
        <v>5.0</v>
      </c>
      <c r="X24" s="11">
        <v>1.0</v>
      </c>
      <c r="Y24" s="11">
        <v>5.0</v>
      </c>
      <c r="Z24" s="11">
        <v>1.0</v>
      </c>
      <c r="AA24" s="11">
        <v>4.0</v>
      </c>
      <c r="AB24" s="11">
        <v>1.0</v>
      </c>
      <c r="AC24" s="11">
        <v>7.0</v>
      </c>
      <c r="AD24" s="11">
        <v>6.0</v>
      </c>
      <c r="AE24" s="11">
        <v>7.0</v>
      </c>
      <c r="AF24" s="11">
        <v>6.0</v>
      </c>
      <c r="AG24" s="11">
        <v>4.0</v>
      </c>
      <c r="AH24" s="11">
        <v>6.0</v>
      </c>
      <c r="AI24" s="11">
        <v>2.0</v>
      </c>
      <c r="AJ24" s="11">
        <v>4.0</v>
      </c>
      <c r="AK24" s="12" t="s">
        <v>37</v>
      </c>
      <c r="AL24" s="11">
        <v>2.0</v>
      </c>
      <c r="AM24" s="11">
        <v>6.0</v>
      </c>
      <c r="AN24" s="11">
        <v>2.0</v>
      </c>
      <c r="AO24" s="11">
        <v>1.0</v>
      </c>
      <c r="AP24" s="11">
        <v>5.0</v>
      </c>
      <c r="AQ24" s="11">
        <v>6.0</v>
      </c>
      <c r="AR24" s="11">
        <v>5.0</v>
      </c>
      <c r="AS24" s="11">
        <v>2.0</v>
      </c>
      <c r="AT24" s="11">
        <v>1.0</v>
      </c>
      <c r="AU24" s="11">
        <v>2.0</v>
      </c>
      <c r="AV24" s="11">
        <v>4.0</v>
      </c>
      <c r="AW24" s="11">
        <v>3.0</v>
      </c>
      <c r="AX24" s="11">
        <v>3.0</v>
      </c>
      <c r="AY24" s="11">
        <v>3.0</v>
      </c>
      <c r="AZ24" s="11">
        <v>4.0</v>
      </c>
      <c r="BA24" s="11">
        <v>1.0</v>
      </c>
      <c r="BB24" s="11">
        <v>4.0</v>
      </c>
      <c r="BC24" s="11">
        <v>3.0</v>
      </c>
      <c r="BD24" s="11">
        <v>4.0</v>
      </c>
      <c r="BE24" s="11">
        <v>3.0</v>
      </c>
      <c r="BF24" s="11">
        <v>2.0</v>
      </c>
      <c r="BG24" s="11">
        <v>4.0</v>
      </c>
      <c r="BH24" s="11">
        <v>4.0</v>
      </c>
      <c r="BI24" s="11">
        <v>2.0</v>
      </c>
      <c r="BJ24" s="11">
        <v>2.0</v>
      </c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</row>
    <row r="25" ht="19.5" customHeight="1">
      <c r="A25" s="13" t="s">
        <v>68</v>
      </c>
      <c r="B25" s="14">
        <v>22.0</v>
      </c>
      <c r="C25" s="15">
        <v>31.0</v>
      </c>
      <c r="D25" s="16" t="s">
        <v>33</v>
      </c>
      <c r="E25" s="16" t="s">
        <v>34</v>
      </c>
      <c r="F25" s="16" t="s">
        <v>69</v>
      </c>
      <c r="G25" s="15">
        <v>4.0</v>
      </c>
      <c r="H25" s="15">
        <v>5.0</v>
      </c>
      <c r="I25" s="15">
        <v>4.0</v>
      </c>
      <c r="J25" s="15">
        <v>4.0</v>
      </c>
      <c r="K25" s="16" t="s">
        <v>40</v>
      </c>
      <c r="L25" s="15">
        <v>6.0</v>
      </c>
      <c r="M25" s="15">
        <v>3.0</v>
      </c>
      <c r="N25" s="15">
        <v>4.0</v>
      </c>
      <c r="O25" s="15">
        <v>1.0</v>
      </c>
      <c r="P25" s="15">
        <v>7.0</v>
      </c>
      <c r="Q25" s="15">
        <v>3.0</v>
      </c>
      <c r="R25" s="15">
        <v>1.0</v>
      </c>
      <c r="S25" s="15">
        <v>4.0</v>
      </c>
      <c r="T25" s="15">
        <v>3.0</v>
      </c>
      <c r="U25" s="15">
        <v>4.0</v>
      </c>
      <c r="V25" s="15">
        <v>1.0</v>
      </c>
      <c r="W25" s="15">
        <v>4.0</v>
      </c>
      <c r="X25" s="15">
        <v>2.0</v>
      </c>
      <c r="Y25" s="15">
        <v>4.0</v>
      </c>
      <c r="Z25" s="15">
        <v>2.0</v>
      </c>
      <c r="AA25" s="15">
        <v>4.0</v>
      </c>
      <c r="AB25" s="15">
        <v>2.0</v>
      </c>
      <c r="AC25" s="15">
        <v>5.0</v>
      </c>
      <c r="AD25" s="15">
        <v>5.0</v>
      </c>
      <c r="AE25" s="15">
        <v>5.0</v>
      </c>
      <c r="AF25" s="15">
        <v>5.0</v>
      </c>
      <c r="AG25" s="15">
        <v>4.0</v>
      </c>
      <c r="AH25" s="15">
        <v>6.0</v>
      </c>
      <c r="AI25" s="15">
        <v>5.0</v>
      </c>
      <c r="AJ25" s="15">
        <v>5.0</v>
      </c>
      <c r="AK25" s="16" t="s">
        <v>36</v>
      </c>
      <c r="AL25" s="15">
        <v>5.0</v>
      </c>
      <c r="AM25" s="15">
        <v>3.0</v>
      </c>
      <c r="AN25" s="15">
        <v>5.0</v>
      </c>
      <c r="AO25" s="15">
        <v>1.0</v>
      </c>
      <c r="AP25" s="15">
        <v>6.0</v>
      </c>
      <c r="AQ25" s="15">
        <v>2.0</v>
      </c>
      <c r="AR25" s="15">
        <v>2.0</v>
      </c>
      <c r="AS25" s="15">
        <v>4.0</v>
      </c>
      <c r="AT25" s="15">
        <v>2.0</v>
      </c>
      <c r="AU25" s="15">
        <v>4.0</v>
      </c>
      <c r="AV25" s="15">
        <v>2.0</v>
      </c>
      <c r="AW25" s="15">
        <v>4.0</v>
      </c>
      <c r="AX25" s="15">
        <v>1.0</v>
      </c>
      <c r="AY25" s="15">
        <v>4.0</v>
      </c>
      <c r="AZ25" s="15">
        <v>1.0</v>
      </c>
      <c r="BA25" s="15">
        <v>5.0</v>
      </c>
      <c r="BB25" s="15">
        <v>2.0</v>
      </c>
      <c r="BC25" s="15">
        <v>6.0</v>
      </c>
      <c r="BD25" s="15">
        <v>5.0</v>
      </c>
      <c r="BE25" s="15">
        <v>5.0</v>
      </c>
      <c r="BF25" s="15">
        <v>5.0</v>
      </c>
      <c r="BG25" s="15">
        <v>6.0</v>
      </c>
      <c r="BH25" s="15">
        <v>6.0</v>
      </c>
      <c r="BI25" s="15">
        <v>5.0</v>
      </c>
      <c r="BJ25" s="15">
        <v>5.0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</row>
    <row r="26" ht="19.5" customHeight="1">
      <c r="A26" s="13" t="s">
        <v>70</v>
      </c>
      <c r="B26" s="14">
        <v>23.0</v>
      </c>
      <c r="C26" s="15">
        <v>26.0</v>
      </c>
      <c r="D26" s="16" t="s">
        <v>33</v>
      </c>
      <c r="E26" s="16" t="s">
        <v>58</v>
      </c>
      <c r="F26" s="16" t="s">
        <v>44</v>
      </c>
      <c r="G26" s="15">
        <v>4.0</v>
      </c>
      <c r="H26" s="15">
        <v>3.0</v>
      </c>
      <c r="I26" s="15">
        <v>4.0</v>
      </c>
      <c r="J26" s="15">
        <v>3.0</v>
      </c>
      <c r="K26" s="16" t="s">
        <v>36</v>
      </c>
      <c r="L26" s="15">
        <v>5.0</v>
      </c>
      <c r="M26" s="15">
        <v>2.0</v>
      </c>
      <c r="N26" s="15">
        <v>6.0</v>
      </c>
      <c r="O26" s="15">
        <v>1.0</v>
      </c>
      <c r="P26" s="15">
        <v>7.0</v>
      </c>
      <c r="Q26" s="15">
        <v>5.0</v>
      </c>
      <c r="R26" s="15">
        <v>3.0</v>
      </c>
      <c r="S26" s="15">
        <v>2.0</v>
      </c>
      <c r="T26" s="15">
        <v>4.0</v>
      </c>
      <c r="U26" s="15">
        <v>5.0</v>
      </c>
      <c r="V26" s="15">
        <v>1.0</v>
      </c>
      <c r="W26" s="15">
        <v>4.0</v>
      </c>
      <c r="X26" s="15">
        <v>1.0</v>
      </c>
      <c r="Y26" s="15">
        <v>5.0</v>
      </c>
      <c r="Z26" s="15">
        <v>2.0</v>
      </c>
      <c r="AA26" s="15">
        <v>4.0</v>
      </c>
      <c r="AB26" s="15">
        <v>1.0</v>
      </c>
      <c r="AC26" s="15">
        <v>6.0</v>
      </c>
      <c r="AD26" s="15">
        <v>7.0</v>
      </c>
      <c r="AE26" s="15">
        <v>4.0</v>
      </c>
      <c r="AF26" s="15">
        <v>6.0</v>
      </c>
      <c r="AG26" s="15">
        <v>4.0</v>
      </c>
      <c r="AH26" s="15">
        <v>5.0</v>
      </c>
      <c r="AI26" s="15">
        <v>5.0</v>
      </c>
      <c r="AJ26" s="15">
        <v>5.0</v>
      </c>
      <c r="AK26" s="16" t="s">
        <v>40</v>
      </c>
      <c r="AL26" s="15">
        <v>6.0</v>
      </c>
      <c r="AM26" s="15">
        <v>4.0</v>
      </c>
      <c r="AN26" s="15">
        <v>3.0</v>
      </c>
      <c r="AO26" s="15">
        <v>2.0</v>
      </c>
      <c r="AP26" s="15">
        <v>7.0</v>
      </c>
      <c r="AQ26" s="15">
        <v>4.0</v>
      </c>
      <c r="AR26" s="15">
        <v>2.0</v>
      </c>
      <c r="AS26" s="15">
        <v>3.0</v>
      </c>
      <c r="AT26" s="15">
        <v>2.0</v>
      </c>
      <c r="AU26" s="15">
        <v>5.0</v>
      </c>
      <c r="AV26" s="15">
        <v>1.0</v>
      </c>
      <c r="AW26" s="15">
        <v>4.0</v>
      </c>
      <c r="AX26" s="15">
        <v>1.0</v>
      </c>
      <c r="AY26" s="15">
        <v>4.0</v>
      </c>
      <c r="AZ26" s="15">
        <v>2.0</v>
      </c>
      <c r="BA26" s="15">
        <v>5.0</v>
      </c>
      <c r="BB26" s="15">
        <v>1.0</v>
      </c>
      <c r="BC26" s="15">
        <v>6.0</v>
      </c>
      <c r="BD26" s="15">
        <v>5.0</v>
      </c>
      <c r="BE26" s="15">
        <v>4.0</v>
      </c>
      <c r="BF26" s="15">
        <v>6.0</v>
      </c>
      <c r="BG26" s="15">
        <v>4.0</v>
      </c>
      <c r="BH26" s="15">
        <v>5.0</v>
      </c>
      <c r="BI26" s="15">
        <v>6.0</v>
      </c>
      <c r="BJ26" s="15">
        <v>5.0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</row>
    <row r="27" ht="19.5" customHeight="1">
      <c r="A27" s="13" t="s">
        <v>71</v>
      </c>
      <c r="B27" s="14">
        <v>24.0</v>
      </c>
      <c r="C27" s="15">
        <v>27.0</v>
      </c>
      <c r="D27" s="16" t="s">
        <v>33</v>
      </c>
      <c r="E27" s="16" t="s">
        <v>34</v>
      </c>
      <c r="F27" s="16" t="s">
        <v>44</v>
      </c>
      <c r="G27" s="15">
        <v>4.0</v>
      </c>
      <c r="H27" s="15">
        <v>4.0</v>
      </c>
      <c r="I27" s="15">
        <v>4.0</v>
      </c>
      <c r="J27" s="15">
        <v>4.0</v>
      </c>
      <c r="K27" s="16" t="s">
        <v>40</v>
      </c>
      <c r="L27" s="15">
        <v>5.0</v>
      </c>
      <c r="M27" s="15">
        <v>3.0</v>
      </c>
      <c r="N27" s="15">
        <v>3.0</v>
      </c>
      <c r="O27" s="15">
        <v>4.0</v>
      </c>
      <c r="P27" s="15">
        <v>6.0</v>
      </c>
      <c r="Q27" s="15">
        <v>3.0</v>
      </c>
      <c r="R27" s="15">
        <v>2.0</v>
      </c>
      <c r="S27" s="15">
        <v>4.0</v>
      </c>
      <c r="T27" s="15">
        <v>2.0</v>
      </c>
      <c r="U27" s="15">
        <v>4.0</v>
      </c>
      <c r="V27" s="15">
        <v>2.0</v>
      </c>
      <c r="W27" s="15">
        <v>4.0</v>
      </c>
      <c r="X27" s="15">
        <v>2.0</v>
      </c>
      <c r="Y27" s="15">
        <v>5.0</v>
      </c>
      <c r="Z27" s="15">
        <v>3.0</v>
      </c>
      <c r="AA27" s="15">
        <v>4.0</v>
      </c>
      <c r="AB27" s="15">
        <v>2.0</v>
      </c>
      <c r="AC27" s="15">
        <v>6.0</v>
      </c>
      <c r="AD27" s="15">
        <v>6.0</v>
      </c>
      <c r="AE27" s="15">
        <v>6.0</v>
      </c>
      <c r="AF27" s="15">
        <v>6.0</v>
      </c>
      <c r="AG27" s="15">
        <v>5.0</v>
      </c>
      <c r="AH27" s="15">
        <v>7.0</v>
      </c>
      <c r="AI27" s="15">
        <v>6.0</v>
      </c>
      <c r="AJ27" s="15">
        <v>5.0</v>
      </c>
      <c r="AK27" s="16" t="s">
        <v>36</v>
      </c>
      <c r="AL27" s="15">
        <v>5.0</v>
      </c>
      <c r="AM27" s="15">
        <v>4.0</v>
      </c>
      <c r="AN27" s="15">
        <v>4.0</v>
      </c>
      <c r="AO27" s="15">
        <v>3.0</v>
      </c>
      <c r="AP27" s="15">
        <v>6.0</v>
      </c>
      <c r="AQ27" s="15">
        <v>5.0</v>
      </c>
      <c r="AR27" s="15">
        <v>5.0</v>
      </c>
      <c r="AS27" s="15">
        <v>5.0</v>
      </c>
      <c r="AT27" s="15">
        <v>2.0</v>
      </c>
      <c r="AU27" s="15">
        <v>3.0</v>
      </c>
      <c r="AV27" s="15">
        <v>5.0</v>
      </c>
      <c r="AW27" s="15">
        <v>4.0</v>
      </c>
      <c r="AX27" s="15">
        <v>2.0</v>
      </c>
      <c r="AY27" s="15">
        <v>4.0</v>
      </c>
      <c r="AZ27" s="15">
        <v>4.0</v>
      </c>
      <c r="BA27" s="15">
        <v>4.0</v>
      </c>
      <c r="BB27" s="15">
        <v>2.0</v>
      </c>
      <c r="BC27" s="15">
        <v>5.0</v>
      </c>
      <c r="BD27" s="15">
        <v>5.0</v>
      </c>
      <c r="BE27" s="15">
        <v>6.0</v>
      </c>
      <c r="BF27" s="15">
        <v>5.0</v>
      </c>
      <c r="BG27" s="15">
        <v>6.0</v>
      </c>
      <c r="BH27" s="15">
        <v>6.0</v>
      </c>
      <c r="BI27" s="15">
        <v>6.0</v>
      </c>
      <c r="BJ27" s="15">
        <v>6.0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</row>
    <row r="28" ht="19.5" customHeight="1">
      <c r="A28" s="13" t="s">
        <v>72</v>
      </c>
      <c r="B28" s="14">
        <v>25.0</v>
      </c>
      <c r="C28" s="15">
        <v>27.0</v>
      </c>
      <c r="D28" s="16" t="s">
        <v>43</v>
      </c>
      <c r="E28" s="16" t="s">
        <v>62</v>
      </c>
      <c r="F28" s="16" t="s">
        <v>63</v>
      </c>
      <c r="G28" s="15">
        <v>4.0</v>
      </c>
      <c r="H28" s="15">
        <v>4.0</v>
      </c>
      <c r="I28" s="15">
        <v>5.0</v>
      </c>
      <c r="J28" s="15">
        <v>4.0</v>
      </c>
      <c r="K28" s="16" t="s">
        <v>36</v>
      </c>
      <c r="L28" s="15">
        <v>6.0</v>
      </c>
      <c r="M28" s="15">
        <v>1.0</v>
      </c>
      <c r="N28" s="15">
        <v>2.0</v>
      </c>
      <c r="O28" s="15">
        <v>1.0</v>
      </c>
      <c r="P28" s="15">
        <v>6.0</v>
      </c>
      <c r="Q28" s="15">
        <v>2.0</v>
      </c>
      <c r="R28" s="15">
        <v>3.0</v>
      </c>
      <c r="S28" s="15">
        <v>2.0</v>
      </c>
      <c r="T28" s="15">
        <v>1.0</v>
      </c>
      <c r="U28" s="15">
        <v>5.0</v>
      </c>
      <c r="V28" s="15">
        <v>1.0</v>
      </c>
      <c r="W28" s="15">
        <v>5.0</v>
      </c>
      <c r="X28" s="15">
        <v>1.0</v>
      </c>
      <c r="Y28" s="15">
        <v>5.0</v>
      </c>
      <c r="Z28" s="15">
        <v>1.0</v>
      </c>
      <c r="AA28" s="15">
        <v>5.0</v>
      </c>
      <c r="AB28" s="15">
        <v>1.0</v>
      </c>
      <c r="AC28" s="15">
        <v>7.0</v>
      </c>
      <c r="AD28" s="15">
        <v>6.0</v>
      </c>
      <c r="AE28" s="15">
        <v>5.0</v>
      </c>
      <c r="AF28" s="15">
        <v>6.0</v>
      </c>
      <c r="AG28" s="15">
        <v>4.0</v>
      </c>
      <c r="AH28" s="15">
        <v>4.0</v>
      </c>
      <c r="AI28" s="15">
        <v>3.0</v>
      </c>
      <c r="AJ28" s="15">
        <v>4.0</v>
      </c>
      <c r="AK28" s="16" t="s">
        <v>40</v>
      </c>
      <c r="AL28" s="15">
        <v>7.0</v>
      </c>
      <c r="AM28" s="15">
        <v>2.0</v>
      </c>
      <c r="AN28" s="15">
        <v>1.0</v>
      </c>
      <c r="AO28" s="15">
        <v>1.0</v>
      </c>
      <c r="AP28" s="15">
        <v>7.0</v>
      </c>
      <c r="AQ28" s="15">
        <v>1.0</v>
      </c>
      <c r="AR28" s="15">
        <v>2.0</v>
      </c>
      <c r="AS28" s="15">
        <v>2.0</v>
      </c>
      <c r="AT28" s="15">
        <v>1.0</v>
      </c>
      <c r="AU28" s="15">
        <v>5.0</v>
      </c>
      <c r="AV28" s="15">
        <v>1.0</v>
      </c>
      <c r="AW28" s="15">
        <v>4.0</v>
      </c>
      <c r="AX28" s="15">
        <v>1.0</v>
      </c>
      <c r="AY28" s="15">
        <v>5.0</v>
      </c>
      <c r="AZ28" s="15">
        <v>2.0</v>
      </c>
      <c r="BA28" s="15">
        <v>4.0</v>
      </c>
      <c r="BB28" s="15">
        <v>1.0</v>
      </c>
      <c r="BC28" s="15">
        <v>7.0</v>
      </c>
      <c r="BD28" s="15">
        <v>7.0</v>
      </c>
      <c r="BE28" s="15">
        <v>5.0</v>
      </c>
      <c r="BF28" s="15">
        <v>6.0</v>
      </c>
      <c r="BG28" s="15">
        <v>4.0</v>
      </c>
      <c r="BH28" s="15">
        <v>4.0</v>
      </c>
      <c r="BI28" s="15">
        <v>3.0</v>
      </c>
      <c r="BJ28" s="15">
        <v>3.0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</row>
    <row r="29" ht="19.5" customHeight="1">
      <c r="A29" s="13" t="s">
        <v>73</v>
      </c>
      <c r="B29" s="14">
        <v>26.0</v>
      </c>
      <c r="C29" s="15">
        <v>27.0</v>
      </c>
      <c r="D29" s="16" t="s">
        <v>33</v>
      </c>
      <c r="E29" s="16" t="s">
        <v>34</v>
      </c>
      <c r="F29" s="16" t="s">
        <v>74</v>
      </c>
      <c r="G29" s="15">
        <v>5.0</v>
      </c>
      <c r="H29" s="15">
        <v>4.0</v>
      </c>
      <c r="I29" s="15">
        <v>5.0</v>
      </c>
      <c r="J29" s="15">
        <v>5.0</v>
      </c>
      <c r="K29" s="16" t="s">
        <v>40</v>
      </c>
      <c r="L29" s="15">
        <v>5.0</v>
      </c>
      <c r="M29" s="15">
        <v>6.0</v>
      </c>
      <c r="N29" s="15">
        <v>2.0</v>
      </c>
      <c r="O29" s="15">
        <v>4.0</v>
      </c>
      <c r="P29" s="15">
        <v>5.0</v>
      </c>
      <c r="Q29" s="15">
        <v>5.0</v>
      </c>
      <c r="R29" s="15">
        <v>5.0</v>
      </c>
      <c r="S29" s="15">
        <v>4.0</v>
      </c>
      <c r="T29" s="15">
        <v>2.0</v>
      </c>
      <c r="U29" s="15">
        <v>4.0</v>
      </c>
      <c r="V29" s="15">
        <v>2.0</v>
      </c>
      <c r="W29" s="15">
        <v>4.0</v>
      </c>
      <c r="X29" s="15">
        <v>2.0</v>
      </c>
      <c r="Y29" s="15">
        <v>3.0</v>
      </c>
      <c r="Z29" s="15">
        <v>3.0</v>
      </c>
      <c r="AA29" s="15">
        <v>2.0</v>
      </c>
      <c r="AB29" s="15">
        <v>1.0</v>
      </c>
      <c r="AC29" s="15">
        <v>7.0</v>
      </c>
      <c r="AD29" s="15">
        <v>5.0</v>
      </c>
      <c r="AE29" s="15">
        <v>6.0</v>
      </c>
      <c r="AF29" s="15">
        <v>7.0</v>
      </c>
      <c r="AG29" s="15">
        <v>4.0</v>
      </c>
      <c r="AH29" s="15">
        <v>4.0</v>
      </c>
      <c r="AI29" s="15">
        <v>6.0</v>
      </c>
      <c r="AJ29" s="15">
        <v>5.0</v>
      </c>
      <c r="AK29" s="16" t="s">
        <v>36</v>
      </c>
      <c r="AL29" s="15">
        <v>5.0</v>
      </c>
      <c r="AM29" s="15">
        <v>6.0</v>
      </c>
      <c r="AN29" s="15">
        <v>3.0</v>
      </c>
      <c r="AO29" s="15">
        <v>4.0</v>
      </c>
      <c r="AP29" s="15">
        <v>4.0</v>
      </c>
      <c r="AQ29" s="15">
        <v>2.0</v>
      </c>
      <c r="AR29" s="15">
        <v>2.0</v>
      </c>
      <c r="AS29" s="15">
        <v>5.0</v>
      </c>
      <c r="AT29" s="15">
        <v>2.0</v>
      </c>
      <c r="AU29" s="15">
        <v>4.0</v>
      </c>
      <c r="AV29" s="15">
        <v>2.0</v>
      </c>
      <c r="AW29" s="15">
        <v>4.0</v>
      </c>
      <c r="AX29" s="15">
        <v>1.0</v>
      </c>
      <c r="AY29" s="15">
        <v>4.0</v>
      </c>
      <c r="AZ29" s="15">
        <v>2.0</v>
      </c>
      <c r="BA29" s="15">
        <v>3.0</v>
      </c>
      <c r="BB29" s="15">
        <v>1.0</v>
      </c>
      <c r="BC29" s="15">
        <v>7.0</v>
      </c>
      <c r="BD29" s="15">
        <v>5.0</v>
      </c>
      <c r="BE29" s="15">
        <v>6.0</v>
      </c>
      <c r="BF29" s="15">
        <v>7.0</v>
      </c>
      <c r="BG29" s="15">
        <v>3.0</v>
      </c>
      <c r="BH29" s="15">
        <v>4.0</v>
      </c>
      <c r="BI29" s="15">
        <v>6.0</v>
      </c>
      <c r="BJ29" s="15">
        <v>3.0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</row>
    <row r="30" ht="19.5" customHeight="1">
      <c r="A30" s="13" t="s">
        <v>75</v>
      </c>
      <c r="B30" s="14">
        <v>27.0</v>
      </c>
      <c r="C30" s="15">
        <v>25.0</v>
      </c>
      <c r="D30" s="16" t="s">
        <v>43</v>
      </c>
      <c r="E30" s="16" t="s">
        <v>34</v>
      </c>
      <c r="F30" s="16" t="s">
        <v>44</v>
      </c>
      <c r="G30" s="15">
        <v>5.0</v>
      </c>
      <c r="H30" s="15">
        <v>5.0</v>
      </c>
      <c r="I30" s="15">
        <v>5.0</v>
      </c>
      <c r="J30" s="15">
        <v>5.0</v>
      </c>
      <c r="K30" s="16" t="s">
        <v>36</v>
      </c>
      <c r="L30" s="15">
        <v>5.0</v>
      </c>
      <c r="M30" s="15">
        <v>4.0</v>
      </c>
      <c r="N30" s="15">
        <v>2.0</v>
      </c>
      <c r="O30" s="15">
        <v>2.0</v>
      </c>
      <c r="P30" s="15">
        <v>7.0</v>
      </c>
      <c r="Q30" s="15">
        <v>3.0</v>
      </c>
      <c r="R30" s="15">
        <v>1.0</v>
      </c>
      <c r="S30" s="15">
        <v>2.0</v>
      </c>
      <c r="T30" s="15">
        <v>1.0</v>
      </c>
      <c r="U30" s="15">
        <v>5.0</v>
      </c>
      <c r="V30" s="15">
        <v>2.0</v>
      </c>
      <c r="W30" s="15">
        <v>5.0</v>
      </c>
      <c r="X30" s="15">
        <v>1.0</v>
      </c>
      <c r="Y30" s="15">
        <v>5.0</v>
      </c>
      <c r="Z30" s="15">
        <v>4.0</v>
      </c>
      <c r="AA30" s="15">
        <v>5.0</v>
      </c>
      <c r="AB30" s="15">
        <v>2.0</v>
      </c>
      <c r="AC30" s="15">
        <v>7.0</v>
      </c>
      <c r="AD30" s="15">
        <v>7.0</v>
      </c>
      <c r="AE30" s="15">
        <v>7.0</v>
      </c>
      <c r="AF30" s="15">
        <v>6.0</v>
      </c>
      <c r="AG30" s="15">
        <v>7.0</v>
      </c>
      <c r="AH30" s="15">
        <v>7.0</v>
      </c>
      <c r="AI30" s="15">
        <v>7.0</v>
      </c>
      <c r="AJ30" s="15">
        <v>7.0</v>
      </c>
      <c r="AK30" s="16" t="s">
        <v>40</v>
      </c>
      <c r="AL30" s="15">
        <v>4.0</v>
      </c>
      <c r="AM30" s="15">
        <v>3.0</v>
      </c>
      <c r="AN30" s="15">
        <v>4.0</v>
      </c>
      <c r="AO30" s="15">
        <v>5.0</v>
      </c>
      <c r="AP30" s="15">
        <v>7.0</v>
      </c>
      <c r="AQ30" s="15">
        <v>3.0</v>
      </c>
      <c r="AR30" s="15">
        <v>3.0</v>
      </c>
      <c r="AS30" s="15">
        <v>1.0</v>
      </c>
      <c r="AT30" s="15">
        <v>1.0</v>
      </c>
      <c r="AU30" s="15">
        <v>4.0</v>
      </c>
      <c r="AV30" s="15">
        <v>1.0</v>
      </c>
      <c r="AW30" s="15">
        <v>5.0</v>
      </c>
      <c r="AX30" s="15">
        <v>2.0</v>
      </c>
      <c r="AY30" s="15">
        <v>2.0</v>
      </c>
      <c r="AZ30" s="15">
        <v>4.0</v>
      </c>
      <c r="BA30" s="15">
        <v>4.0</v>
      </c>
      <c r="BB30" s="15">
        <v>1.0</v>
      </c>
      <c r="BC30" s="15">
        <v>7.0</v>
      </c>
      <c r="BD30" s="15">
        <v>6.0</v>
      </c>
      <c r="BE30" s="15">
        <v>6.0</v>
      </c>
      <c r="BF30" s="15">
        <v>6.0</v>
      </c>
      <c r="BG30" s="15">
        <v>7.0</v>
      </c>
      <c r="BH30" s="15">
        <v>7.0</v>
      </c>
      <c r="BI30" s="15">
        <v>7.0</v>
      </c>
      <c r="BJ30" s="15">
        <v>7.0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</row>
    <row r="31" ht="19.5" customHeight="1">
      <c r="A31" s="13" t="s">
        <v>76</v>
      </c>
      <c r="B31" s="14">
        <v>28.0</v>
      </c>
      <c r="C31" s="15">
        <v>33.0</v>
      </c>
      <c r="D31" s="16" t="s">
        <v>77</v>
      </c>
      <c r="E31" s="16" t="s">
        <v>34</v>
      </c>
      <c r="F31" s="16" t="s">
        <v>44</v>
      </c>
      <c r="G31" s="15">
        <v>5.0</v>
      </c>
      <c r="H31" s="15">
        <v>5.0</v>
      </c>
      <c r="I31" s="15">
        <v>5.0</v>
      </c>
      <c r="J31" s="15">
        <v>5.0</v>
      </c>
      <c r="K31" s="16" t="s">
        <v>40</v>
      </c>
      <c r="L31" s="15">
        <v>6.0</v>
      </c>
      <c r="M31" s="15">
        <v>2.0</v>
      </c>
      <c r="N31" s="15">
        <v>2.0</v>
      </c>
      <c r="O31" s="15">
        <v>2.0</v>
      </c>
      <c r="P31" s="15">
        <v>7.0</v>
      </c>
      <c r="Q31" s="15">
        <v>2.0</v>
      </c>
      <c r="R31" s="15">
        <v>1.0</v>
      </c>
      <c r="S31" s="15">
        <v>1.0</v>
      </c>
      <c r="T31" s="15">
        <v>2.0</v>
      </c>
      <c r="U31" s="15">
        <v>5.0</v>
      </c>
      <c r="V31" s="15">
        <v>1.0</v>
      </c>
      <c r="W31" s="15">
        <v>4.0</v>
      </c>
      <c r="X31" s="15">
        <v>1.0</v>
      </c>
      <c r="Y31" s="15">
        <v>5.0</v>
      </c>
      <c r="Z31" s="15">
        <v>1.0</v>
      </c>
      <c r="AA31" s="15">
        <v>5.0</v>
      </c>
      <c r="AB31" s="15">
        <v>1.0</v>
      </c>
      <c r="AC31" s="15">
        <v>7.0</v>
      </c>
      <c r="AD31" s="15">
        <v>7.0</v>
      </c>
      <c r="AE31" s="15">
        <v>6.0</v>
      </c>
      <c r="AF31" s="15">
        <v>7.0</v>
      </c>
      <c r="AG31" s="15">
        <v>5.0</v>
      </c>
      <c r="AH31" s="15">
        <v>4.0</v>
      </c>
      <c r="AI31" s="15">
        <v>5.0</v>
      </c>
      <c r="AJ31" s="15">
        <v>5.0</v>
      </c>
      <c r="AK31" s="16" t="s">
        <v>36</v>
      </c>
      <c r="AL31" s="15">
        <v>3.0</v>
      </c>
      <c r="AM31" s="15">
        <v>6.0</v>
      </c>
      <c r="AN31" s="15">
        <v>5.0</v>
      </c>
      <c r="AO31" s="15">
        <v>4.0</v>
      </c>
      <c r="AP31" s="15">
        <v>5.0</v>
      </c>
      <c r="AQ31" s="15">
        <v>5.0</v>
      </c>
      <c r="AR31" s="15">
        <v>5.0</v>
      </c>
      <c r="AS31" s="15">
        <v>4.0</v>
      </c>
      <c r="AT31" s="15">
        <v>2.0</v>
      </c>
      <c r="AU31" s="15">
        <v>4.0</v>
      </c>
      <c r="AV31" s="15">
        <v>4.0</v>
      </c>
      <c r="AW31" s="15">
        <v>5.0</v>
      </c>
      <c r="AX31" s="15">
        <v>1.0</v>
      </c>
      <c r="AY31" s="15">
        <v>4.0</v>
      </c>
      <c r="AZ31" s="15">
        <v>2.0</v>
      </c>
      <c r="BA31" s="15">
        <v>4.0</v>
      </c>
      <c r="BB31" s="15">
        <v>1.0</v>
      </c>
      <c r="BC31" s="15">
        <v>5.0</v>
      </c>
      <c r="BD31" s="15">
        <v>5.0</v>
      </c>
      <c r="BE31" s="15">
        <v>5.0</v>
      </c>
      <c r="BF31" s="15">
        <v>5.0</v>
      </c>
      <c r="BG31" s="15">
        <v>5.0</v>
      </c>
      <c r="BH31" s="15">
        <v>7.0</v>
      </c>
      <c r="BI31" s="15">
        <v>5.0</v>
      </c>
      <c r="BJ31" s="15">
        <v>4.0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</row>
    <row r="32" ht="19.5" customHeight="1">
      <c r="A32" s="13" t="s">
        <v>78</v>
      </c>
      <c r="B32" s="14">
        <v>29.0</v>
      </c>
      <c r="C32" s="15">
        <v>33.0</v>
      </c>
      <c r="D32" s="16" t="s">
        <v>33</v>
      </c>
      <c r="E32" s="16" t="s">
        <v>58</v>
      </c>
      <c r="F32" s="16" t="s">
        <v>44</v>
      </c>
      <c r="G32" s="15">
        <v>4.0</v>
      </c>
      <c r="H32" s="15">
        <v>4.0</v>
      </c>
      <c r="I32" s="15">
        <v>4.0</v>
      </c>
      <c r="J32" s="15">
        <v>5.0</v>
      </c>
      <c r="K32" s="16" t="s">
        <v>36</v>
      </c>
      <c r="L32" s="15">
        <v>5.0</v>
      </c>
      <c r="M32" s="15">
        <v>3.0</v>
      </c>
      <c r="N32" s="15">
        <v>2.0</v>
      </c>
      <c r="O32" s="15">
        <v>2.0</v>
      </c>
      <c r="P32" s="15">
        <v>5.0</v>
      </c>
      <c r="Q32" s="15">
        <v>3.0</v>
      </c>
      <c r="R32" s="15">
        <v>4.0</v>
      </c>
      <c r="S32" s="15">
        <v>4.0</v>
      </c>
      <c r="T32" s="15">
        <v>2.0</v>
      </c>
      <c r="U32" s="15">
        <v>5.0</v>
      </c>
      <c r="V32" s="15">
        <v>1.0</v>
      </c>
      <c r="W32" s="15">
        <v>5.0</v>
      </c>
      <c r="X32" s="15">
        <v>1.0</v>
      </c>
      <c r="Y32" s="15">
        <v>5.0</v>
      </c>
      <c r="Z32" s="15">
        <v>4.0</v>
      </c>
      <c r="AA32" s="15">
        <v>4.0</v>
      </c>
      <c r="AB32" s="15">
        <v>1.0</v>
      </c>
      <c r="AC32" s="15">
        <v>6.0</v>
      </c>
      <c r="AD32" s="15">
        <v>5.0</v>
      </c>
      <c r="AE32" s="15">
        <v>5.0</v>
      </c>
      <c r="AF32" s="15">
        <v>5.0</v>
      </c>
      <c r="AG32" s="15">
        <v>5.0</v>
      </c>
      <c r="AH32" s="15">
        <v>4.0</v>
      </c>
      <c r="AI32" s="15">
        <v>3.0</v>
      </c>
      <c r="AJ32" s="15">
        <v>5.0</v>
      </c>
      <c r="AK32" s="16" t="s">
        <v>40</v>
      </c>
      <c r="AL32" s="15">
        <v>3.0</v>
      </c>
      <c r="AM32" s="15">
        <v>3.0</v>
      </c>
      <c r="AN32" s="15">
        <v>2.0</v>
      </c>
      <c r="AO32" s="15">
        <v>2.0</v>
      </c>
      <c r="AP32" s="15">
        <v>5.0</v>
      </c>
      <c r="AQ32" s="15">
        <v>4.0</v>
      </c>
      <c r="AR32" s="15">
        <v>5.0</v>
      </c>
      <c r="AS32" s="15">
        <v>4.0</v>
      </c>
      <c r="AT32" s="15">
        <v>1.0</v>
      </c>
      <c r="AU32" s="15">
        <v>4.0</v>
      </c>
      <c r="AV32" s="15">
        <v>1.0</v>
      </c>
      <c r="AW32" s="15">
        <v>5.0</v>
      </c>
      <c r="AX32" s="15">
        <v>1.0</v>
      </c>
      <c r="AY32" s="15">
        <v>4.0</v>
      </c>
      <c r="AZ32" s="15">
        <v>4.0</v>
      </c>
      <c r="BA32" s="15">
        <v>3.0</v>
      </c>
      <c r="BB32" s="15">
        <v>2.0</v>
      </c>
      <c r="BC32" s="15">
        <v>5.0</v>
      </c>
      <c r="BD32" s="15">
        <v>3.0</v>
      </c>
      <c r="BE32" s="15">
        <v>4.0</v>
      </c>
      <c r="BF32" s="15">
        <v>3.0</v>
      </c>
      <c r="BG32" s="15">
        <v>5.0</v>
      </c>
      <c r="BH32" s="15">
        <v>5.0</v>
      </c>
      <c r="BI32" s="15">
        <v>3.0</v>
      </c>
      <c r="BJ32" s="15">
        <v>5.0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</row>
    <row r="33" ht="19.5" customHeight="1">
      <c r="A33" s="13" t="s">
        <v>79</v>
      </c>
      <c r="B33" s="14">
        <v>30.0</v>
      </c>
      <c r="C33" s="15">
        <v>34.0</v>
      </c>
      <c r="D33" s="16" t="s">
        <v>33</v>
      </c>
      <c r="E33" s="16" t="s">
        <v>34</v>
      </c>
      <c r="F33" s="16" t="s">
        <v>35</v>
      </c>
      <c r="G33" s="15">
        <v>4.0</v>
      </c>
      <c r="H33" s="15">
        <v>4.0</v>
      </c>
      <c r="I33" s="15">
        <v>4.0</v>
      </c>
      <c r="J33" s="15">
        <v>3.0</v>
      </c>
      <c r="K33" s="16" t="s">
        <v>40</v>
      </c>
      <c r="L33" s="15">
        <v>5.0</v>
      </c>
      <c r="M33" s="15">
        <v>4.0</v>
      </c>
      <c r="N33" s="15">
        <v>4.0</v>
      </c>
      <c r="O33" s="15">
        <v>2.0</v>
      </c>
      <c r="P33" s="15">
        <v>5.0</v>
      </c>
      <c r="Q33" s="15">
        <v>5.0</v>
      </c>
      <c r="R33" s="15">
        <v>4.0</v>
      </c>
      <c r="S33" s="15">
        <v>3.0</v>
      </c>
      <c r="T33" s="15">
        <v>2.0</v>
      </c>
      <c r="U33" s="15">
        <v>4.0</v>
      </c>
      <c r="V33" s="15">
        <v>1.0</v>
      </c>
      <c r="W33" s="15">
        <v>3.0</v>
      </c>
      <c r="X33" s="15">
        <v>2.0</v>
      </c>
      <c r="Y33" s="15">
        <v>4.0</v>
      </c>
      <c r="Z33" s="15">
        <v>2.0</v>
      </c>
      <c r="AA33" s="15">
        <v>3.0</v>
      </c>
      <c r="AB33" s="15">
        <v>1.0</v>
      </c>
      <c r="AC33" s="15">
        <v>6.0</v>
      </c>
      <c r="AD33" s="15">
        <v>5.0</v>
      </c>
      <c r="AE33" s="15">
        <v>3.0</v>
      </c>
      <c r="AF33" s="15">
        <v>6.0</v>
      </c>
      <c r="AG33" s="15">
        <v>3.0</v>
      </c>
      <c r="AH33" s="15">
        <v>3.0</v>
      </c>
      <c r="AI33" s="15">
        <v>3.0</v>
      </c>
      <c r="AJ33" s="15">
        <v>3.0</v>
      </c>
      <c r="AK33" s="16" t="s">
        <v>36</v>
      </c>
      <c r="AL33" s="15">
        <v>6.0</v>
      </c>
      <c r="AM33" s="15">
        <v>3.0</v>
      </c>
      <c r="AN33" s="15">
        <v>5.0</v>
      </c>
      <c r="AO33" s="15">
        <v>4.0</v>
      </c>
      <c r="AP33" s="15">
        <v>6.0</v>
      </c>
      <c r="AQ33" s="15">
        <v>5.0</v>
      </c>
      <c r="AR33" s="15">
        <v>3.0</v>
      </c>
      <c r="AS33" s="15">
        <v>4.0</v>
      </c>
      <c r="AT33" s="15">
        <v>2.0</v>
      </c>
      <c r="AU33" s="15">
        <v>4.0</v>
      </c>
      <c r="AV33" s="15">
        <v>2.0</v>
      </c>
      <c r="AW33" s="15">
        <v>4.0</v>
      </c>
      <c r="AX33" s="15">
        <v>2.0</v>
      </c>
      <c r="AY33" s="15">
        <v>4.0</v>
      </c>
      <c r="AZ33" s="15">
        <v>2.0</v>
      </c>
      <c r="BA33" s="15">
        <v>3.0</v>
      </c>
      <c r="BB33" s="15">
        <v>2.0</v>
      </c>
      <c r="BC33" s="15">
        <v>3.0</v>
      </c>
      <c r="BD33" s="15">
        <v>5.0</v>
      </c>
      <c r="BE33" s="15">
        <v>4.0</v>
      </c>
      <c r="BF33" s="15">
        <v>5.0</v>
      </c>
      <c r="BG33" s="15">
        <v>4.0</v>
      </c>
      <c r="BH33" s="15">
        <v>4.0</v>
      </c>
      <c r="BI33" s="15">
        <v>3.0</v>
      </c>
      <c r="BJ33" s="15">
        <v>4.0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</row>
    <row r="34" ht="19.5" customHeight="1">
      <c r="A34" s="13" t="s">
        <v>80</v>
      </c>
      <c r="B34" s="14">
        <v>31.0</v>
      </c>
      <c r="C34" s="15">
        <v>27.0</v>
      </c>
      <c r="D34" s="16" t="s">
        <v>33</v>
      </c>
      <c r="E34" s="16" t="s">
        <v>34</v>
      </c>
      <c r="F34" s="16" t="s">
        <v>39</v>
      </c>
      <c r="G34" s="15">
        <v>5.0</v>
      </c>
      <c r="H34" s="15">
        <v>5.0</v>
      </c>
      <c r="I34" s="15">
        <v>5.0</v>
      </c>
      <c r="J34" s="15">
        <v>5.0</v>
      </c>
      <c r="K34" s="16" t="s">
        <v>36</v>
      </c>
      <c r="L34" s="15">
        <v>6.0</v>
      </c>
      <c r="M34" s="15">
        <v>4.0</v>
      </c>
      <c r="N34" s="15">
        <v>2.0</v>
      </c>
      <c r="O34" s="15">
        <v>4.0</v>
      </c>
      <c r="P34" s="15">
        <v>6.0</v>
      </c>
      <c r="Q34" s="15">
        <v>2.0</v>
      </c>
      <c r="R34" s="15">
        <v>2.0</v>
      </c>
      <c r="S34" s="15">
        <v>4.0</v>
      </c>
      <c r="T34" s="15">
        <v>2.0</v>
      </c>
      <c r="U34" s="15">
        <v>4.0</v>
      </c>
      <c r="V34" s="15">
        <v>1.0</v>
      </c>
      <c r="W34" s="15">
        <v>3.0</v>
      </c>
      <c r="X34" s="15">
        <v>1.0</v>
      </c>
      <c r="Y34" s="15">
        <v>5.0</v>
      </c>
      <c r="Z34" s="15">
        <v>1.0</v>
      </c>
      <c r="AA34" s="15">
        <v>4.0</v>
      </c>
      <c r="AB34" s="15">
        <v>1.0</v>
      </c>
      <c r="AC34" s="15">
        <v>6.0</v>
      </c>
      <c r="AD34" s="15">
        <v>4.0</v>
      </c>
      <c r="AE34" s="15">
        <v>6.0</v>
      </c>
      <c r="AF34" s="15">
        <v>6.0</v>
      </c>
      <c r="AG34" s="15">
        <v>5.0</v>
      </c>
      <c r="AH34" s="15">
        <v>5.0</v>
      </c>
      <c r="AI34" s="15">
        <v>3.0</v>
      </c>
      <c r="AJ34" s="15">
        <v>2.0</v>
      </c>
      <c r="AK34" s="16" t="s">
        <v>40</v>
      </c>
      <c r="AL34" s="15">
        <v>2.0</v>
      </c>
      <c r="AM34" s="15">
        <v>5.0</v>
      </c>
      <c r="AN34" s="15">
        <v>1.0</v>
      </c>
      <c r="AO34" s="15">
        <v>3.0</v>
      </c>
      <c r="AP34" s="15">
        <v>3.0</v>
      </c>
      <c r="AQ34" s="15">
        <v>4.0</v>
      </c>
      <c r="AR34" s="15">
        <v>5.0</v>
      </c>
      <c r="AS34" s="15">
        <v>2.0</v>
      </c>
      <c r="AT34" s="15">
        <v>3.0</v>
      </c>
      <c r="AU34" s="15">
        <v>2.0</v>
      </c>
      <c r="AV34" s="15">
        <v>1.0</v>
      </c>
      <c r="AW34" s="15">
        <v>2.0</v>
      </c>
      <c r="AX34" s="15">
        <v>4.0</v>
      </c>
      <c r="AY34" s="15">
        <v>2.0</v>
      </c>
      <c r="AZ34" s="15">
        <v>4.0</v>
      </c>
      <c r="BA34" s="15">
        <v>1.0</v>
      </c>
      <c r="BB34" s="15">
        <v>1.0</v>
      </c>
      <c r="BC34" s="15">
        <v>3.0</v>
      </c>
      <c r="BD34" s="15">
        <v>2.0</v>
      </c>
      <c r="BE34" s="15">
        <v>3.0</v>
      </c>
      <c r="BF34" s="15">
        <v>3.0</v>
      </c>
      <c r="BG34" s="15">
        <v>4.0</v>
      </c>
      <c r="BH34" s="15">
        <v>4.0</v>
      </c>
      <c r="BI34" s="15">
        <v>2.0</v>
      </c>
      <c r="BJ34" s="15">
        <v>1.0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</row>
    <row r="35" ht="19.5" customHeight="1">
      <c r="A35" s="13" t="s">
        <v>81</v>
      </c>
      <c r="B35" s="14">
        <v>32.0</v>
      </c>
      <c r="C35" s="15">
        <v>39.0</v>
      </c>
      <c r="D35" s="16" t="s">
        <v>33</v>
      </c>
      <c r="E35" s="16" t="s">
        <v>34</v>
      </c>
      <c r="F35" s="16" t="s">
        <v>69</v>
      </c>
      <c r="G35" s="15">
        <v>5.0</v>
      </c>
      <c r="H35" s="15">
        <v>4.0</v>
      </c>
      <c r="I35" s="15">
        <v>5.0</v>
      </c>
      <c r="J35" s="15">
        <v>3.0</v>
      </c>
      <c r="K35" s="16" t="s">
        <v>40</v>
      </c>
      <c r="L35" s="15">
        <v>5.0</v>
      </c>
      <c r="M35" s="15">
        <v>3.0</v>
      </c>
      <c r="N35" s="15">
        <v>1.0</v>
      </c>
      <c r="O35" s="15">
        <v>1.0</v>
      </c>
      <c r="P35" s="15">
        <v>6.0</v>
      </c>
      <c r="Q35" s="15">
        <v>2.0</v>
      </c>
      <c r="R35" s="15">
        <v>4.0</v>
      </c>
      <c r="S35" s="15">
        <v>3.0</v>
      </c>
      <c r="T35" s="15">
        <v>1.0</v>
      </c>
      <c r="U35" s="15">
        <v>4.0</v>
      </c>
      <c r="V35" s="15">
        <v>1.0</v>
      </c>
      <c r="W35" s="15">
        <v>4.0</v>
      </c>
      <c r="X35" s="15">
        <v>2.0</v>
      </c>
      <c r="Y35" s="15">
        <v>4.0</v>
      </c>
      <c r="Z35" s="15">
        <v>2.0</v>
      </c>
      <c r="AA35" s="15">
        <v>5.0</v>
      </c>
      <c r="AB35" s="15">
        <v>1.0</v>
      </c>
      <c r="AC35" s="15">
        <v>6.0</v>
      </c>
      <c r="AD35" s="15">
        <v>6.0</v>
      </c>
      <c r="AE35" s="15">
        <v>6.0</v>
      </c>
      <c r="AF35" s="15">
        <v>6.0</v>
      </c>
      <c r="AG35" s="15">
        <v>3.0</v>
      </c>
      <c r="AH35" s="15">
        <v>4.0</v>
      </c>
      <c r="AI35" s="15">
        <v>3.0</v>
      </c>
      <c r="AJ35" s="15">
        <v>3.0</v>
      </c>
      <c r="AK35" s="16" t="s">
        <v>36</v>
      </c>
      <c r="AL35" s="15">
        <v>5.0</v>
      </c>
      <c r="AM35" s="15">
        <v>1.0</v>
      </c>
      <c r="AN35" s="15">
        <v>1.0</v>
      </c>
      <c r="AO35" s="15">
        <v>1.0</v>
      </c>
      <c r="AP35" s="15">
        <v>6.0</v>
      </c>
      <c r="AQ35" s="15">
        <v>3.0</v>
      </c>
      <c r="AR35" s="15">
        <v>3.0</v>
      </c>
      <c r="AS35" s="15">
        <v>4.0</v>
      </c>
      <c r="AT35" s="15">
        <v>1.0</v>
      </c>
      <c r="AU35" s="15">
        <v>4.0</v>
      </c>
      <c r="AV35" s="15">
        <v>2.0</v>
      </c>
      <c r="AW35" s="15">
        <v>4.0</v>
      </c>
      <c r="AX35" s="15">
        <v>2.0</v>
      </c>
      <c r="AY35" s="15">
        <v>5.0</v>
      </c>
      <c r="AZ35" s="15">
        <v>1.0</v>
      </c>
      <c r="BA35" s="15">
        <v>4.0</v>
      </c>
      <c r="BB35" s="15">
        <v>1.0</v>
      </c>
      <c r="BC35" s="15">
        <v>6.0</v>
      </c>
      <c r="BD35" s="15">
        <v>7.0</v>
      </c>
      <c r="BE35" s="15">
        <v>7.0</v>
      </c>
      <c r="BF35" s="15">
        <v>6.0</v>
      </c>
      <c r="BG35" s="15">
        <v>4.0</v>
      </c>
      <c r="BH35" s="15">
        <v>5.0</v>
      </c>
      <c r="BI35" s="15">
        <v>4.0</v>
      </c>
      <c r="BJ35" s="15">
        <v>4.0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</row>
    <row r="36" ht="19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</row>
    <row r="37" ht="19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</row>
    <row r="38" ht="19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</row>
    <row r="39" ht="19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</row>
    <row r="40" ht="19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</row>
    <row r="41" ht="19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</row>
    <row r="42" ht="19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</row>
    <row r="43" ht="19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</row>
    <row r="44" ht="19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</row>
    <row r="45" ht="19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</row>
    <row r="46" ht="19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</row>
    <row r="47" ht="19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</row>
    <row r="48" ht="19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</row>
    <row r="49" ht="19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</row>
    <row r="50" ht="19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</row>
    <row r="51" ht="19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</row>
    <row r="52" ht="19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</row>
    <row r="53" ht="19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</row>
    <row r="54" ht="19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</row>
    <row r="55" ht="19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</row>
    <row r="56" ht="19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</row>
    <row r="57" ht="19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</row>
    <row r="58" ht="19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</row>
    <row r="59" ht="19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</row>
    <row r="60" ht="19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</row>
    <row r="61" ht="19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</row>
    <row r="62" ht="19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</row>
    <row r="63" ht="19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</row>
    <row r="64" ht="19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</row>
    <row r="65" ht="19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</row>
    <row r="66" ht="19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</row>
    <row r="67" ht="19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</row>
    <row r="68" ht="19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</row>
    <row r="69" ht="19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</row>
    <row r="70" ht="19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</row>
    <row r="71" ht="19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</row>
    <row r="72" ht="19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</row>
    <row r="73" ht="19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</row>
    <row r="74" ht="19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</row>
    <row r="75" ht="19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</row>
    <row r="76" ht="19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</row>
    <row r="77" ht="19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</row>
    <row r="78" ht="19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</row>
    <row r="79" ht="19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</row>
    <row r="80" ht="19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</row>
    <row r="81" ht="19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</row>
    <row r="82" ht="19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</row>
    <row r="83" ht="19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</row>
    <row r="84" ht="19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</row>
    <row r="85" ht="19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</row>
    <row r="86" ht="19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</row>
    <row r="87" ht="19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</row>
    <row r="88" ht="19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</row>
    <row r="89" ht="19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</row>
    <row r="90" ht="19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</row>
    <row r="91" ht="19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</row>
    <row r="92" ht="19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</row>
    <row r="93" ht="19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</row>
    <row r="94" ht="19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</row>
    <row r="95" ht="19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</row>
    <row r="96" ht="19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</row>
    <row r="97" ht="19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</row>
    <row r="98" ht="19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</row>
    <row r="99" ht="19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</row>
    <row r="100" ht="19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</row>
    <row r="101" ht="19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</row>
    <row r="102" ht="19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</row>
    <row r="103" ht="19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</row>
    <row r="104" ht="19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</row>
    <row r="105" ht="19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</row>
    <row r="106" ht="19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</row>
    <row r="107" ht="19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</row>
    <row r="108" ht="19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</row>
    <row r="109" ht="19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</row>
    <row r="110" ht="19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</row>
    <row r="111" ht="19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</row>
    <row r="112" ht="19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</row>
    <row r="113" ht="19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</row>
    <row r="114" ht="19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</row>
    <row r="115" ht="19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</row>
    <row r="116" ht="19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</row>
    <row r="117" ht="19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</row>
    <row r="118" ht="19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</row>
    <row r="119" ht="19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</row>
    <row r="120" ht="19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</row>
    <row r="121" ht="19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</row>
    <row r="122" ht="19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</row>
    <row r="123" ht="19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</row>
    <row r="124" ht="19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</row>
    <row r="125" ht="19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</row>
    <row r="126" ht="19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</row>
    <row r="127" ht="19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</row>
    <row r="128" ht="19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</row>
    <row r="129" ht="19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</row>
    <row r="130" ht="19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</row>
    <row r="131" ht="19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</row>
    <row r="132" ht="19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</row>
    <row r="133" ht="19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</row>
    <row r="134" ht="19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</row>
    <row r="135" ht="19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</row>
    <row r="136" ht="19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</row>
    <row r="137" ht="19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</row>
    <row r="138" ht="19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</row>
    <row r="139" ht="19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</row>
    <row r="140" ht="19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</row>
    <row r="141" ht="19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</row>
    <row r="142" ht="19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</row>
    <row r="143" ht="19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</row>
    <row r="144" ht="19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</row>
    <row r="145" ht="19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</row>
    <row r="146" ht="19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</row>
    <row r="147" ht="19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</row>
    <row r="148" ht="19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</row>
    <row r="149" ht="19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</row>
    <row r="150" ht="19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</row>
    <row r="151" ht="19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</row>
    <row r="152" ht="19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</row>
    <row r="153" ht="19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</row>
    <row r="154" ht="19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</row>
    <row r="155" ht="19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</row>
    <row r="156" ht="19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</row>
    <row r="157" ht="19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</row>
    <row r="158" ht="19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</row>
    <row r="159" ht="19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</row>
    <row r="160" ht="19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</row>
    <row r="161" ht="19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</row>
    <row r="162" ht="19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</row>
    <row r="163" ht="19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</row>
    <row r="164" ht="19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</row>
    <row r="165" ht="19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</row>
    <row r="166" ht="19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</row>
    <row r="167" ht="19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</row>
    <row r="168" ht="19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</row>
    <row r="169" ht="19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</row>
    <row r="170" ht="19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</row>
    <row r="171" ht="19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</row>
    <row r="172" ht="19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</row>
    <row r="173" ht="19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</row>
    <row r="174" ht="19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</row>
    <row r="175" ht="19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</row>
    <row r="176" ht="19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</row>
    <row r="177" ht="19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</row>
    <row r="178" ht="19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</row>
    <row r="179" ht="19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</row>
    <row r="180" ht="19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</row>
    <row r="181" ht="19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</row>
    <row r="182" ht="19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</row>
    <row r="183" ht="19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</row>
    <row r="184" ht="19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</row>
    <row r="185" ht="19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</row>
    <row r="186" ht="19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</row>
    <row r="187" ht="19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</row>
    <row r="188" ht="19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</row>
    <row r="189" ht="19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</row>
    <row r="190" ht="19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</row>
    <row r="191" ht="19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</row>
    <row r="192" ht="19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</row>
    <row r="193" ht="19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</row>
    <row r="194" ht="19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</row>
    <row r="195" ht="19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</row>
    <row r="196" ht="19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</row>
    <row r="197" ht="19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</row>
    <row r="198" ht="19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</row>
    <row r="199" ht="19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</row>
    <row r="200" ht="19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</row>
    <row r="201" ht="19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</row>
    <row r="202" ht="19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</row>
    <row r="203" ht="19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</row>
    <row r="204" ht="19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</row>
    <row r="205" ht="19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</row>
    <row r="206" ht="19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</row>
    <row r="207" ht="19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</row>
    <row r="208" ht="19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</row>
    <row r="209" ht="19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</row>
    <row r="210" ht="19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</row>
    <row r="211" ht="19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</row>
    <row r="212" ht="19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</row>
    <row r="213" ht="19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</row>
    <row r="214" ht="19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</row>
    <row r="215" ht="19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</row>
    <row r="216" ht="19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</row>
    <row r="217" ht="19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</row>
    <row r="218" ht="19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</row>
    <row r="219" ht="19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</row>
    <row r="220" ht="19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</row>
    <row r="221" ht="19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</row>
    <row r="222" ht="19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</row>
    <row r="223" ht="19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</row>
    <row r="224" ht="19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</row>
    <row r="225" ht="19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</row>
    <row r="226" ht="19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</row>
    <row r="227" ht="19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</row>
    <row r="228" ht="19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</row>
    <row r="229" ht="19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</row>
    <row r="230" ht="19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</row>
    <row r="231" ht="19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</row>
    <row r="232" ht="19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</row>
    <row r="233" ht="19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</row>
    <row r="234" ht="19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</row>
    <row r="235" ht="19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</row>
    <row r="236" ht="19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</row>
    <row r="237" ht="19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</row>
    <row r="238" ht="19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</row>
    <row r="239" ht="19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</row>
    <row r="240" ht="19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</row>
    <row r="241" ht="19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</row>
    <row r="242" ht="19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</row>
    <row r="243" ht="19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</row>
    <row r="244" ht="19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</row>
    <row r="245" ht="19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</row>
    <row r="246" ht="19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</row>
    <row r="247" ht="19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</row>
    <row r="248" ht="19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</row>
    <row r="249" ht="19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</row>
    <row r="250" ht="19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</row>
    <row r="251" ht="19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</row>
    <row r="252" ht="19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</row>
    <row r="253" ht="19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</row>
    <row r="254" ht="19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</row>
    <row r="255" ht="19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</row>
    <row r="256" ht="19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</row>
    <row r="257" ht="19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</row>
    <row r="258" ht="19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</row>
    <row r="259" ht="19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</row>
    <row r="260" ht="19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</row>
    <row r="261" ht="19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</row>
    <row r="262" ht="19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</row>
    <row r="263" ht="19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</row>
    <row r="264" ht="19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</row>
    <row r="265" ht="19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</row>
    <row r="266" ht="19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</row>
    <row r="267" ht="19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</row>
    <row r="268" ht="19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</row>
    <row r="269" ht="19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</row>
    <row r="270" ht="19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</row>
    <row r="271" ht="19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</row>
    <row r="272" ht="19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</row>
    <row r="273" ht="19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</row>
    <row r="274" ht="19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</row>
    <row r="275" ht="19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</row>
    <row r="276" ht="19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</row>
    <row r="277" ht="19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</row>
    <row r="278" ht="19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</row>
    <row r="279" ht="19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</row>
    <row r="280" ht="19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</row>
    <row r="281" ht="19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</row>
    <row r="282" ht="19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</row>
    <row r="283" ht="19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</row>
    <row r="284" ht="19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</row>
    <row r="285" ht="19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</row>
    <row r="286" ht="19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</row>
    <row r="287" ht="19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</row>
    <row r="288" ht="19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</row>
    <row r="289" ht="19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</row>
    <row r="290" ht="19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</row>
    <row r="291" ht="19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</row>
    <row r="292" ht="19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</row>
    <row r="293" ht="19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</row>
    <row r="294" ht="19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</row>
    <row r="295" ht="19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</row>
    <row r="296" ht="19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</row>
    <row r="297" ht="19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</row>
    <row r="298" ht="19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</row>
    <row r="299" ht="19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</row>
    <row r="300" ht="19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</row>
    <row r="301" ht="19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</row>
    <row r="302" ht="19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</row>
    <row r="303" ht="19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</row>
    <row r="304" ht="19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</row>
    <row r="305" ht="19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</row>
    <row r="306" ht="19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</row>
    <row r="307" ht="19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</row>
    <row r="308" ht="19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</row>
    <row r="309" ht="19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</row>
    <row r="310" ht="19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</row>
    <row r="311" ht="19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</row>
    <row r="312" ht="19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</row>
    <row r="313" ht="19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</row>
    <row r="314" ht="19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</row>
    <row r="315" ht="19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</row>
    <row r="316" ht="19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</row>
    <row r="317" ht="19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</row>
    <row r="318" ht="19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</row>
    <row r="319" ht="19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</row>
    <row r="320" ht="19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</row>
    <row r="321" ht="19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</row>
    <row r="322" ht="19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</row>
    <row r="323" ht="19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</row>
    <row r="324" ht="19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</row>
    <row r="325" ht="19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</row>
    <row r="326" ht="19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</row>
    <row r="327" ht="19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</row>
    <row r="328" ht="19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</row>
    <row r="329" ht="19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</row>
    <row r="330" ht="19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</row>
    <row r="331" ht="19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</row>
    <row r="332" ht="19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</row>
    <row r="333" ht="19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</row>
    <row r="334" ht="19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</row>
    <row r="335" ht="19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</row>
    <row r="336" ht="19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</row>
    <row r="337" ht="19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</row>
    <row r="338" ht="19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</row>
    <row r="339" ht="19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</row>
    <row r="340" ht="19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</row>
    <row r="341" ht="19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</row>
    <row r="342" ht="19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</row>
    <row r="343" ht="19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</row>
    <row r="344" ht="19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</row>
    <row r="345" ht="19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</row>
    <row r="346" ht="19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</row>
    <row r="347" ht="19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</row>
    <row r="348" ht="19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</row>
    <row r="349" ht="19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</row>
    <row r="350" ht="19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</row>
    <row r="351" ht="19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</row>
    <row r="352" ht="19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</row>
    <row r="353" ht="19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</row>
    <row r="354" ht="19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</row>
    <row r="355" ht="19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</row>
    <row r="356" ht="19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</row>
    <row r="357" ht="19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</row>
    <row r="358" ht="19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</row>
    <row r="359" ht="19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</row>
    <row r="360" ht="19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</row>
    <row r="361" ht="19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</row>
    <row r="362" ht="19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</row>
    <row r="363" ht="19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</row>
    <row r="364" ht="19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</row>
    <row r="365" ht="19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</row>
    <row r="366" ht="19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</row>
    <row r="367" ht="19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</row>
    <row r="368" ht="19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</row>
    <row r="369" ht="19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</row>
    <row r="370" ht="19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</row>
    <row r="371" ht="19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</row>
    <row r="372" ht="19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</row>
    <row r="373" ht="19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</row>
    <row r="374" ht="19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</row>
    <row r="375" ht="19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</row>
    <row r="376" ht="19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</row>
    <row r="377" ht="19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</row>
    <row r="378" ht="19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</row>
    <row r="379" ht="19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</row>
    <row r="380" ht="19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</row>
    <row r="381" ht="19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</row>
    <row r="382" ht="19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</row>
    <row r="383" ht="19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</row>
    <row r="384" ht="19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</row>
    <row r="385" ht="19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</row>
    <row r="386" ht="19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</row>
    <row r="387" ht="19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</row>
    <row r="388" ht="19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</row>
    <row r="389" ht="19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</row>
    <row r="390" ht="19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</row>
    <row r="391" ht="19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</row>
    <row r="392" ht="19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</row>
    <row r="393" ht="19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</row>
    <row r="394" ht="19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</row>
    <row r="395" ht="19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</row>
    <row r="396" ht="19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</row>
    <row r="397" ht="19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</row>
    <row r="398" ht="19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</row>
    <row r="399" ht="19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</row>
    <row r="400" ht="19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</row>
    <row r="401" ht="19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</row>
    <row r="402" ht="19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</row>
    <row r="403" ht="19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</row>
    <row r="404" ht="19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</row>
    <row r="405" ht="19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</row>
    <row r="406" ht="19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</row>
    <row r="407" ht="19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</row>
    <row r="408" ht="19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</row>
    <row r="409" ht="19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</row>
    <row r="410" ht="19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</row>
    <row r="411" ht="19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</row>
    <row r="412" ht="19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</row>
    <row r="413" ht="19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</row>
    <row r="414" ht="19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</row>
    <row r="415" ht="19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</row>
    <row r="416" ht="19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</row>
    <row r="417" ht="19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</row>
    <row r="418" ht="19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</row>
    <row r="419" ht="19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</row>
    <row r="420" ht="19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</row>
    <row r="421" ht="19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</row>
    <row r="422" ht="19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</row>
    <row r="423" ht="19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</row>
    <row r="424" ht="19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</row>
    <row r="425" ht="19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</row>
    <row r="426" ht="19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</row>
    <row r="427" ht="19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</row>
    <row r="428" ht="19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</row>
    <row r="429" ht="19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</row>
    <row r="430" ht="19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</row>
    <row r="431" ht="19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</row>
    <row r="432" ht="19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</row>
    <row r="433" ht="19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</row>
    <row r="434" ht="19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</row>
    <row r="435" ht="19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</row>
    <row r="436" ht="19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</row>
    <row r="437" ht="19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</row>
    <row r="438" ht="19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</row>
    <row r="439" ht="19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</row>
    <row r="440" ht="19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</row>
    <row r="441" ht="19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</row>
    <row r="442" ht="19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</row>
    <row r="443" ht="19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</row>
    <row r="444" ht="19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</row>
    <row r="445" ht="19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</row>
    <row r="446" ht="19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</row>
    <row r="447" ht="19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</row>
    <row r="448" ht="19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</row>
    <row r="449" ht="19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</row>
    <row r="450" ht="19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</row>
    <row r="451" ht="19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</row>
    <row r="452" ht="19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</row>
    <row r="453" ht="19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</row>
    <row r="454" ht="19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</row>
    <row r="455" ht="19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</row>
    <row r="456" ht="19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</row>
    <row r="457" ht="19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</row>
    <row r="458" ht="19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</row>
    <row r="459" ht="19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</row>
    <row r="460" ht="19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</row>
    <row r="461" ht="19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</row>
    <row r="462" ht="19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</row>
    <row r="463" ht="19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</row>
    <row r="464" ht="19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</row>
    <row r="465" ht="19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</row>
    <row r="466" ht="19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</row>
    <row r="467" ht="19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</row>
    <row r="468" ht="19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</row>
    <row r="469" ht="19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</row>
    <row r="470" ht="19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</row>
    <row r="471" ht="19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</row>
    <row r="472" ht="19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</row>
    <row r="473" ht="19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</row>
    <row r="474" ht="19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</row>
    <row r="475" ht="19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</row>
    <row r="476" ht="19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</row>
    <row r="477" ht="19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</row>
    <row r="478" ht="19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</row>
    <row r="479" ht="19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</row>
    <row r="480" ht="19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</row>
    <row r="481" ht="19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</row>
    <row r="482" ht="19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</row>
    <row r="483" ht="19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</row>
    <row r="484" ht="19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</row>
    <row r="485" ht="19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</row>
    <row r="486" ht="19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</row>
    <row r="487" ht="19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</row>
    <row r="488" ht="19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</row>
    <row r="489" ht="19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</row>
    <row r="490" ht="19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</row>
    <row r="491" ht="19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</row>
    <row r="492" ht="19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</row>
    <row r="493" ht="19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</row>
    <row r="494" ht="19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</row>
    <row r="495" ht="19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</row>
    <row r="496" ht="19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</row>
    <row r="497" ht="19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</row>
    <row r="498" ht="19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</row>
    <row r="499" ht="19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</row>
    <row r="500" ht="19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</row>
    <row r="501" ht="19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</row>
    <row r="502" ht="19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</row>
    <row r="503" ht="19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</row>
    <row r="504" ht="19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</row>
    <row r="505" ht="19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</row>
    <row r="506" ht="19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</row>
    <row r="507" ht="19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</row>
    <row r="508" ht="19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</row>
    <row r="509" ht="19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</row>
    <row r="510" ht="19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</row>
    <row r="511" ht="19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</row>
    <row r="512" ht="19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</row>
    <row r="513" ht="19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</row>
    <row r="514" ht="19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</row>
    <row r="515" ht="19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</row>
    <row r="516" ht="19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</row>
    <row r="517" ht="19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</row>
    <row r="518" ht="19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</row>
    <row r="519" ht="19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</row>
    <row r="520" ht="19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</row>
    <row r="521" ht="19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</row>
    <row r="522" ht="19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</row>
    <row r="523" ht="19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</row>
    <row r="524" ht="19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</row>
    <row r="525" ht="19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</row>
    <row r="526" ht="19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</row>
    <row r="527" ht="19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</row>
    <row r="528" ht="19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</row>
    <row r="529" ht="19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</row>
    <row r="530" ht="19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</row>
    <row r="531" ht="19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</row>
    <row r="532" ht="19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</row>
    <row r="533" ht="19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</row>
    <row r="534" ht="19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</row>
    <row r="535" ht="19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</row>
    <row r="536" ht="19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</row>
    <row r="537" ht="19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</row>
    <row r="538" ht="19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</row>
    <row r="539" ht="19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</row>
    <row r="540" ht="19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</row>
    <row r="541" ht="19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</row>
    <row r="542" ht="19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</row>
    <row r="543" ht="19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</row>
    <row r="544" ht="19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</row>
    <row r="545" ht="19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</row>
    <row r="546" ht="19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</row>
    <row r="547" ht="19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</row>
    <row r="548" ht="19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</row>
    <row r="549" ht="19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</row>
    <row r="550" ht="19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</row>
    <row r="551" ht="19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</row>
    <row r="552" ht="19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</row>
    <row r="553" ht="19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</row>
    <row r="554" ht="19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</row>
    <row r="555" ht="19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</row>
    <row r="556" ht="19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</row>
    <row r="557" ht="19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</row>
    <row r="558" ht="19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</row>
    <row r="559" ht="19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</row>
    <row r="560" ht="19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</row>
    <row r="561" ht="19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</row>
    <row r="562" ht="19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</row>
    <row r="563" ht="19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</row>
    <row r="564" ht="19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</row>
    <row r="565" ht="19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</row>
    <row r="566" ht="19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</row>
    <row r="567" ht="19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</row>
    <row r="568" ht="19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</row>
    <row r="569" ht="19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</row>
    <row r="570" ht="19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</row>
    <row r="571" ht="19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</row>
    <row r="572" ht="19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</row>
    <row r="573" ht="19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</row>
    <row r="574" ht="19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</row>
    <row r="575" ht="19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</row>
    <row r="576" ht="19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</row>
    <row r="577" ht="19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</row>
    <row r="578" ht="19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</row>
    <row r="579" ht="19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</row>
    <row r="580" ht="19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</row>
    <row r="581" ht="19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</row>
    <row r="582" ht="19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</row>
    <row r="583" ht="19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</row>
    <row r="584" ht="19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</row>
    <row r="585" ht="19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</row>
    <row r="586" ht="19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</row>
    <row r="587" ht="19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</row>
    <row r="588" ht="19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</row>
    <row r="589" ht="19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</row>
    <row r="590" ht="19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</row>
    <row r="591" ht="19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</row>
    <row r="592" ht="19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</row>
    <row r="593" ht="19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</row>
    <row r="594" ht="19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</row>
    <row r="595" ht="19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</row>
    <row r="596" ht="19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</row>
    <row r="597" ht="19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</row>
    <row r="598" ht="19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</row>
    <row r="599" ht="19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</row>
    <row r="600" ht="19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</row>
    <row r="601" ht="19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</row>
    <row r="602" ht="19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</row>
    <row r="603" ht="19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</row>
    <row r="604" ht="19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</row>
    <row r="605" ht="19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</row>
    <row r="606" ht="19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</row>
    <row r="607" ht="19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</row>
    <row r="608" ht="19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</row>
    <row r="609" ht="19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</row>
    <row r="610" ht="19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</row>
    <row r="611" ht="19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</row>
    <row r="612" ht="19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</row>
    <row r="613" ht="19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</row>
    <row r="614" ht="19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</row>
    <row r="615" ht="19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</row>
    <row r="616" ht="19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</row>
    <row r="617" ht="19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</row>
    <row r="618" ht="19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</row>
    <row r="619" ht="19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</row>
    <row r="620" ht="19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</row>
    <row r="621" ht="19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</row>
    <row r="622" ht="19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</row>
    <row r="623" ht="19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</row>
    <row r="624" ht="19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</row>
    <row r="625" ht="19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</row>
    <row r="626" ht="19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</row>
    <row r="627" ht="19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</row>
    <row r="628" ht="19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</row>
    <row r="629" ht="19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</row>
    <row r="630" ht="19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</row>
    <row r="631" ht="19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</row>
    <row r="632" ht="19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</row>
    <row r="633" ht="19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</row>
    <row r="634" ht="19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</row>
    <row r="635" ht="19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</row>
    <row r="636" ht="19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</row>
    <row r="637" ht="19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</row>
    <row r="638" ht="19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</row>
    <row r="639" ht="19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</row>
    <row r="640" ht="19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</row>
    <row r="641" ht="19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</row>
    <row r="642" ht="19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</row>
    <row r="643" ht="19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</row>
    <row r="644" ht="19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</row>
    <row r="645" ht="19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</row>
    <row r="646" ht="19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</row>
    <row r="647" ht="19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</row>
    <row r="648" ht="19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</row>
    <row r="649" ht="19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</row>
    <row r="650" ht="19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</row>
    <row r="651" ht="19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</row>
    <row r="652" ht="19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</row>
    <row r="653" ht="19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</row>
    <row r="654" ht="19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</row>
    <row r="655" ht="19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</row>
    <row r="656" ht="19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</row>
    <row r="657" ht="19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</row>
    <row r="658" ht="19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</row>
    <row r="659" ht="19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</row>
    <row r="660" ht="19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</row>
    <row r="661" ht="19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</row>
    <row r="662" ht="19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</row>
    <row r="663" ht="19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</row>
    <row r="664" ht="19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</row>
    <row r="665" ht="19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</row>
    <row r="666" ht="19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</row>
    <row r="667" ht="19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</row>
    <row r="668" ht="19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</row>
    <row r="669" ht="19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</row>
    <row r="670" ht="19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</row>
    <row r="671" ht="19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</row>
    <row r="672" ht="19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</row>
    <row r="673" ht="19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</row>
    <row r="674" ht="19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</row>
    <row r="675" ht="19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</row>
    <row r="676" ht="19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</row>
    <row r="677" ht="19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</row>
    <row r="678" ht="19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</row>
    <row r="679" ht="19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</row>
    <row r="680" ht="19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</row>
    <row r="681" ht="19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</row>
    <row r="682" ht="19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</row>
    <row r="683" ht="19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</row>
    <row r="684" ht="19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</row>
    <row r="685" ht="19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</row>
    <row r="686" ht="19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</row>
    <row r="687" ht="19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</row>
    <row r="688" ht="19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</row>
    <row r="689" ht="19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</row>
    <row r="690" ht="19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</row>
    <row r="691" ht="19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</row>
    <row r="692" ht="19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</row>
    <row r="693" ht="19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</row>
    <row r="694" ht="19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</row>
    <row r="695" ht="19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</row>
    <row r="696" ht="19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</row>
    <row r="697" ht="19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</row>
    <row r="698" ht="19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</row>
    <row r="699" ht="19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</row>
    <row r="700" ht="19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</row>
    <row r="701" ht="19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</row>
    <row r="702" ht="19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</row>
    <row r="703" ht="19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</row>
    <row r="704" ht="19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</row>
    <row r="705" ht="19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</row>
    <row r="706" ht="19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</row>
    <row r="707" ht="19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</row>
    <row r="708" ht="19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</row>
    <row r="709" ht="19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</row>
    <row r="710" ht="19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</row>
    <row r="711" ht="19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</row>
    <row r="712" ht="19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</row>
    <row r="713" ht="19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</row>
    <row r="714" ht="19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</row>
    <row r="715" ht="19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</row>
    <row r="716" ht="19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</row>
    <row r="717" ht="19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</row>
    <row r="718" ht="19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</row>
    <row r="719" ht="19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</row>
    <row r="720" ht="19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</row>
    <row r="721" ht="19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</row>
    <row r="722" ht="19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</row>
    <row r="723" ht="19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</row>
    <row r="724" ht="19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</row>
    <row r="725" ht="19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</row>
    <row r="726" ht="19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</row>
    <row r="727" ht="19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</row>
    <row r="728" ht="19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</row>
    <row r="729" ht="19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</row>
    <row r="730" ht="19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</row>
    <row r="731" ht="19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</row>
    <row r="732" ht="19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</row>
    <row r="733" ht="19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</row>
    <row r="734" ht="19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</row>
    <row r="735" ht="19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</row>
    <row r="736" ht="19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</row>
    <row r="737" ht="19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</row>
    <row r="738" ht="19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</row>
    <row r="739" ht="19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</row>
    <row r="740" ht="19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</row>
    <row r="741" ht="19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</row>
    <row r="742" ht="19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</row>
    <row r="743" ht="19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</row>
    <row r="744" ht="19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</row>
    <row r="745" ht="19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</row>
    <row r="746" ht="19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</row>
    <row r="747" ht="19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</row>
    <row r="748" ht="19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</row>
    <row r="749" ht="19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</row>
    <row r="750" ht="19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</row>
    <row r="751" ht="19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</row>
    <row r="752" ht="19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</row>
    <row r="753" ht="19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</row>
    <row r="754" ht="19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</row>
    <row r="755" ht="19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</row>
    <row r="756" ht="19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</row>
    <row r="757" ht="19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</row>
    <row r="758" ht="19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</row>
    <row r="759" ht="19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</row>
    <row r="760" ht="19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</row>
    <row r="761" ht="19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</row>
    <row r="762" ht="19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</row>
    <row r="763" ht="19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</row>
    <row r="764" ht="19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</row>
    <row r="765" ht="19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</row>
    <row r="766" ht="19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</row>
    <row r="767" ht="19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</row>
    <row r="768" ht="19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</row>
    <row r="769" ht="19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</row>
    <row r="770" ht="19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</row>
    <row r="771" ht="19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</row>
    <row r="772" ht="19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</row>
    <row r="773" ht="19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</row>
    <row r="774" ht="19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</row>
    <row r="775" ht="19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</row>
    <row r="776" ht="19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</row>
    <row r="777" ht="19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</row>
    <row r="778" ht="19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</row>
    <row r="779" ht="19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</row>
    <row r="780" ht="19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</row>
    <row r="781" ht="19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</row>
    <row r="782" ht="19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</row>
    <row r="783" ht="19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</row>
    <row r="784" ht="19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</row>
    <row r="785" ht="19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</row>
    <row r="786" ht="19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</row>
    <row r="787" ht="19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</row>
    <row r="788" ht="19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</row>
    <row r="789" ht="19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</row>
    <row r="790" ht="19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</row>
    <row r="791" ht="19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</row>
    <row r="792" ht="19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</row>
    <row r="793" ht="19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</row>
    <row r="794" ht="19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</row>
    <row r="795" ht="19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</row>
    <row r="796" ht="19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</row>
    <row r="797" ht="19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</row>
    <row r="798" ht="19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</row>
    <row r="799" ht="19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</row>
    <row r="800" ht="19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</row>
    <row r="801" ht="19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</row>
    <row r="802" ht="19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</row>
    <row r="803" ht="19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</row>
    <row r="804" ht="19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</row>
    <row r="805" ht="19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</row>
    <row r="806" ht="19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</row>
    <row r="807" ht="19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</row>
    <row r="808" ht="19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</row>
    <row r="809" ht="19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</row>
    <row r="810" ht="19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</row>
    <row r="811" ht="19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</row>
    <row r="812" ht="19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</row>
    <row r="813" ht="19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</row>
    <row r="814" ht="19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</row>
    <row r="815" ht="19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</row>
    <row r="816" ht="19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</row>
    <row r="817" ht="19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</row>
    <row r="818" ht="19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</row>
    <row r="819" ht="19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</row>
    <row r="820" ht="19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</row>
    <row r="821" ht="19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</row>
    <row r="822" ht="19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</row>
    <row r="823" ht="19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</row>
    <row r="824" ht="19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</row>
    <row r="825" ht="19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</row>
    <row r="826" ht="19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</row>
    <row r="827" ht="19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</row>
    <row r="828" ht="19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</row>
    <row r="829" ht="19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</row>
    <row r="830" ht="19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</row>
    <row r="831" ht="19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</row>
    <row r="832" ht="19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</row>
    <row r="833" ht="19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</row>
    <row r="834" ht="19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</row>
    <row r="835" ht="19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</row>
    <row r="836" ht="19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</row>
    <row r="837" ht="19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</row>
    <row r="838" ht="19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</row>
    <row r="839" ht="19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</row>
    <row r="840" ht="19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</row>
    <row r="841" ht="19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</row>
    <row r="842" ht="19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</row>
    <row r="843" ht="19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</row>
    <row r="844" ht="19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</row>
    <row r="845" ht="19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</row>
    <row r="846" ht="19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</row>
    <row r="847" ht="19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</row>
    <row r="848" ht="19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</row>
    <row r="849" ht="19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</row>
    <row r="850" ht="19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</row>
    <row r="851" ht="19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</row>
    <row r="852" ht="19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</row>
    <row r="853" ht="19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</row>
    <row r="854" ht="19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</row>
    <row r="855" ht="19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</row>
    <row r="856" ht="19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</row>
    <row r="857" ht="19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</row>
    <row r="858" ht="19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</row>
    <row r="859" ht="19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</row>
    <row r="860" ht="19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</row>
    <row r="861" ht="19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</row>
    <row r="862" ht="19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</row>
    <row r="863" ht="19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</row>
    <row r="864" ht="19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</row>
    <row r="865" ht="19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</row>
    <row r="866" ht="19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</row>
    <row r="867" ht="19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</row>
    <row r="868" ht="19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</row>
    <row r="869" ht="19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</row>
    <row r="870" ht="19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</row>
    <row r="871" ht="19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</row>
    <row r="872" ht="19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</row>
    <row r="873" ht="19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</row>
    <row r="874" ht="19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</row>
    <row r="875" ht="19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</row>
    <row r="876" ht="19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</row>
    <row r="877" ht="19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</row>
    <row r="878" ht="19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</row>
    <row r="879" ht="19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</row>
    <row r="880" ht="19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</row>
    <row r="881" ht="19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</row>
    <row r="882" ht="19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</row>
    <row r="883" ht="19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</row>
    <row r="884" ht="19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</row>
    <row r="885" ht="19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</row>
    <row r="886" ht="19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</row>
    <row r="887" ht="19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</row>
    <row r="888" ht="19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</row>
    <row r="889" ht="19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</row>
    <row r="890" ht="19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</row>
    <row r="891" ht="19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</row>
    <row r="892" ht="19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</row>
    <row r="893" ht="19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</row>
    <row r="894" ht="19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</row>
    <row r="895" ht="19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</row>
    <row r="896" ht="19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</row>
    <row r="897" ht="19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</row>
    <row r="898" ht="19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</row>
    <row r="899" ht="19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</row>
    <row r="900" ht="19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</row>
    <row r="901" ht="19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</row>
    <row r="902" ht="19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</row>
    <row r="903" ht="19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</row>
    <row r="904" ht="19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</row>
    <row r="905" ht="19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</row>
    <row r="906" ht="19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</row>
    <row r="907" ht="19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</row>
    <row r="908" ht="19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</row>
    <row r="909" ht="19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</row>
    <row r="910" ht="19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</row>
    <row r="911" ht="19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</row>
    <row r="912" ht="19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</row>
    <row r="913" ht="19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</row>
    <row r="914" ht="19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</row>
    <row r="915" ht="19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</row>
    <row r="916" ht="19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</row>
    <row r="917" ht="19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</row>
    <row r="918" ht="19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</row>
    <row r="919" ht="19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</row>
    <row r="920" ht="19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</row>
    <row r="921" ht="19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</row>
    <row r="922" ht="19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</row>
    <row r="923" ht="19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</row>
    <row r="924" ht="19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</row>
    <row r="925" ht="19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</row>
    <row r="926" ht="19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</row>
    <row r="927" ht="19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</row>
    <row r="928" ht="19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</row>
    <row r="929" ht="19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</row>
    <row r="930" ht="19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</row>
    <row r="931" ht="19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</row>
    <row r="932" ht="19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</row>
    <row r="933" ht="19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</row>
    <row r="934" ht="19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</row>
    <row r="935" ht="19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</row>
    <row r="936" ht="19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</row>
    <row r="937" ht="19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</row>
    <row r="938" ht="19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</row>
    <row r="939" ht="19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</row>
    <row r="940" ht="19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</row>
    <row r="941" ht="19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</row>
    <row r="942" ht="19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</row>
    <row r="943" ht="19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</row>
    <row r="944" ht="19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</row>
    <row r="945" ht="19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</row>
    <row r="946" ht="19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</row>
    <row r="947" ht="19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</row>
    <row r="948" ht="19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</row>
    <row r="949" ht="19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</row>
    <row r="950" ht="19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</row>
    <row r="951" ht="19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</row>
    <row r="952" ht="19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</row>
    <row r="953" ht="19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</row>
    <row r="954" ht="19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</row>
    <row r="955" ht="19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</row>
    <row r="956" ht="19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</row>
    <row r="957" ht="19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</row>
    <row r="958" ht="19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</row>
    <row r="959" ht="19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</row>
    <row r="960" ht="19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</row>
    <row r="961" ht="19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</row>
    <row r="962" ht="19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</row>
    <row r="963" ht="19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</row>
    <row r="964" ht="19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</row>
    <row r="965" ht="19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</row>
    <row r="966" ht="19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</row>
    <row r="967" ht="19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</row>
    <row r="968" ht="19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</row>
    <row r="969" ht="19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</row>
    <row r="970" ht="19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</row>
    <row r="971" ht="19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</row>
    <row r="972" ht="19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</row>
    <row r="973" ht="19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</row>
    <row r="974" ht="19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</row>
    <row r="975" ht="19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</row>
    <row r="976" ht="19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</row>
    <row r="977" ht="19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</row>
    <row r="978" ht="19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</row>
    <row r="979" ht="19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</row>
    <row r="980" ht="19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</row>
    <row r="981" ht="19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</row>
    <row r="982" ht="19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</row>
    <row r="983" ht="19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</row>
    <row r="984" ht="19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</row>
    <row r="985" ht="19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</row>
    <row r="986" ht="19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</row>
    <row r="987" ht="19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</row>
    <row r="988" ht="19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</row>
    <row r="989" ht="19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</row>
    <row r="990" ht="19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</row>
    <row r="991" ht="19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</row>
    <row r="992" ht="19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</row>
    <row r="993" ht="19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</row>
    <row r="994" ht="19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</row>
    <row r="995" ht="19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</row>
    <row r="996" ht="19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</row>
    <row r="997" ht="19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</row>
    <row r="998" ht="19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</row>
    <row r="999" ht="19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</row>
    <row r="1000" ht="19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</row>
  </sheetData>
  <mergeCells count="1">
    <mergeCell ref="A1:BZ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5" max="5" width="13.38"/>
    <col customWidth="1" min="6" max="6" width="19.0"/>
    <col customWidth="1" min="7" max="7" width="62.5"/>
    <col customWidth="1" min="8" max="8" width="20.38"/>
    <col customWidth="1" min="9" max="9" width="19.0"/>
    <col customWidth="1" min="10" max="10" width="20.5"/>
    <col customWidth="1" min="11" max="11" width="13.13"/>
    <col customWidth="1" min="12" max="12" width="13.38"/>
    <col customWidth="1" min="13" max="13" width="58.75"/>
    <col customWidth="1" min="14" max="14" width="58.88"/>
    <col customWidth="1" min="15" max="15" width="46.5"/>
    <col customWidth="1" min="16" max="16" width="49.38"/>
    <col customWidth="1" min="17" max="17" width="13.38"/>
    <col customWidth="1" min="18" max="19" width="16.25"/>
    <col customWidth="1" min="24" max="25" width="16.13"/>
    <col customWidth="1" min="26" max="26" width="21.13"/>
    <col customWidth="1" min="27" max="27" width="24.13"/>
    <col customWidth="1" min="28" max="28" width="23.13"/>
    <col customWidth="1" min="29" max="29" width="22.25"/>
    <col customWidth="1" min="30" max="30" width="21.88"/>
    <col customWidth="1" min="31" max="31" width="23.13"/>
    <col customWidth="1" min="33" max="33" width="21.0"/>
    <col customWidth="1" min="34" max="34" width="19.25"/>
    <col customWidth="1" min="35" max="35" width="18.5"/>
    <col customWidth="1" min="36" max="36" width="25.5"/>
    <col customWidth="1" min="37" max="37" width="22.13"/>
    <col customWidth="1" min="38" max="38" width="24.25"/>
    <col customWidth="1" min="44" max="44" width="19.38"/>
    <col customWidth="1" min="45" max="45" width="21.75"/>
    <col customWidth="1" min="46" max="46" width="19.75"/>
    <col customWidth="1" min="47" max="47" width="29.75"/>
    <col customWidth="1" min="48" max="48" width="27.63"/>
    <col customWidth="1" min="49" max="49" width="24.75"/>
    <col customWidth="1" min="50" max="50" width="27.0"/>
    <col customWidth="1" min="51" max="51" width="21.5"/>
    <col customWidth="1" min="52" max="52" width="19.63"/>
    <col customWidth="1" min="53" max="53" width="27.38"/>
    <col customWidth="1" min="54" max="54" width="9.5"/>
    <col customWidth="1" min="55" max="55" width="16.5"/>
    <col customWidth="1" min="56" max="73" width="17.0"/>
  </cols>
  <sheetData>
    <row r="1">
      <c r="A1" s="18"/>
      <c r="B1" s="18"/>
      <c r="C1" s="19"/>
      <c r="D1" s="20"/>
      <c r="E1" s="19"/>
      <c r="F1" s="20"/>
      <c r="G1" s="21"/>
      <c r="H1" s="22"/>
      <c r="I1" s="22"/>
      <c r="J1" s="22"/>
      <c r="K1" s="22"/>
      <c r="L1" s="22"/>
      <c r="M1" s="23"/>
      <c r="N1" s="23"/>
      <c r="O1" s="23"/>
      <c r="P1" s="23"/>
      <c r="Q1" s="23"/>
      <c r="T1" s="24"/>
      <c r="U1" s="24"/>
      <c r="V1" s="24"/>
      <c r="W1" s="24"/>
      <c r="X1" s="24"/>
      <c r="Y1" s="24"/>
      <c r="Z1" s="25" t="s">
        <v>82</v>
      </c>
      <c r="AN1" s="26"/>
      <c r="AO1" s="26"/>
      <c r="AP1" s="26"/>
      <c r="AQ1" s="27"/>
      <c r="AR1" s="28" t="s">
        <v>83</v>
      </c>
      <c r="BN1" s="28"/>
      <c r="BO1" s="28"/>
      <c r="BP1" s="28"/>
      <c r="BQ1" s="28"/>
      <c r="BR1" s="28"/>
      <c r="BS1" s="28"/>
      <c r="BT1" s="28"/>
      <c r="BU1" s="28"/>
    </row>
    <row r="2">
      <c r="A2" s="18"/>
      <c r="B2" s="18"/>
      <c r="C2" s="19"/>
      <c r="D2" s="20"/>
      <c r="E2" s="19"/>
      <c r="F2" s="20"/>
      <c r="G2" s="21"/>
      <c r="H2" s="22"/>
      <c r="I2" s="22"/>
      <c r="J2" s="22"/>
      <c r="K2" s="22"/>
      <c r="L2" s="22"/>
      <c r="M2" s="29" t="s">
        <v>84</v>
      </c>
      <c r="R2" s="26" t="s">
        <v>85</v>
      </c>
      <c r="T2" s="30" t="s">
        <v>86</v>
      </c>
      <c r="Y2" s="30"/>
      <c r="Z2" s="31" t="s">
        <v>87</v>
      </c>
      <c r="AA2" s="32"/>
      <c r="AB2" s="32"/>
      <c r="AC2" s="32"/>
      <c r="AD2" s="32"/>
      <c r="AE2" s="32"/>
      <c r="AF2" s="33"/>
      <c r="AG2" s="31" t="s">
        <v>88</v>
      </c>
      <c r="AH2" s="32"/>
      <c r="AI2" s="32"/>
      <c r="AJ2" s="32"/>
      <c r="AK2" s="32"/>
      <c r="AL2" s="32"/>
      <c r="AM2" s="33"/>
      <c r="AN2" s="26"/>
      <c r="AO2" s="26"/>
      <c r="AP2" s="26"/>
      <c r="AQ2" s="27"/>
      <c r="AR2" s="34" t="s">
        <v>87</v>
      </c>
      <c r="AS2" s="32"/>
      <c r="AT2" s="32"/>
      <c r="AU2" s="32"/>
      <c r="AV2" s="32"/>
      <c r="AW2" s="32"/>
      <c r="AX2" s="32"/>
      <c r="AY2" s="32"/>
      <c r="AZ2" s="32"/>
      <c r="BA2" s="33"/>
      <c r="BB2" s="35"/>
      <c r="BC2" s="35"/>
      <c r="BD2" s="31" t="s">
        <v>88</v>
      </c>
      <c r="BE2" s="32"/>
      <c r="BF2" s="32"/>
      <c r="BG2" s="32"/>
      <c r="BH2" s="32"/>
      <c r="BI2" s="32"/>
      <c r="BJ2" s="32"/>
      <c r="BK2" s="32"/>
      <c r="BL2" s="32"/>
      <c r="BM2" s="33"/>
      <c r="BN2" s="26"/>
      <c r="BO2" s="26"/>
      <c r="BP2" s="26"/>
      <c r="BQ2" s="26"/>
      <c r="BR2" s="26"/>
      <c r="BS2" s="26"/>
      <c r="BT2" s="26"/>
      <c r="BU2" s="26"/>
    </row>
    <row r="3">
      <c r="A3" s="18"/>
      <c r="B3" s="18"/>
      <c r="C3" s="19"/>
      <c r="D3" s="20"/>
      <c r="E3" s="19"/>
      <c r="F3" s="20"/>
      <c r="G3" s="21"/>
      <c r="H3" s="22"/>
      <c r="I3" s="22"/>
      <c r="J3" s="22"/>
      <c r="K3" s="22"/>
      <c r="L3" s="22"/>
      <c r="M3" s="26" t="s">
        <v>89</v>
      </c>
      <c r="N3" s="26" t="s">
        <v>90</v>
      </c>
      <c r="O3" s="26" t="s">
        <v>91</v>
      </c>
      <c r="P3" s="26" t="s">
        <v>92</v>
      </c>
      <c r="Q3" s="26" t="s">
        <v>93</v>
      </c>
      <c r="R3" s="18"/>
      <c r="S3" s="18"/>
      <c r="T3" s="36" t="s">
        <v>12</v>
      </c>
      <c r="Y3" s="36"/>
      <c r="Z3" s="37" t="s">
        <v>94</v>
      </c>
      <c r="AA3" s="26" t="s">
        <v>95</v>
      </c>
      <c r="AB3" s="26" t="s">
        <v>96</v>
      </c>
      <c r="AC3" s="26" t="s">
        <v>97</v>
      </c>
      <c r="AD3" s="26" t="s">
        <v>98</v>
      </c>
      <c r="AE3" s="26" t="s">
        <v>99</v>
      </c>
      <c r="AF3" s="27" t="s">
        <v>100</v>
      </c>
      <c r="AG3" s="37" t="s">
        <v>94</v>
      </c>
      <c r="AH3" s="26" t="s">
        <v>95</v>
      </c>
      <c r="AI3" s="26" t="s">
        <v>96</v>
      </c>
      <c r="AJ3" s="26" t="s">
        <v>97</v>
      </c>
      <c r="AK3" s="26" t="s">
        <v>98</v>
      </c>
      <c r="AL3" s="26" t="s">
        <v>99</v>
      </c>
      <c r="AM3" s="27" t="s">
        <v>100</v>
      </c>
      <c r="AN3" s="26"/>
      <c r="AO3" s="26"/>
      <c r="AP3" s="26"/>
      <c r="AQ3" s="27"/>
      <c r="AR3" s="26" t="s">
        <v>101</v>
      </c>
      <c r="AS3" s="26" t="s">
        <v>102</v>
      </c>
      <c r="AT3" s="26" t="s">
        <v>101</v>
      </c>
      <c r="AU3" s="26" t="s">
        <v>102</v>
      </c>
      <c r="AV3" s="26" t="s">
        <v>101</v>
      </c>
      <c r="AW3" s="26" t="s">
        <v>102</v>
      </c>
      <c r="AX3" s="26" t="s">
        <v>101</v>
      </c>
      <c r="AY3" s="26" t="s">
        <v>102</v>
      </c>
      <c r="AZ3" s="26" t="s">
        <v>101</v>
      </c>
      <c r="BA3" s="27" t="s">
        <v>102</v>
      </c>
      <c r="BB3" s="26"/>
      <c r="BC3" s="26"/>
      <c r="BD3" s="37" t="s">
        <v>101</v>
      </c>
      <c r="BE3" s="26" t="s">
        <v>102</v>
      </c>
      <c r="BF3" s="26" t="s">
        <v>101</v>
      </c>
      <c r="BG3" s="26" t="s">
        <v>102</v>
      </c>
      <c r="BH3" s="26" t="s">
        <v>101</v>
      </c>
      <c r="BI3" s="26" t="s">
        <v>102</v>
      </c>
      <c r="BJ3" s="26" t="s">
        <v>101</v>
      </c>
      <c r="BK3" s="26" t="s">
        <v>102</v>
      </c>
      <c r="BL3" s="26" t="s">
        <v>101</v>
      </c>
      <c r="BM3" s="27" t="s">
        <v>102</v>
      </c>
      <c r="BN3" s="26"/>
      <c r="BO3" s="26"/>
      <c r="BP3" s="26"/>
      <c r="BQ3" s="26"/>
      <c r="BR3" s="26"/>
      <c r="BS3" s="26"/>
      <c r="BT3" s="26"/>
      <c r="BU3" s="26"/>
    </row>
    <row r="4">
      <c r="A4" s="38" t="s">
        <v>2</v>
      </c>
      <c r="B4" s="38" t="s">
        <v>3</v>
      </c>
      <c r="C4" s="39" t="s">
        <v>4</v>
      </c>
      <c r="D4" s="40" t="s">
        <v>103</v>
      </c>
      <c r="E4" s="39" t="s">
        <v>5</v>
      </c>
      <c r="F4" s="40" t="s">
        <v>104</v>
      </c>
      <c r="G4" s="41" t="s">
        <v>6</v>
      </c>
      <c r="H4" s="42" t="s">
        <v>105</v>
      </c>
      <c r="I4" s="42" t="s">
        <v>106</v>
      </c>
      <c r="J4" s="42" t="s">
        <v>107</v>
      </c>
      <c r="K4" s="42" t="s">
        <v>108</v>
      </c>
      <c r="L4" s="42" t="s">
        <v>109</v>
      </c>
      <c r="M4" s="41" t="s">
        <v>7</v>
      </c>
      <c r="N4" s="41" t="s">
        <v>8</v>
      </c>
      <c r="O4" s="41" t="s">
        <v>9</v>
      </c>
      <c r="P4" s="41" t="s">
        <v>10</v>
      </c>
      <c r="Q4" s="43" t="s">
        <v>110</v>
      </c>
      <c r="R4" s="43" t="s">
        <v>87</v>
      </c>
      <c r="S4" s="43" t="s">
        <v>88</v>
      </c>
      <c r="T4" s="43" t="s">
        <v>111</v>
      </c>
      <c r="U4" s="43" t="s">
        <v>112</v>
      </c>
      <c r="V4" s="43" t="s">
        <v>113</v>
      </c>
      <c r="W4" s="43" t="s">
        <v>114</v>
      </c>
      <c r="X4" s="43" t="s">
        <v>115</v>
      </c>
      <c r="Y4" s="43" t="s">
        <v>116</v>
      </c>
      <c r="Z4" s="44" t="s">
        <v>117</v>
      </c>
      <c r="AA4" s="45" t="s">
        <v>118</v>
      </c>
      <c r="AB4" s="45" t="s">
        <v>119</v>
      </c>
      <c r="AC4" s="46" t="s">
        <v>16</v>
      </c>
      <c r="AD4" s="46" t="s">
        <v>17</v>
      </c>
      <c r="AE4" s="46" t="s">
        <v>18</v>
      </c>
      <c r="AF4" s="47" t="s">
        <v>120</v>
      </c>
      <c r="AG4" s="44" t="s">
        <v>117</v>
      </c>
      <c r="AH4" s="45" t="s">
        <v>118</v>
      </c>
      <c r="AI4" s="45" t="s">
        <v>119</v>
      </c>
      <c r="AJ4" s="46" t="s">
        <v>16</v>
      </c>
      <c r="AK4" s="46" t="s">
        <v>17</v>
      </c>
      <c r="AL4" s="46" t="s">
        <v>18</v>
      </c>
      <c r="AM4" s="47" t="s">
        <v>120</v>
      </c>
      <c r="AN4" s="45"/>
      <c r="AO4" s="45"/>
      <c r="AP4" s="45"/>
      <c r="AQ4" s="47"/>
      <c r="AR4" s="48" t="s">
        <v>19</v>
      </c>
      <c r="AS4" s="48" t="s">
        <v>20</v>
      </c>
      <c r="AT4" s="48" t="s">
        <v>21</v>
      </c>
      <c r="AU4" s="48" t="s">
        <v>22</v>
      </c>
      <c r="AV4" s="48" t="s">
        <v>23</v>
      </c>
      <c r="AW4" s="48" t="s">
        <v>24</v>
      </c>
      <c r="AX4" s="48" t="s">
        <v>25</v>
      </c>
      <c r="AY4" s="48" t="s">
        <v>26</v>
      </c>
      <c r="AZ4" s="48" t="s">
        <v>27</v>
      </c>
      <c r="BA4" s="49" t="s">
        <v>28</v>
      </c>
      <c r="BB4" s="48"/>
      <c r="BC4" s="48"/>
      <c r="BD4" s="50" t="s">
        <v>19</v>
      </c>
      <c r="BE4" s="48" t="s">
        <v>20</v>
      </c>
      <c r="BF4" s="48" t="s">
        <v>21</v>
      </c>
      <c r="BG4" s="48" t="s">
        <v>22</v>
      </c>
      <c r="BH4" s="48" t="s">
        <v>23</v>
      </c>
      <c r="BI4" s="48" t="s">
        <v>24</v>
      </c>
      <c r="BJ4" s="48" t="s">
        <v>25</v>
      </c>
      <c r="BK4" s="48" t="s">
        <v>26</v>
      </c>
      <c r="BL4" s="48" t="s">
        <v>27</v>
      </c>
      <c r="BM4" s="49" t="s">
        <v>28</v>
      </c>
      <c r="BN4" s="48"/>
      <c r="BO4" s="48"/>
      <c r="BP4" s="48"/>
      <c r="BQ4" s="48"/>
      <c r="BR4" s="48"/>
      <c r="BS4" s="48"/>
      <c r="BT4" s="48"/>
      <c r="BU4" s="48"/>
    </row>
    <row r="5">
      <c r="A5" s="51">
        <v>1.0</v>
      </c>
      <c r="B5" s="51">
        <v>23.0</v>
      </c>
      <c r="C5" s="52" t="s">
        <v>33</v>
      </c>
      <c r="D5" s="53">
        <v>1.0</v>
      </c>
      <c r="E5" s="54" t="s">
        <v>34</v>
      </c>
      <c r="F5" s="55">
        <v>1.0</v>
      </c>
      <c r="G5" s="56" t="s">
        <v>39</v>
      </c>
      <c r="H5" s="56">
        <v>0.0</v>
      </c>
      <c r="I5" s="56">
        <v>1.0</v>
      </c>
      <c r="J5" s="56">
        <v>0.0</v>
      </c>
      <c r="K5" s="56">
        <v>0.0</v>
      </c>
      <c r="L5" s="56">
        <v>0.0</v>
      </c>
      <c r="M5" s="57">
        <v>4.0</v>
      </c>
      <c r="N5" s="57">
        <v>4.0</v>
      </c>
      <c r="O5" s="57">
        <v>4.0</v>
      </c>
      <c r="P5" s="57">
        <v>4.0</v>
      </c>
      <c r="Q5" s="58">
        <f t="shared" ref="Q5:Q24" si="1">AVERAGE(M5:P5)</f>
        <v>4</v>
      </c>
      <c r="R5" s="59" t="s">
        <v>40</v>
      </c>
      <c r="S5" s="59" t="s">
        <v>41</v>
      </c>
      <c r="T5" s="60">
        <v>5.0</v>
      </c>
      <c r="U5" s="60">
        <v>3.0</v>
      </c>
      <c r="V5" s="61">
        <v>5.0</v>
      </c>
      <c r="W5" s="61" t="str">
        <f t="shared" ref="W5:W24" si="2">IF(OR(V5&gt;$V$25+2*$V$26, V5&lt;$V$25-2*$V$26), "Outlier", "No")</f>
        <v>No</v>
      </c>
      <c r="X5" s="61">
        <v>3.0</v>
      </c>
      <c r="Y5" s="61" t="str">
        <f t="shared" ref="Y5:Y24" si="3">IF(OR(X5&gt;$X$25+2*$X$26, X5&lt;$X$25-2*$X$26), "Outlier", "No")</f>
        <v>No</v>
      </c>
      <c r="Z5" s="62">
        <v>3.0</v>
      </c>
      <c r="AA5" s="63">
        <v>4.0</v>
      </c>
      <c r="AB5" s="63">
        <v>2.0</v>
      </c>
      <c r="AC5" s="63">
        <v>6.0</v>
      </c>
      <c r="AD5" s="63">
        <v>3.0</v>
      </c>
      <c r="AE5" s="63">
        <v>2.0</v>
      </c>
      <c r="AF5" s="64">
        <f t="shared" ref="AF5:AF24" si="4">AVERAGE(Z5:AE5)</f>
        <v>3.333333333</v>
      </c>
      <c r="AG5" s="65">
        <v>5.0</v>
      </c>
      <c r="AH5" s="66">
        <v>3.0</v>
      </c>
      <c r="AI5" s="66">
        <v>1.0</v>
      </c>
      <c r="AJ5" s="66">
        <v>6.0</v>
      </c>
      <c r="AK5" s="66">
        <v>5.0</v>
      </c>
      <c r="AL5" s="66">
        <v>1.0</v>
      </c>
      <c r="AM5" s="64">
        <f t="shared" ref="AM5:AM24" si="5">AVERAGE(AG5:AL5)</f>
        <v>3.5</v>
      </c>
      <c r="AN5" s="36"/>
      <c r="AO5" s="36"/>
      <c r="AP5" s="36"/>
      <c r="AQ5" s="67"/>
      <c r="AR5" s="68">
        <v>2.0</v>
      </c>
      <c r="AS5" s="68">
        <v>2.0</v>
      </c>
      <c r="AT5" s="68">
        <v>4.0</v>
      </c>
      <c r="AU5" s="68">
        <v>1.0</v>
      </c>
      <c r="AV5" s="68">
        <v>4.0</v>
      </c>
      <c r="AW5" s="68">
        <v>1.0</v>
      </c>
      <c r="AX5" s="68">
        <v>4.0</v>
      </c>
      <c r="AY5" s="68">
        <v>3.0</v>
      </c>
      <c r="AZ5" s="68">
        <v>4.0</v>
      </c>
      <c r="BA5" s="69">
        <v>2.0</v>
      </c>
      <c r="BD5" s="70">
        <v>2.0</v>
      </c>
      <c r="BE5" s="68">
        <v>3.0</v>
      </c>
      <c r="BF5" s="68">
        <v>4.0</v>
      </c>
      <c r="BG5" s="68">
        <v>2.0</v>
      </c>
      <c r="BH5" s="68">
        <v>3.0</v>
      </c>
      <c r="BI5" s="68">
        <v>2.0</v>
      </c>
      <c r="BJ5" s="68">
        <v>4.0</v>
      </c>
      <c r="BK5" s="68">
        <v>3.0</v>
      </c>
      <c r="BL5" s="68">
        <v>4.0</v>
      </c>
      <c r="BM5" s="69">
        <v>1.0</v>
      </c>
    </row>
    <row r="6">
      <c r="A6" s="71" t="s">
        <v>121</v>
      </c>
      <c r="B6" s="51">
        <v>24.0</v>
      </c>
      <c r="C6" s="52" t="s">
        <v>43</v>
      </c>
      <c r="D6" s="53">
        <v>2.0</v>
      </c>
      <c r="E6" s="54" t="s">
        <v>34</v>
      </c>
      <c r="F6" s="55">
        <v>1.0</v>
      </c>
      <c r="G6" s="56" t="s">
        <v>44</v>
      </c>
      <c r="H6" s="56">
        <v>0.0</v>
      </c>
      <c r="I6" s="56">
        <v>0.0</v>
      </c>
      <c r="J6" s="56">
        <v>0.0</v>
      </c>
      <c r="K6" s="56">
        <v>1.0</v>
      </c>
      <c r="L6" s="56">
        <v>0.0</v>
      </c>
      <c r="M6" s="57">
        <v>5.0</v>
      </c>
      <c r="N6" s="57">
        <v>5.0</v>
      </c>
      <c r="O6" s="57">
        <v>4.0</v>
      </c>
      <c r="P6" s="57">
        <v>5.0</v>
      </c>
      <c r="Q6" s="58">
        <f t="shared" si="1"/>
        <v>4.75</v>
      </c>
      <c r="R6" s="59" t="s">
        <v>37</v>
      </c>
      <c r="S6" s="59" t="s">
        <v>36</v>
      </c>
      <c r="T6" s="60">
        <v>5.0</v>
      </c>
      <c r="U6" s="60">
        <v>3.0</v>
      </c>
      <c r="V6" s="61">
        <v>3.0</v>
      </c>
      <c r="W6" s="61" t="str">
        <f t="shared" si="2"/>
        <v>Outlier</v>
      </c>
      <c r="X6" s="61">
        <v>5.0</v>
      </c>
      <c r="Y6" s="61" t="str">
        <f t="shared" si="3"/>
        <v>No</v>
      </c>
      <c r="Z6" s="62">
        <v>4.0</v>
      </c>
      <c r="AA6" s="63">
        <v>3.0</v>
      </c>
      <c r="AB6" s="63">
        <v>2.0</v>
      </c>
      <c r="AC6" s="63">
        <v>6.0</v>
      </c>
      <c r="AD6" s="63">
        <v>4.0</v>
      </c>
      <c r="AE6" s="63">
        <v>2.0</v>
      </c>
      <c r="AF6" s="64">
        <f t="shared" si="4"/>
        <v>3.5</v>
      </c>
      <c r="AG6" s="65">
        <v>5.0</v>
      </c>
      <c r="AH6" s="66">
        <v>6.0</v>
      </c>
      <c r="AI6" s="66">
        <v>2.0</v>
      </c>
      <c r="AJ6" s="66">
        <v>6.0</v>
      </c>
      <c r="AK6" s="66">
        <v>6.0</v>
      </c>
      <c r="AL6" s="66">
        <v>5.0</v>
      </c>
      <c r="AM6" s="64">
        <f t="shared" si="5"/>
        <v>5</v>
      </c>
      <c r="AN6" s="36"/>
      <c r="AO6" s="36"/>
      <c r="AP6" s="36"/>
      <c r="AQ6" s="67"/>
      <c r="AR6" s="68">
        <v>5.0</v>
      </c>
      <c r="AS6" s="68">
        <v>2.0</v>
      </c>
      <c r="AT6" s="68">
        <v>4.0</v>
      </c>
      <c r="AU6" s="68">
        <v>2.0</v>
      </c>
      <c r="AV6" s="68">
        <v>5.0</v>
      </c>
      <c r="AW6" s="68">
        <v>1.0</v>
      </c>
      <c r="AX6" s="68">
        <v>5.0</v>
      </c>
      <c r="AY6" s="68">
        <v>1.0</v>
      </c>
      <c r="AZ6" s="68">
        <v>4.0</v>
      </c>
      <c r="BA6" s="69">
        <v>1.0</v>
      </c>
      <c r="BD6" s="70">
        <v>5.0</v>
      </c>
      <c r="BE6" s="68">
        <v>2.0</v>
      </c>
      <c r="BF6" s="68">
        <v>3.0</v>
      </c>
      <c r="BG6" s="68">
        <v>5.0</v>
      </c>
      <c r="BH6" s="68">
        <v>4.0</v>
      </c>
      <c r="BI6" s="68">
        <v>4.0</v>
      </c>
      <c r="BJ6" s="68">
        <v>2.0</v>
      </c>
      <c r="BK6" s="68">
        <v>2.0</v>
      </c>
      <c r="BL6" s="68">
        <v>2.0</v>
      </c>
      <c r="BM6" s="69">
        <v>2.0</v>
      </c>
    </row>
    <row r="7">
      <c r="A7" s="71" t="s">
        <v>122</v>
      </c>
      <c r="B7" s="51">
        <v>24.0</v>
      </c>
      <c r="C7" s="52" t="s">
        <v>43</v>
      </c>
      <c r="D7" s="53">
        <v>2.0</v>
      </c>
      <c r="E7" s="54" t="s">
        <v>34</v>
      </c>
      <c r="F7" s="55">
        <v>1.0</v>
      </c>
      <c r="G7" s="56" t="s">
        <v>44</v>
      </c>
      <c r="H7" s="56">
        <v>0.0</v>
      </c>
      <c r="I7" s="56">
        <v>0.0</v>
      </c>
      <c r="J7" s="56">
        <v>0.0</v>
      </c>
      <c r="K7" s="56">
        <v>1.0</v>
      </c>
      <c r="L7" s="56">
        <v>0.0</v>
      </c>
      <c r="M7" s="57">
        <v>3.0</v>
      </c>
      <c r="N7" s="57">
        <v>2.0</v>
      </c>
      <c r="O7" s="57">
        <v>4.0</v>
      </c>
      <c r="P7" s="57">
        <v>4.0</v>
      </c>
      <c r="Q7" s="58">
        <f t="shared" si="1"/>
        <v>3.25</v>
      </c>
      <c r="R7" s="59" t="s">
        <v>41</v>
      </c>
      <c r="S7" s="59" t="s">
        <v>40</v>
      </c>
      <c r="T7" s="60">
        <v>3.0</v>
      </c>
      <c r="U7" s="60">
        <v>6.0</v>
      </c>
      <c r="V7" s="61">
        <v>6.0</v>
      </c>
      <c r="W7" s="61" t="str">
        <f t="shared" si="2"/>
        <v>No</v>
      </c>
      <c r="X7" s="61">
        <v>3.0</v>
      </c>
      <c r="Y7" s="61" t="str">
        <f t="shared" si="3"/>
        <v>No</v>
      </c>
      <c r="Z7" s="62">
        <v>5.0</v>
      </c>
      <c r="AA7" s="63">
        <v>4.0</v>
      </c>
      <c r="AB7" s="63">
        <v>3.0</v>
      </c>
      <c r="AC7" s="63">
        <v>5.0</v>
      </c>
      <c r="AD7" s="63">
        <v>5.0</v>
      </c>
      <c r="AE7" s="63">
        <v>5.0</v>
      </c>
      <c r="AF7" s="64">
        <f t="shared" si="4"/>
        <v>4.5</v>
      </c>
      <c r="AG7" s="65">
        <v>3.0</v>
      </c>
      <c r="AH7" s="66">
        <v>3.0</v>
      </c>
      <c r="AI7" s="66">
        <v>2.0</v>
      </c>
      <c r="AJ7" s="66">
        <v>6.0</v>
      </c>
      <c r="AK7" s="66">
        <v>4.0</v>
      </c>
      <c r="AL7" s="66">
        <v>3.0</v>
      </c>
      <c r="AM7" s="64">
        <f t="shared" si="5"/>
        <v>3.5</v>
      </c>
      <c r="AN7" s="36"/>
      <c r="AO7" s="36"/>
      <c r="AP7" s="36"/>
      <c r="AQ7" s="67"/>
      <c r="AR7" s="68">
        <v>3.0</v>
      </c>
      <c r="AS7" s="68">
        <v>1.0</v>
      </c>
      <c r="AT7" s="68">
        <v>4.0</v>
      </c>
      <c r="AU7" s="68">
        <v>3.0</v>
      </c>
      <c r="AV7" s="68">
        <v>5.0</v>
      </c>
      <c r="AW7" s="68">
        <v>1.0</v>
      </c>
      <c r="AX7" s="68">
        <v>5.0</v>
      </c>
      <c r="AY7" s="68">
        <v>3.0</v>
      </c>
      <c r="AZ7" s="68">
        <v>3.0</v>
      </c>
      <c r="BA7" s="69">
        <v>2.0</v>
      </c>
      <c r="BD7" s="70">
        <v>3.0</v>
      </c>
      <c r="BE7" s="68">
        <v>2.0</v>
      </c>
      <c r="BF7" s="68">
        <v>5.0</v>
      </c>
      <c r="BG7" s="68">
        <v>1.0</v>
      </c>
      <c r="BH7" s="68">
        <v>5.0</v>
      </c>
      <c r="BI7" s="68">
        <v>3.0</v>
      </c>
      <c r="BJ7" s="68">
        <v>5.0</v>
      </c>
      <c r="BK7" s="68">
        <v>3.0</v>
      </c>
      <c r="BL7" s="68">
        <v>4.0</v>
      </c>
      <c r="BM7" s="69">
        <v>1.0</v>
      </c>
    </row>
    <row r="8">
      <c r="A8" s="71" t="s">
        <v>123</v>
      </c>
      <c r="B8" s="51">
        <v>27.0</v>
      </c>
      <c r="C8" s="52" t="s">
        <v>33</v>
      </c>
      <c r="D8" s="53">
        <v>1.0</v>
      </c>
      <c r="E8" s="54" t="s">
        <v>34</v>
      </c>
      <c r="F8" s="55">
        <v>1.0</v>
      </c>
      <c r="G8" s="56" t="s">
        <v>44</v>
      </c>
      <c r="H8" s="56">
        <v>0.0</v>
      </c>
      <c r="I8" s="56">
        <v>0.0</v>
      </c>
      <c r="J8" s="56">
        <v>0.0</v>
      </c>
      <c r="K8" s="56">
        <v>1.0</v>
      </c>
      <c r="L8" s="56">
        <v>0.0</v>
      </c>
      <c r="M8" s="57">
        <v>5.0</v>
      </c>
      <c r="N8" s="57">
        <v>5.0</v>
      </c>
      <c r="O8" s="57">
        <v>5.0</v>
      </c>
      <c r="P8" s="57">
        <v>4.0</v>
      </c>
      <c r="Q8" s="58">
        <f t="shared" si="1"/>
        <v>4.75</v>
      </c>
      <c r="R8" s="59" t="s">
        <v>40</v>
      </c>
      <c r="S8" s="59" t="s">
        <v>41</v>
      </c>
      <c r="T8" s="60">
        <v>5.0</v>
      </c>
      <c r="U8" s="60">
        <v>3.0</v>
      </c>
      <c r="V8" s="61">
        <v>5.0</v>
      </c>
      <c r="W8" s="61" t="str">
        <f t="shared" si="2"/>
        <v>No</v>
      </c>
      <c r="X8" s="61">
        <v>3.0</v>
      </c>
      <c r="Y8" s="61" t="str">
        <f t="shared" si="3"/>
        <v>No</v>
      </c>
      <c r="Z8" s="62">
        <v>3.0</v>
      </c>
      <c r="AA8" s="63">
        <v>4.0</v>
      </c>
      <c r="AB8" s="63">
        <v>2.0</v>
      </c>
      <c r="AC8" s="63">
        <v>6.0</v>
      </c>
      <c r="AD8" s="63">
        <v>2.0</v>
      </c>
      <c r="AE8" s="63">
        <v>3.0</v>
      </c>
      <c r="AF8" s="64">
        <f t="shared" si="4"/>
        <v>3.333333333</v>
      </c>
      <c r="AG8" s="65">
        <v>4.0</v>
      </c>
      <c r="AH8" s="66">
        <v>5.0</v>
      </c>
      <c r="AI8" s="66">
        <v>5.0</v>
      </c>
      <c r="AJ8" s="66">
        <v>4.0</v>
      </c>
      <c r="AK8" s="66">
        <v>4.0</v>
      </c>
      <c r="AL8" s="66">
        <v>3.0</v>
      </c>
      <c r="AM8" s="64">
        <f t="shared" si="5"/>
        <v>4.166666667</v>
      </c>
      <c r="AN8" s="36"/>
      <c r="AO8" s="36"/>
      <c r="AP8" s="36"/>
      <c r="AQ8" s="67"/>
      <c r="AR8" s="68">
        <v>4.0</v>
      </c>
      <c r="AS8" s="68">
        <v>3.0</v>
      </c>
      <c r="AT8" s="68">
        <v>4.0</v>
      </c>
      <c r="AU8" s="68">
        <v>1.0</v>
      </c>
      <c r="AV8" s="68">
        <v>2.0</v>
      </c>
      <c r="AW8" s="68">
        <v>2.0</v>
      </c>
      <c r="AX8" s="68">
        <v>5.0</v>
      </c>
      <c r="AY8" s="68">
        <v>2.0</v>
      </c>
      <c r="AZ8" s="68">
        <v>4.0</v>
      </c>
      <c r="BA8" s="69">
        <v>1.0</v>
      </c>
      <c r="BD8" s="70">
        <v>4.0</v>
      </c>
      <c r="BE8" s="68">
        <v>3.0</v>
      </c>
      <c r="BF8" s="68">
        <v>4.0</v>
      </c>
      <c r="BG8" s="68">
        <v>2.0</v>
      </c>
      <c r="BH8" s="68">
        <v>3.0</v>
      </c>
      <c r="BI8" s="68">
        <v>1.0</v>
      </c>
      <c r="BJ8" s="68">
        <v>5.0</v>
      </c>
      <c r="BK8" s="68">
        <v>2.0</v>
      </c>
      <c r="BL8" s="68">
        <v>4.0</v>
      </c>
      <c r="BM8" s="69">
        <v>4.0</v>
      </c>
    </row>
    <row r="9">
      <c r="A9" s="71" t="s">
        <v>124</v>
      </c>
      <c r="B9" s="51">
        <v>22.0</v>
      </c>
      <c r="C9" s="52" t="s">
        <v>43</v>
      </c>
      <c r="D9" s="53">
        <v>2.0</v>
      </c>
      <c r="E9" s="54" t="s">
        <v>34</v>
      </c>
      <c r="F9" s="55">
        <v>1.0</v>
      </c>
      <c r="G9" s="56" t="s">
        <v>49</v>
      </c>
      <c r="H9" s="56">
        <v>0.0</v>
      </c>
      <c r="I9" s="56">
        <v>0.0</v>
      </c>
      <c r="J9" s="56">
        <v>1.0</v>
      </c>
      <c r="K9" s="56">
        <v>0.0</v>
      </c>
      <c r="L9" s="56">
        <v>0.0</v>
      </c>
      <c r="M9" s="57">
        <v>4.0</v>
      </c>
      <c r="N9" s="57">
        <v>3.0</v>
      </c>
      <c r="O9" s="57">
        <v>4.0</v>
      </c>
      <c r="P9" s="57">
        <v>5.0</v>
      </c>
      <c r="Q9" s="58">
        <f t="shared" si="1"/>
        <v>4</v>
      </c>
      <c r="R9" s="59" t="s">
        <v>37</v>
      </c>
      <c r="S9" s="59" t="s">
        <v>36</v>
      </c>
      <c r="T9" s="60">
        <v>6.0</v>
      </c>
      <c r="U9" s="60">
        <v>5.0</v>
      </c>
      <c r="V9" s="61">
        <v>5.0</v>
      </c>
      <c r="W9" s="61" t="str">
        <f t="shared" si="2"/>
        <v>No</v>
      </c>
      <c r="X9" s="61">
        <v>6.0</v>
      </c>
      <c r="Y9" s="61" t="str">
        <f t="shared" si="3"/>
        <v>No</v>
      </c>
      <c r="Z9" s="62">
        <v>2.0</v>
      </c>
      <c r="AA9" s="63">
        <v>2.0</v>
      </c>
      <c r="AB9" s="63">
        <v>1.0</v>
      </c>
      <c r="AC9" s="63">
        <v>7.0</v>
      </c>
      <c r="AD9" s="63">
        <v>1.0</v>
      </c>
      <c r="AE9" s="63">
        <v>2.0</v>
      </c>
      <c r="AF9" s="64">
        <f t="shared" si="4"/>
        <v>2.5</v>
      </c>
      <c r="AG9" s="65">
        <v>2.0</v>
      </c>
      <c r="AH9" s="66">
        <v>3.0</v>
      </c>
      <c r="AI9" s="66">
        <v>2.0</v>
      </c>
      <c r="AJ9" s="66">
        <v>6.0</v>
      </c>
      <c r="AK9" s="66">
        <v>2.0</v>
      </c>
      <c r="AL9" s="66">
        <v>2.0</v>
      </c>
      <c r="AM9" s="64">
        <f t="shared" si="5"/>
        <v>2.833333333</v>
      </c>
      <c r="AN9" s="36"/>
      <c r="AO9" s="36"/>
      <c r="AP9" s="36"/>
      <c r="AQ9" s="67"/>
      <c r="AR9" s="68">
        <v>5.0</v>
      </c>
      <c r="AS9" s="68">
        <v>1.0</v>
      </c>
      <c r="AT9" s="68">
        <v>5.0</v>
      </c>
      <c r="AU9" s="68">
        <v>1.0</v>
      </c>
      <c r="AV9" s="68">
        <v>5.0</v>
      </c>
      <c r="AW9" s="68">
        <v>1.0</v>
      </c>
      <c r="AX9" s="68">
        <v>5.0</v>
      </c>
      <c r="AY9" s="68">
        <v>1.0</v>
      </c>
      <c r="AZ9" s="68">
        <v>4.0</v>
      </c>
      <c r="BA9" s="69">
        <v>1.0</v>
      </c>
      <c r="BD9" s="70">
        <v>5.0</v>
      </c>
      <c r="BE9" s="68">
        <v>1.0</v>
      </c>
      <c r="BF9" s="68">
        <v>4.0</v>
      </c>
      <c r="BG9" s="68">
        <v>1.0</v>
      </c>
      <c r="BH9" s="68">
        <v>5.0</v>
      </c>
      <c r="BI9" s="68">
        <v>1.0</v>
      </c>
      <c r="BJ9" s="68">
        <v>5.0</v>
      </c>
      <c r="BK9" s="68">
        <v>1.0</v>
      </c>
      <c r="BL9" s="68">
        <v>4.0</v>
      </c>
      <c r="BM9" s="69">
        <v>1.0</v>
      </c>
    </row>
    <row r="10">
      <c r="A10" s="71" t="s">
        <v>125</v>
      </c>
      <c r="B10" s="51">
        <v>23.0</v>
      </c>
      <c r="C10" s="52" t="s">
        <v>33</v>
      </c>
      <c r="D10" s="53">
        <v>1.0</v>
      </c>
      <c r="E10" s="54" t="s">
        <v>34</v>
      </c>
      <c r="F10" s="55">
        <v>1.0</v>
      </c>
      <c r="G10" s="56" t="s">
        <v>44</v>
      </c>
      <c r="H10" s="56">
        <v>0.0</v>
      </c>
      <c r="I10" s="56">
        <v>0.0</v>
      </c>
      <c r="J10" s="56">
        <v>0.0</v>
      </c>
      <c r="K10" s="56">
        <v>1.0</v>
      </c>
      <c r="L10" s="56">
        <v>0.0</v>
      </c>
      <c r="M10" s="57">
        <v>3.0</v>
      </c>
      <c r="N10" s="57">
        <v>4.0</v>
      </c>
      <c r="O10" s="57">
        <v>5.0</v>
      </c>
      <c r="P10" s="57">
        <v>5.0</v>
      </c>
      <c r="Q10" s="58">
        <f t="shared" si="1"/>
        <v>4.25</v>
      </c>
      <c r="R10" s="59" t="s">
        <v>36</v>
      </c>
      <c r="S10" s="59" t="s">
        <v>37</v>
      </c>
      <c r="T10" s="60">
        <v>3.0</v>
      </c>
      <c r="U10" s="60">
        <v>3.0</v>
      </c>
      <c r="V10" s="61">
        <v>3.0</v>
      </c>
      <c r="W10" s="61" t="str">
        <f t="shared" si="2"/>
        <v>Outlier</v>
      </c>
      <c r="X10" s="61">
        <v>3.0</v>
      </c>
      <c r="Y10" s="61" t="str">
        <f t="shared" si="3"/>
        <v>No</v>
      </c>
      <c r="Z10" s="62">
        <v>3.0</v>
      </c>
      <c r="AA10" s="63">
        <v>4.0</v>
      </c>
      <c r="AB10" s="63">
        <v>3.0</v>
      </c>
      <c r="AC10" s="63">
        <v>6.0</v>
      </c>
      <c r="AD10" s="63">
        <v>4.0</v>
      </c>
      <c r="AE10" s="63">
        <v>1.0</v>
      </c>
      <c r="AF10" s="64">
        <f t="shared" si="4"/>
        <v>3.5</v>
      </c>
      <c r="AG10" s="65">
        <v>5.0</v>
      </c>
      <c r="AH10" s="66">
        <v>5.0</v>
      </c>
      <c r="AI10" s="66">
        <v>2.0</v>
      </c>
      <c r="AJ10" s="66">
        <v>6.0</v>
      </c>
      <c r="AK10" s="66">
        <v>5.0</v>
      </c>
      <c r="AL10" s="66">
        <v>4.0</v>
      </c>
      <c r="AM10" s="64">
        <f t="shared" si="5"/>
        <v>4.5</v>
      </c>
      <c r="AN10" s="36"/>
      <c r="AO10" s="36"/>
      <c r="AP10" s="36"/>
      <c r="AQ10" s="67"/>
      <c r="AR10" s="68">
        <v>2.0</v>
      </c>
      <c r="AS10" s="68">
        <v>1.0</v>
      </c>
      <c r="AT10" s="68">
        <v>4.0</v>
      </c>
      <c r="AU10" s="68">
        <v>1.0</v>
      </c>
      <c r="AV10" s="68">
        <v>3.0</v>
      </c>
      <c r="AW10" s="68">
        <v>1.0</v>
      </c>
      <c r="AX10" s="68">
        <v>3.0</v>
      </c>
      <c r="AY10" s="68">
        <v>1.0</v>
      </c>
      <c r="AZ10" s="68">
        <v>4.0</v>
      </c>
      <c r="BA10" s="69">
        <v>3.0</v>
      </c>
      <c r="BD10" s="70">
        <v>2.0</v>
      </c>
      <c r="BE10" s="68">
        <v>2.0</v>
      </c>
      <c r="BF10" s="68">
        <v>4.0</v>
      </c>
      <c r="BG10" s="68">
        <v>4.0</v>
      </c>
      <c r="BH10" s="68">
        <v>3.0</v>
      </c>
      <c r="BI10" s="68">
        <v>3.0</v>
      </c>
      <c r="BJ10" s="68">
        <v>2.0</v>
      </c>
      <c r="BK10" s="68">
        <v>3.0</v>
      </c>
      <c r="BL10" s="68">
        <v>2.0</v>
      </c>
      <c r="BM10" s="69">
        <v>2.0</v>
      </c>
    </row>
    <row r="11">
      <c r="A11" s="71" t="s">
        <v>126</v>
      </c>
      <c r="B11" s="51">
        <v>31.0</v>
      </c>
      <c r="C11" s="52" t="s">
        <v>43</v>
      </c>
      <c r="D11" s="53">
        <v>2.0</v>
      </c>
      <c r="E11" s="54" t="s">
        <v>34</v>
      </c>
      <c r="F11" s="55">
        <v>1.0</v>
      </c>
      <c r="G11" s="56" t="s">
        <v>44</v>
      </c>
      <c r="H11" s="56">
        <v>0.0</v>
      </c>
      <c r="I11" s="56">
        <v>0.0</v>
      </c>
      <c r="J11" s="56">
        <v>0.0</v>
      </c>
      <c r="K11" s="56">
        <v>1.0</v>
      </c>
      <c r="L11" s="56">
        <v>0.0</v>
      </c>
      <c r="M11" s="57">
        <v>5.0</v>
      </c>
      <c r="N11" s="57">
        <v>4.0</v>
      </c>
      <c r="O11" s="57">
        <v>4.0</v>
      </c>
      <c r="P11" s="57">
        <v>3.0</v>
      </c>
      <c r="Q11" s="58">
        <f t="shared" si="1"/>
        <v>4</v>
      </c>
      <c r="R11" s="59" t="s">
        <v>41</v>
      </c>
      <c r="S11" s="59" t="s">
        <v>40</v>
      </c>
      <c r="T11" s="60">
        <v>5.0</v>
      </c>
      <c r="U11" s="60">
        <v>7.0</v>
      </c>
      <c r="V11" s="61">
        <v>7.0</v>
      </c>
      <c r="W11" s="61" t="str">
        <f t="shared" si="2"/>
        <v>No</v>
      </c>
      <c r="X11" s="61">
        <v>5.0</v>
      </c>
      <c r="Y11" s="61" t="str">
        <f t="shared" si="3"/>
        <v>No</v>
      </c>
      <c r="Z11" s="62">
        <v>3.0</v>
      </c>
      <c r="AA11" s="63">
        <v>6.0</v>
      </c>
      <c r="AB11" s="63">
        <v>1.0</v>
      </c>
      <c r="AC11" s="63">
        <v>6.0</v>
      </c>
      <c r="AD11" s="63">
        <v>2.0</v>
      </c>
      <c r="AE11" s="63">
        <v>1.0</v>
      </c>
      <c r="AF11" s="64">
        <f t="shared" si="4"/>
        <v>3.166666667</v>
      </c>
      <c r="AG11" s="65">
        <v>1.0</v>
      </c>
      <c r="AH11" s="66">
        <v>1.0</v>
      </c>
      <c r="AI11" s="66">
        <v>1.0</v>
      </c>
      <c r="AJ11" s="66">
        <v>7.0</v>
      </c>
      <c r="AK11" s="66">
        <v>1.0</v>
      </c>
      <c r="AL11" s="66">
        <v>1.0</v>
      </c>
      <c r="AM11" s="64">
        <f t="shared" si="5"/>
        <v>2</v>
      </c>
      <c r="AN11" s="36"/>
      <c r="AO11" s="36"/>
      <c r="AP11" s="36"/>
      <c r="AQ11" s="67"/>
      <c r="AR11" s="68">
        <v>5.0</v>
      </c>
      <c r="AS11" s="68">
        <v>1.0</v>
      </c>
      <c r="AT11" s="68">
        <v>5.0</v>
      </c>
      <c r="AU11" s="68">
        <v>1.0</v>
      </c>
      <c r="AV11" s="68">
        <v>4.0</v>
      </c>
      <c r="AW11" s="68">
        <v>1.0</v>
      </c>
      <c r="AX11" s="68">
        <v>5.0</v>
      </c>
      <c r="AY11" s="68">
        <v>1.0</v>
      </c>
      <c r="AZ11" s="68">
        <v>5.0</v>
      </c>
      <c r="BA11" s="69">
        <v>1.0</v>
      </c>
      <c r="BD11" s="70">
        <v>5.0</v>
      </c>
      <c r="BE11" s="68">
        <v>1.0</v>
      </c>
      <c r="BF11" s="68">
        <v>5.0</v>
      </c>
      <c r="BG11" s="68">
        <v>1.0</v>
      </c>
      <c r="BH11" s="68">
        <v>5.0</v>
      </c>
      <c r="BI11" s="68">
        <v>1.0</v>
      </c>
      <c r="BJ11" s="68">
        <v>5.0</v>
      </c>
      <c r="BK11" s="68">
        <v>1.0</v>
      </c>
      <c r="BL11" s="68">
        <v>5.0</v>
      </c>
      <c r="BM11" s="69">
        <v>1.0</v>
      </c>
    </row>
    <row r="12">
      <c r="A12" s="71" t="s">
        <v>127</v>
      </c>
      <c r="B12" s="51">
        <v>31.0</v>
      </c>
      <c r="C12" s="52" t="s">
        <v>33</v>
      </c>
      <c r="D12" s="53">
        <v>1.0</v>
      </c>
      <c r="E12" s="54" t="s">
        <v>34</v>
      </c>
      <c r="F12" s="55">
        <v>1.0</v>
      </c>
      <c r="G12" s="56" t="s">
        <v>49</v>
      </c>
      <c r="H12" s="56">
        <v>0.0</v>
      </c>
      <c r="I12" s="56">
        <v>0.0</v>
      </c>
      <c r="J12" s="56">
        <v>1.0</v>
      </c>
      <c r="K12" s="56">
        <v>0.0</v>
      </c>
      <c r="L12" s="56">
        <v>0.0</v>
      </c>
      <c r="M12" s="57">
        <v>4.0</v>
      </c>
      <c r="N12" s="57">
        <v>5.0</v>
      </c>
      <c r="O12" s="57">
        <v>5.0</v>
      </c>
      <c r="P12" s="57">
        <v>4.0</v>
      </c>
      <c r="Q12" s="58">
        <f t="shared" si="1"/>
        <v>4.5</v>
      </c>
      <c r="R12" s="59" t="s">
        <v>40</v>
      </c>
      <c r="S12" s="59" t="s">
        <v>41</v>
      </c>
      <c r="T12" s="60">
        <v>6.0</v>
      </c>
      <c r="U12" s="60">
        <v>4.0</v>
      </c>
      <c r="V12" s="61">
        <v>6.0</v>
      </c>
      <c r="W12" s="61" t="str">
        <f t="shared" si="2"/>
        <v>No</v>
      </c>
      <c r="X12" s="61">
        <v>4.0</v>
      </c>
      <c r="Y12" s="61" t="str">
        <f t="shared" si="3"/>
        <v>No</v>
      </c>
      <c r="Z12" s="62">
        <v>3.0</v>
      </c>
      <c r="AA12" s="63">
        <v>2.0</v>
      </c>
      <c r="AB12" s="63">
        <v>1.0</v>
      </c>
      <c r="AC12" s="63">
        <v>6.0</v>
      </c>
      <c r="AD12" s="63">
        <v>2.0</v>
      </c>
      <c r="AE12" s="63">
        <v>2.0</v>
      </c>
      <c r="AF12" s="64">
        <f t="shared" si="4"/>
        <v>2.666666667</v>
      </c>
      <c r="AG12" s="65">
        <v>3.0</v>
      </c>
      <c r="AH12" s="66">
        <v>4.0</v>
      </c>
      <c r="AI12" s="66">
        <v>3.0</v>
      </c>
      <c r="AJ12" s="66">
        <v>7.0</v>
      </c>
      <c r="AK12" s="66">
        <v>3.0</v>
      </c>
      <c r="AL12" s="66">
        <v>3.0</v>
      </c>
      <c r="AM12" s="64">
        <f t="shared" si="5"/>
        <v>3.833333333</v>
      </c>
      <c r="AN12" s="36"/>
      <c r="AO12" s="36"/>
      <c r="AP12" s="36"/>
      <c r="AQ12" s="67"/>
      <c r="AR12" s="68">
        <v>5.0</v>
      </c>
      <c r="AS12" s="68">
        <v>1.0</v>
      </c>
      <c r="AT12" s="68">
        <v>4.0</v>
      </c>
      <c r="AU12" s="68">
        <v>1.0</v>
      </c>
      <c r="AV12" s="68">
        <v>5.0</v>
      </c>
      <c r="AW12" s="68">
        <v>1.0</v>
      </c>
      <c r="AX12" s="68">
        <v>4.0</v>
      </c>
      <c r="AY12" s="68">
        <v>1.0</v>
      </c>
      <c r="AZ12" s="68">
        <v>3.0</v>
      </c>
      <c r="BA12" s="69">
        <v>1.0</v>
      </c>
      <c r="BD12" s="70">
        <v>3.0</v>
      </c>
      <c r="BE12" s="68">
        <v>1.0</v>
      </c>
      <c r="BF12" s="68">
        <v>3.0</v>
      </c>
      <c r="BG12" s="68">
        <v>1.0</v>
      </c>
      <c r="BH12" s="68">
        <v>3.0</v>
      </c>
      <c r="BI12" s="68">
        <v>1.0</v>
      </c>
      <c r="BJ12" s="68">
        <v>3.0</v>
      </c>
      <c r="BK12" s="68">
        <v>2.0</v>
      </c>
      <c r="BL12" s="68">
        <v>4.0</v>
      </c>
      <c r="BM12" s="69">
        <v>1.0</v>
      </c>
    </row>
    <row r="13">
      <c r="A13" s="51">
        <v>10.0</v>
      </c>
      <c r="B13" s="51">
        <v>31.0</v>
      </c>
      <c r="C13" s="52" t="s">
        <v>43</v>
      </c>
      <c r="D13" s="53">
        <v>2.0</v>
      </c>
      <c r="E13" s="54" t="s">
        <v>34</v>
      </c>
      <c r="F13" s="55">
        <v>1.0</v>
      </c>
      <c r="G13" s="56" t="s">
        <v>35</v>
      </c>
      <c r="H13" s="56">
        <v>1.0</v>
      </c>
      <c r="I13" s="56">
        <v>0.0</v>
      </c>
      <c r="J13" s="56">
        <v>0.0</v>
      </c>
      <c r="K13" s="56">
        <v>0.0</v>
      </c>
      <c r="L13" s="56">
        <v>0.0</v>
      </c>
      <c r="M13" s="57">
        <v>5.0</v>
      </c>
      <c r="N13" s="57">
        <v>4.0</v>
      </c>
      <c r="O13" s="57">
        <v>3.0</v>
      </c>
      <c r="P13" s="57">
        <v>4.0</v>
      </c>
      <c r="Q13" s="58">
        <f t="shared" si="1"/>
        <v>4</v>
      </c>
      <c r="R13" s="59" t="s">
        <v>37</v>
      </c>
      <c r="S13" s="59" t="s">
        <v>36</v>
      </c>
      <c r="T13" s="60">
        <v>6.0</v>
      </c>
      <c r="U13" s="60">
        <v>6.0</v>
      </c>
      <c r="V13" s="61">
        <v>6.0</v>
      </c>
      <c r="W13" s="61" t="str">
        <f t="shared" si="2"/>
        <v>No</v>
      </c>
      <c r="X13" s="61">
        <v>6.0</v>
      </c>
      <c r="Y13" s="61" t="str">
        <f t="shared" si="3"/>
        <v>No</v>
      </c>
      <c r="Z13" s="62">
        <v>2.0</v>
      </c>
      <c r="AA13" s="63">
        <v>1.0</v>
      </c>
      <c r="AB13" s="63">
        <v>1.0</v>
      </c>
      <c r="AC13" s="63">
        <v>5.0</v>
      </c>
      <c r="AD13" s="63">
        <v>1.0</v>
      </c>
      <c r="AE13" s="63">
        <v>3.0</v>
      </c>
      <c r="AF13" s="64">
        <f t="shared" si="4"/>
        <v>2.166666667</v>
      </c>
      <c r="AG13" s="65">
        <v>1.0</v>
      </c>
      <c r="AH13" s="66">
        <v>2.0</v>
      </c>
      <c r="AI13" s="66">
        <v>1.0</v>
      </c>
      <c r="AJ13" s="66">
        <v>2.0</v>
      </c>
      <c r="AK13" s="66">
        <v>2.0</v>
      </c>
      <c r="AL13" s="66">
        <v>2.0</v>
      </c>
      <c r="AM13" s="64">
        <f t="shared" si="5"/>
        <v>1.666666667</v>
      </c>
      <c r="AN13" s="36"/>
      <c r="AO13" s="36"/>
      <c r="AP13" s="36"/>
      <c r="AQ13" s="67"/>
      <c r="AR13" s="68">
        <v>3.0</v>
      </c>
      <c r="AS13" s="68">
        <v>3.0</v>
      </c>
      <c r="AT13" s="68">
        <v>5.0</v>
      </c>
      <c r="AU13" s="68">
        <v>1.0</v>
      </c>
      <c r="AV13" s="68">
        <v>4.0</v>
      </c>
      <c r="AW13" s="68">
        <v>1.0</v>
      </c>
      <c r="AX13" s="68">
        <v>5.0</v>
      </c>
      <c r="AY13" s="68">
        <v>1.0</v>
      </c>
      <c r="AZ13" s="68">
        <v>4.0</v>
      </c>
      <c r="BA13" s="69">
        <v>2.0</v>
      </c>
      <c r="BD13" s="70">
        <v>4.0</v>
      </c>
      <c r="BE13" s="68">
        <v>2.0</v>
      </c>
      <c r="BF13" s="68">
        <v>5.0</v>
      </c>
      <c r="BG13" s="68">
        <v>1.0</v>
      </c>
      <c r="BH13" s="68">
        <v>4.0</v>
      </c>
      <c r="BI13" s="68">
        <v>1.0</v>
      </c>
      <c r="BJ13" s="68">
        <v>5.0</v>
      </c>
      <c r="BK13" s="68">
        <v>1.0</v>
      </c>
      <c r="BL13" s="68">
        <v>4.0</v>
      </c>
      <c r="BM13" s="69">
        <v>1.0</v>
      </c>
    </row>
    <row r="14">
      <c r="A14" s="51">
        <v>11.0</v>
      </c>
      <c r="B14" s="51">
        <v>24.0</v>
      </c>
      <c r="C14" s="52" t="s">
        <v>43</v>
      </c>
      <c r="D14" s="53">
        <v>2.0</v>
      </c>
      <c r="E14" s="54" t="s">
        <v>34</v>
      </c>
      <c r="F14" s="55">
        <v>1.0</v>
      </c>
      <c r="G14" s="56" t="s">
        <v>39</v>
      </c>
      <c r="H14" s="56">
        <v>0.0</v>
      </c>
      <c r="I14" s="56">
        <v>1.0</v>
      </c>
      <c r="J14" s="56">
        <v>0.0</v>
      </c>
      <c r="K14" s="56">
        <v>0.0</v>
      </c>
      <c r="L14" s="56">
        <v>0.0</v>
      </c>
      <c r="M14" s="57">
        <v>4.0</v>
      </c>
      <c r="N14" s="57">
        <v>4.0</v>
      </c>
      <c r="O14" s="57">
        <v>4.0</v>
      </c>
      <c r="P14" s="57">
        <v>4.0</v>
      </c>
      <c r="Q14" s="58">
        <f t="shared" si="1"/>
        <v>4</v>
      </c>
      <c r="R14" s="59" t="s">
        <v>36</v>
      </c>
      <c r="S14" s="59" t="s">
        <v>37</v>
      </c>
      <c r="T14" s="60">
        <v>6.0</v>
      </c>
      <c r="U14" s="60">
        <v>5.0</v>
      </c>
      <c r="V14" s="61">
        <v>6.0</v>
      </c>
      <c r="W14" s="61" t="str">
        <f t="shared" si="2"/>
        <v>No</v>
      </c>
      <c r="X14" s="61">
        <v>5.0</v>
      </c>
      <c r="Y14" s="61" t="str">
        <f t="shared" si="3"/>
        <v>No</v>
      </c>
      <c r="Z14" s="62">
        <v>2.0</v>
      </c>
      <c r="AA14" s="63">
        <v>3.0</v>
      </c>
      <c r="AB14" s="63">
        <v>1.0</v>
      </c>
      <c r="AC14" s="63">
        <v>7.0</v>
      </c>
      <c r="AD14" s="63">
        <v>6.0</v>
      </c>
      <c r="AE14" s="63">
        <v>1.0</v>
      </c>
      <c r="AF14" s="64">
        <f t="shared" si="4"/>
        <v>3.333333333</v>
      </c>
      <c r="AG14" s="65">
        <v>2.0</v>
      </c>
      <c r="AH14" s="66">
        <v>2.0</v>
      </c>
      <c r="AI14" s="66">
        <v>1.0</v>
      </c>
      <c r="AJ14" s="66">
        <v>5.0</v>
      </c>
      <c r="AK14" s="66">
        <v>2.0</v>
      </c>
      <c r="AL14" s="66">
        <v>1.0</v>
      </c>
      <c r="AM14" s="64">
        <f t="shared" si="5"/>
        <v>2.166666667</v>
      </c>
      <c r="AN14" s="36"/>
      <c r="AO14" s="36"/>
      <c r="AP14" s="36"/>
      <c r="AQ14" s="67"/>
      <c r="AR14" s="68">
        <v>5.0</v>
      </c>
      <c r="AS14" s="68">
        <v>1.0</v>
      </c>
      <c r="AT14" s="68">
        <v>5.0</v>
      </c>
      <c r="AU14" s="68">
        <v>1.0</v>
      </c>
      <c r="AV14" s="68">
        <v>4.0</v>
      </c>
      <c r="AW14" s="68">
        <v>1.0</v>
      </c>
      <c r="AX14" s="68">
        <v>5.0</v>
      </c>
      <c r="AY14" s="68">
        <v>1.0</v>
      </c>
      <c r="AZ14" s="68">
        <v>5.0</v>
      </c>
      <c r="BA14" s="69">
        <v>1.0</v>
      </c>
      <c r="BD14" s="70">
        <v>4.0</v>
      </c>
      <c r="BE14" s="68">
        <v>1.0</v>
      </c>
      <c r="BF14" s="68">
        <v>5.0</v>
      </c>
      <c r="BG14" s="68">
        <v>1.0</v>
      </c>
      <c r="BH14" s="68">
        <v>4.0</v>
      </c>
      <c r="BI14" s="68">
        <v>1.0</v>
      </c>
      <c r="BJ14" s="68">
        <v>5.0</v>
      </c>
      <c r="BK14" s="68">
        <v>2.0</v>
      </c>
      <c r="BL14" s="68">
        <v>5.0</v>
      </c>
      <c r="BM14" s="69">
        <v>1.0</v>
      </c>
    </row>
    <row r="15">
      <c r="A15" s="51">
        <v>12.0</v>
      </c>
      <c r="B15" s="51">
        <v>42.0</v>
      </c>
      <c r="C15" s="52" t="s">
        <v>33</v>
      </c>
      <c r="D15" s="53">
        <v>1.0</v>
      </c>
      <c r="E15" s="54" t="s">
        <v>34</v>
      </c>
      <c r="F15" s="55">
        <v>1.0</v>
      </c>
      <c r="G15" s="56" t="s">
        <v>49</v>
      </c>
      <c r="H15" s="56">
        <v>0.0</v>
      </c>
      <c r="I15" s="56">
        <v>0.0</v>
      </c>
      <c r="J15" s="56">
        <v>1.0</v>
      </c>
      <c r="K15" s="56">
        <v>0.0</v>
      </c>
      <c r="L15" s="56">
        <v>0.0</v>
      </c>
      <c r="M15" s="57">
        <v>4.0</v>
      </c>
      <c r="N15" s="57">
        <v>4.0</v>
      </c>
      <c r="O15" s="57">
        <v>3.0</v>
      </c>
      <c r="P15" s="57">
        <v>3.0</v>
      </c>
      <c r="Q15" s="58">
        <f t="shared" si="1"/>
        <v>3.5</v>
      </c>
      <c r="R15" s="59" t="s">
        <v>41</v>
      </c>
      <c r="S15" s="59" t="s">
        <v>40</v>
      </c>
      <c r="T15" s="60">
        <v>6.0</v>
      </c>
      <c r="U15" s="60">
        <v>5.0</v>
      </c>
      <c r="V15" s="61">
        <v>5.0</v>
      </c>
      <c r="W15" s="61" t="str">
        <f t="shared" si="2"/>
        <v>No</v>
      </c>
      <c r="X15" s="61">
        <v>6.0</v>
      </c>
      <c r="Y15" s="61" t="str">
        <f t="shared" si="3"/>
        <v>No</v>
      </c>
      <c r="Z15" s="62">
        <v>1.0</v>
      </c>
      <c r="AA15" s="63">
        <v>5.0</v>
      </c>
      <c r="AB15" s="63">
        <v>1.0</v>
      </c>
      <c r="AC15" s="63">
        <v>5.0</v>
      </c>
      <c r="AD15" s="63">
        <v>1.0</v>
      </c>
      <c r="AE15" s="63">
        <v>2.0</v>
      </c>
      <c r="AF15" s="64">
        <f t="shared" si="4"/>
        <v>2.5</v>
      </c>
      <c r="AG15" s="65">
        <v>1.0</v>
      </c>
      <c r="AH15" s="66">
        <v>3.0</v>
      </c>
      <c r="AI15" s="66">
        <v>1.0</v>
      </c>
      <c r="AJ15" s="66">
        <v>5.0</v>
      </c>
      <c r="AK15" s="66">
        <v>2.0</v>
      </c>
      <c r="AL15" s="66">
        <v>2.0</v>
      </c>
      <c r="AM15" s="64">
        <f t="shared" si="5"/>
        <v>2.333333333</v>
      </c>
      <c r="AN15" s="36"/>
      <c r="AO15" s="36"/>
      <c r="AP15" s="36"/>
      <c r="AQ15" s="67"/>
      <c r="AR15" s="68">
        <v>4.0</v>
      </c>
      <c r="AS15" s="68">
        <v>2.0</v>
      </c>
      <c r="AT15" s="68">
        <v>5.0</v>
      </c>
      <c r="AU15" s="68">
        <v>1.0</v>
      </c>
      <c r="AV15" s="68">
        <v>3.0</v>
      </c>
      <c r="AW15" s="68">
        <v>1.0</v>
      </c>
      <c r="AX15" s="68">
        <v>5.0</v>
      </c>
      <c r="AY15" s="68">
        <v>1.0</v>
      </c>
      <c r="AZ15" s="68">
        <v>5.0</v>
      </c>
      <c r="BA15" s="69">
        <v>1.0</v>
      </c>
      <c r="BD15" s="70">
        <v>4.0</v>
      </c>
      <c r="BE15" s="68">
        <v>2.0</v>
      </c>
      <c r="BF15" s="68">
        <v>5.0</v>
      </c>
      <c r="BG15" s="68">
        <v>1.0</v>
      </c>
      <c r="BH15" s="68">
        <v>4.0</v>
      </c>
      <c r="BI15" s="68">
        <v>1.0</v>
      </c>
      <c r="BJ15" s="68">
        <v>5.0</v>
      </c>
      <c r="BK15" s="68">
        <v>1.0</v>
      </c>
      <c r="BL15" s="68">
        <v>4.0</v>
      </c>
      <c r="BM15" s="69">
        <v>1.0</v>
      </c>
    </row>
    <row r="16">
      <c r="A16" s="51">
        <v>13.0</v>
      </c>
      <c r="B16" s="51">
        <v>26.0</v>
      </c>
      <c r="C16" s="52" t="s">
        <v>33</v>
      </c>
      <c r="D16" s="53">
        <v>1.0</v>
      </c>
      <c r="E16" s="54" t="s">
        <v>34</v>
      </c>
      <c r="F16" s="55">
        <v>1.0</v>
      </c>
      <c r="G16" s="56" t="s">
        <v>39</v>
      </c>
      <c r="H16" s="56">
        <v>0.0</v>
      </c>
      <c r="I16" s="56">
        <v>1.0</v>
      </c>
      <c r="J16" s="56">
        <v>0.0</v>
      </c>
      <c r="K16" s="56">
        <v>0.0</v>
      </c>
      <c r="L16" s="56">
        <v>0.0</v>
      </c>
      <c r="M16" s="57">
        <v>4.0</v>
      </c>
      <c r="N16" s="57">
        <v>4.0</v>
      </c>
      <c r="O16" s="57">
        <v>4.0</v>
      </c>
      <c r="P16" s="57">
        <v>5.0</v>
      </c>
      <c r="Q16" s="58">
        <f t="shared" si="1"/>
        <v>4.25</v>
      </c>
      <c r="R16" s="59" t="s">
        <v>40</v>
      </c>
      <c r="S16" s="59" t="s">
        <v>41</v>
      </c>
      <c r="T16" s="60">
        <v>6.0</v>
      </c>
      <c r="U16" s="60">
        <v>4.0</v>
      </c>
      <c r="V16" s="61">
        <v>6.0</v>
      </c>
      <c r="W16" s="61" t="str">
        <f t="shared" si="2"/>
        <v>No</v>
      </c>
      <c r="X16" s="61">
        <v>4.0</v>
      </c>
      <c r="Y16" s="61" t="str">
        <f t="shared" si="3"/>
        <v>No</v>
      </c>
      <c r="Z16" s="62">
        <v>2.0</v>
      </c>
      <c r="AA16" s="63">
        <v>2.0</v>
      </c>
      <c r="AB16" s="63">
        <v>1.0</v>
      </c>
      <c r="AC16" s="63">
        <v>7.0</v>
      </c>
      <c r="AD16" s="63">
        <v>3.0</v>
      </c>
      <c r="AE16" s="63">
        <v>2.0</v>
      </c>
      <c r="AF16" s="64">
        <f t="shared" si="4"/>
        <v>2.833333333</v>
      </c>
      <c r="AG16" s="65">
        <v>4.0</v>
      </c>
      <c r="AH16" s="66">
        <v>4.0</v>
      </c>
      <c r="AI16" s="66">
        <v>2.0</v>
      </c>
      <c r="AJ16" s="66">
        <v>6.0</v>
      </c>
      <c r="AK16" s="66">
        <v>3.0</v>
      </c>
      <c r="AL16" s="66">
        <v>1.0</v>
      </c>
      <c r="AM16" s="64">
        <f t="shared" si="5"/>
        <v>3.333333333</v>
      </c>
      <c r="AN16" s="36"/>
      <c r="AO16" s="36"/>
      <c r="AP16" s="36"/>
      <c r="AQ16" s="67"/>
      <c r="AR16" s="68">
        <v>5.0</v>
      </c>
      <c r="AS16" s="68">
        <v>1.0</v>
      </c>
      <c r="AT16" s="68">
        <v>4.0</v>
      </c>
      <c r="AU16" s="68">
        <v>1.0</v>
      </c>
      <c r="AV16" s="68">
        <v>5.0</v>
      </c>
      <c r="AW16" s="68">
        <v>1.0</v>
      </c>
      <c r="AX16" s="68">
        <v>4.0</v>
      </c>
      <c r="AY16" s="68">
        <v>1.0</v>
      </c>
      <c r="AZ16" s="68">
        <v>5.0</v>
      </c>
      <c r="BA16" s="69">
        <v>1.0</v>
      </c>
      <c r="BD16" s="70">
        <v>5.0</v>
      </c>
      <c r="BE16" s="68">
        <v>1.0</v>
      </c>
      <c r="BF16" s="68">
        <v>5.0</v>
      </c>
      <c r="BG16" s="68">
        <v>1.0</v>
      </c>
      <c r="BH16" s="68">
        <v>5.0</v>
      </c>
      <c r="BI16" s="68">
        <v>1.0</v>
      </c>
      <c r="BJ16" s="68">
        <v>5.0</v>
      </c>
      <c r="BK16" s="68">
        <v>1.0</v>
      </c>
      <c r="BL16" s="68">
        <v>4.0</v>
      </c>
      <c r="BM16" s="69">
        <v>2.0</v>
      </c>
    </row>
    <row r="17">
      <c r="A17" s="51">
        <v>14.0</v>
      </c>
      <c r="B17" s="51">
        <v>25.0</v>
      </c>
      <c r="C17" s="52" t="s">
        <v>33</v>
      </c>
      <c r="D17" s="53">
        <v>1.0</v>
      </c>
      <c r="E17" s="54" t="s">
        <v>58</v>
      </c>
      <c r="F17" s="55">
        <v>2.0</v>
      </c>
      <c r="G17" s="56" t="s">
        <v>49</v>
      </c>
      <c r="H17" s="56">
        <v>0.0</v>
      </c>
      <c r="I17" s="56">
        <v>0.0</v>
      </c>
      <c r="J17" s="56">
        <v>1.0</v>
      </c>
      <c r="K17" s="56">
        <v>0.0</v>
      </c>
      <c r="L17" s="56">
        <v>0.0</v>
      </c>
      <c r="M17" s="57">
        <v>4.0</v>
      </c>
      <c r="N17" s="57">
        <v>4.0</v>
      </c>
      <c r="O17" s="57">
        <v>4.0</v>
      </c>
      <c r="P17" s="57">
        <v>4.0</v>
      </c>
      <c r="Q17" s="58">
        <f t="shared" si="1"/>
        <v>4</v>
      </c>
      <c r="R17" s="59" t="s">
        <v>37</v>
      </c>
      <c r="S17" s="59" t="s">
        <v>36</v>
      </c>
      <c r="T17" s="60">
        <v>4.0</v>
      </c>
      <c r="U17" s="60">
        <v>4.0</v>
      </c>
      <c r="V17" s="61">
        <v>4.0</v>
      </c>
      <c r="W17" s="61" t="str">
        <f t="shared" si="2"/>
        <v>No</v>
      </c>
      <c r="X17" s="61">
        <v>4.0</v>
      </c>
      <c r="Y17" s="61" t="str">
        <f t="shared" si="3"/>
        <v>No</v>
      </c>
      <c r="Z17" s="62">
        <v>5.0</v>
      </c>
      <c r="AA17" s="63">
        <v>3.0</v>
      </c>
      <c r="AB17" s="63">
        <v>2.0</v>
      </c>
      <c r="AC17" s="63">
        <v>4.0</v>
      </c>
      <c r="AD17" s="63">
        <v>5.0</v>
      </c>
      <c r="AE17" s="63">
        <v>3.0</v>
      </c>
      <c r="AF17" s="64">
        <f t="shared" si="4"/>
        <v>3.666666667</v>
      </c>
      <c r="AG17" s="65">
        <v>5.0</v>
      </c>
      <c r="AH17" s="66">
        <v>5.0</v>
      </c>
      <c r="AI17" s="66">
        <v>4.0</v>
      </c>
      <c r="AJ17" s="66">
        <v>5.0</v>
      </c>
      <c r="AK17" s="66">
        <v>3.0</v>
      </c>
      <c r="AL17" s="66">
        <v>3.0</v>
      </c>
      <c r="AM17" s="64">
        <f t="shared" si="5"/>
        <v>4.166666667</v>
      </c>
      <c r="AN17" s="36"/>
      <c r="AO17" s="36"/>
      <c r="AP17" s="36"/>
      <c r="AQ17" s="67"/>
      <c r="AR17" s="68">
        <v>3.0</v>
      </c>
      <c r="AS17" s="68">
        <v>4.0</v>
      </c>
      <c r="AT17" s="68">
        <v>2.0</v>
      </c>
      <c r="AU17" s="68">
        <v>4.0</v>
      </c>
      <c r="AV17" s="68">
        <v>2.0</v>
      </c>
      <c r="AW17" s="68">
        <v>4.0</v>
      </c>
      <c r="AX17" s="68">
        <v>3.0</v>
      </c>
      <c r="AY17" s="68">
        <v>2.0</v>
      </c>
      <c r="AZ17" s="68">
        <v>2.0</v>
      </c>
      <c r="BA17" s="69">
        <v>4.0</v>
      </c>
      <c r="BD17" s="70">
        <v>3.0</v>
      </c>
      <c r="BE17" s="68">
        <v>3.0</v>
      </c>
      <c r="BF17" s="68">
        <v>4.0</v>
      </c>
      <c r="BG17" s="68">
        <v>3.0</v>
      </c>
      <c r="BH17" s="68">
        <v>4.0</v>
      </c>
      <c r="BI17" s="68">
        <v>2.0</v>
      </c>
      <c r="BJ17" s="68">
        <v>3.0</v>
      </c>
      <c r="BK17" s="68">
        <v>3.0</v>
      </c>
      <c r="BL17" s="68">
        <v>4.0</v>
      </c>
      <c r="BM17" s="69">
        <v>4.0</v>
      </c>
    </row>
    <row r="18">
      <c r="A18" s="51">
        <v>15.0</v>
      </c>
      <c r="B18" s="51">
        <v>25.0</v>
      </c>
      <c r="C18" s="52" t="s">
        <v>33</v>
      </c>
      <c r="D18" s="53">
        <v>1.0</v>
      </c>
      <c r="E18" s="54" t="s">
        <v>34</v>
      </c>
      <c r="F18" s="55">
        <v>1.0</v>
      </c>
      <c r="G18" s="56" t="s">
        <v>44</v>
      </c>
      <c r="H18" s="56">
        <v>0.0</v>
      </c>
      <c r="I18" s="56">
        <v>0.0</v>
      </c>
      <c r="J18" s="56">
        <v>0.0</v>
      </c>
      <c r="K18" s="56">
        <v>1.0</v>
      </c>
      <c r="L18" s="56">
        <v>0.0</v>
      </c>
      <c r="M18" s="57">
        <v>4.0</v>
      </c>
      <c r="N18" s="57">
        <v>5.0</v>
      </c>
      <c r="O18" s="57">
        <v>5.0</v>
      </c>
      <c r="P18" s="57">
        <v>5.0</v>
      </c>
      <c r="Q18" s="58">
        <f t="shared" si="1"/>
        <v>4.75</v>
      </c>
      <c r="R18" s="59" t="s">
        <v>36</v>
      </c>
      <c r="S18" s="59" t="s">
        <v>37</v>
      </c>
      <c r="T18" s="60">
        <v>6.0</v>
      </c>
      <c r="U18" s="60">
        <v>7.0</v>
      </c>
      <c r="V18" s="61">
        <v>6.0</v>
      </c>
      <c r="W18" s="61" t="str">
        <f t="shared" si="2"/>
        <v>No</v>
      </c>
      <c r="X18" s="61">
        <v>7.0</v>
      </c>
      <c r="Y18" s="61" t="str">
        <f t="shared" si="3"/>
        <v>No</v>
      </c>
      <c r="Z18" s="62">
        <v>1.0</v>
      </c>
      <c r="AA18" s="63">
        <v>2.0</v>
      </c>
      <c r="AB18" s="63">
        <v>1.0</v>
      </c>
      <c r="AC18" s="63">
        <v>7.0</v>
      </c>
      <c r="AD18" s="63">
        <v>2.0</v>
      </c>
      <c r="AE18" s="63">
        <v>2.0</v>
      </c>
      <c r="AF18" s="64">
        <f t="shared" si="4"/>
        <v>2.5</v>
      </c>
      <c r="AG18" s="65">
        <v>3.0</v>
      </c>
      <c r="AH18" s="66">
        <v>1.0</v>
      </c>
      <c r="AI18" s="66">
        <v>1.0</v>
      </c>
      <c r="AJ18" s="66">
        <v>5.0</v>
      </c>
      <c r="AK18" s="66">
        <v>2.0</v>
      </c>
      <c r="AL18" s="66">
        <v>2.0</v>
      </c>
      <c r="AM18" s="64">
        <f t="shared" si="5"/>
        <v>2.333333333</v>
      </c>
      <c r="AN18" s="36"/>
      <c r="AO18" s="36"/>
      <c r="AP18" s="36"/>
      <c r="AQ18" s="67"/>
      <c r="AR18" s="68">
        <v>5.0</v>
      </c>
      <c r="AS18" s="68">
        <v>2.0</v>
      </c>
      <c r="AT18" s="68">
        <v>5.0</v>
      </c>
      <c r="AU18" s="68">
        <v>1.0</v>
      </c>
      <c r="AV18" s="68">
        <v>5.0</v>
      </c>
      <c r="AW18" s="68">
        <v>1.0</v>
      </c>
      <c r="AX18" s="68">
        <v>5.0</v>
      </c>
      <c r="AY18" s="68">
        <v>1.0</v>
      </c>
      <c r="AZ18" s="68">
        <v>5.0</v>
      </c>
      <c r="BA18" s="69">
        <v>1.0</v>
      </c>
      <c r="BD18" s="70">
        <v>5.0</v>
      </c>
      <c r="BE18" s="68">
        <v>1.0</v>
      </c>
      <c r="BF18" s="68">
        <v>4.0</v>
      </c>
      <c r="BG18" s="68">
        <v>1.0</v>
      </c>
      <c r="BH18" s="68">
        <v>5.0</v>
      </c>
      <c r="BI18" s="68">
        <v>1.0</v>
      </c>
      <c r="BJ18" s="68">
        <v>5.0</v>
      </c>
      <c r="BK18" s="68">
        <v>1.0</v>
      </c>
      <c r="BL18" s="68">
        <v>4.0</v>
      </c>
      <c r="BM18" s="69">
        <v>1.0</v>
      </c>
    </row>
    <row r="19">
      <c r="A19" s="51">
        <v>16.0</v>
      </c>
      <c r="B19" s="51">
        <v>23.0</v>
      </c>
      <c r="C19" s="52" t="s">
        <v>33</v>
      </c>
      <c r="D19" s="53">
        <v>1.0</v>
      </c>
      <c r="E19" s="54" t="s">
        <v>34</v>
      </c>
      <c r="F19" s="55">
        <v>1.0</v>
      </c>
      <c r="G19" s="56" t="s">
        <v>44</v>
      </c>
      <c r="H19" s="56">
        <v>0.0</v>
      </c>
      <c r="I19" s="56">
        <v>0.0</v>
      </c>
      <c r="J19" s="56">
        <v>0.0</v>
      </c>
      <c r="K19" s="56">
        <v>1.0</v>
      </c>
      <c r="L19" s="56">
        <v>0.0</v>
      </c>
      <c r="M19" s="57">
        <v>3.0</v>
      </c>
      <c r="N19" s="57">
        <v>4.0</v>
      </c>
      <c r="O19" s="57">
        <v>4.0</v>
      </c>
      <c r="P19" s="57">
        <v>3.0</v>
      </c>
      <c r="Q19" s="58">
        <f t="shared" si="1"/>
        <v>3.5</v>
      </c>
      <c r="R19" s="59" t="s">
        <v>41</v>
      </c>
      <c r="S19" s="59" t="s">
        <v>40</v>
      </c>
      <c r="T19" s="60">
        <v>5.0</v>
      </c>
      <c r="U19" s="60">
        <v>6.0</v>
      </c>
      <c r="V19" s="61">
        <v>6.0</v>
      </c>
      <c r="W19" s="61" t="str">
        <f t="shared" si="2"/>
        <v>No</v>
      </c>
      <c r="X19" s="61">
        <v>5.0</v>
      </c>
      <c r="Y19" s="61" t="str">
        <f t="shared" si="3"/>
        <v>No</v>
      </c>
      <c r="Z19" s="62">
        <v>3.0</v>
      </c>
      <c r="AA19" s="63">
        <v>2.0</v>
      </c>
      <c r="AB19" s="63">
        <v>1.0</v>
      </c>
      <c r="AC19" s="63">
        <v>4.0</v>
      </c>
      <c r="AD19" s="63">
        <v>2.0</v>
      </c>
      <c r="AE19" s="63">
        <v>2.0</v>
      </c>
      <c r="AF19" s="64">
        <f t="shared" si="4"/>
        <v>2.333333333</v>
      </c>
      <c r="AG19" s="65">
        <v>2.0</v>
      </c>
      <c r="AH19" s="66">
        <v>2.0</v>
      </c>
      <c r="AI19" s="66">
        <v>1.0</v>
      </c>
      <c r="AJ19" s="66">
        <v>6.0</v>
      </c>
      <c r="AK19" s="66">
        <v>2.0</v>
      </c>
      <c r="AL19" s="66">
        <v>2.0</v>
      </c>
      <c r="AM19" s="64">
        <f t="shared" si="5"/>
        <v>2.5</v>
      </c>
      <c r="AN19" s="36"/>
      <c r="AO19" s="36"/>
      <c r="AP19" s="36"/>
      <c r="AQ19" s="67"/>
      <c r="AR19" s="68">
        <v>2.0</v>
      </c>
      <c r="AS19" s="68">
        <v>1.0</v>
      </c>
      <c r="AT19" s="68">
        <v>4.0</v>
      </c>
      <c r="AU19" s="68">
        <v>1.0</v>
      </c>
      <c r="AV19" s="68">
        <v>3.0</v>
      </c>
      <c r="AW19" s="68">
        <v>1.0</v>
      </c>
      <c r="AX19" s="68">
        <v>5.0</v>
      </c>
      <c r="AY19" s="68">
        <v>1.0</v>
      </c>
      <c r="AZ19" s="68">
        <v>3.0</v>
      </c>
      <c r="BA19" s="69">
        <v>1.0</v>
      </c>
      <c r="BD19" s="70">
        <v>3.0</v>
      </c>
      <c r="BE19" s="68">
        <v>2.0</v>
      </c>
      <c r="BF19" s="68">
        <v>5.0</v>
      </c>
      <c r="BG19" s="68">
        <v>1.0</v>
      </c>
      <c r="BH19" s="68">
        <v>4.0</v>
      </c>
      <c r="BI19" s="68">
        <v>1.0</v>
      </c>
      <c r="BJ19" s="68">
        <v>5.0</v>
      </c>
      <c r="BK19" s="68">
        <v>1.0</v>
      </c>
      <c r="BL19" s="68">
        <v>4.0</v>
      </c>
      <c r="BM19" s="69">
        <v>1.0</v>
      </c>
    </row>
    <row r="20">
      <c r="A20" s="51">
        <v>17.0</v>
      </c>
      <c r="B20" s="51">
        <v>35.0</v>
      </c>
      <c r="C20" s="52" t="s">
        <v>33</v>
      </c>
      <c r="D20" s="53">
        <v>1.0</v>
      </c>
      <c r="E20" s="54" t="s">
        <v>62</v>
      </c>
      <c r="F20" s="55">
        <v>3.0</v>
      </c>
      <c r="G20" s="56" t="s">
        <v>128</v>
      </c>
      <c r="H20" s="56">
        <v>0.0</v>
      </c>
      <c r="I20" s="56">
        <v>1.0</v>
      </c>
      <c r="J20" s="56">
        <v>1.0</v>
      </c>
      <c r="K20" s="56">
        <v>0.0</v>
      </c>
      <c r="L20" s="56">
        <v>0.0</v>
      </c>
      <c r="M20" s="57">
        <v>5.0</v>
      </c>
      <c r="N20" s="57">
        <v>5.0</v>
      </c>
      <c r="O20" s="57">
        <v>5.0</v>
      </c>
      <c r="P20" s="57">
        <v>4.0</v>
      </c>
      <c r="Q20" s="58">
        <f t="shared" si="1"/>
        <v>4.75</v>
      </c>
      <c r="R20" s="59" t="s">
        <v>40</v>
      </c>
      <c r="S20" s="59" t="s">
        <v>41</v>
      </c>
      <c r="T20" s="60">
        <v>6.0</v>
      </c>
      <c r="U20" s="60">
        <v>5.0</v>
      </c>
      <c r="V20" s="61">
        <v>6.0</v>
      </c>
      <c r="W20" s="61" t="str">
        <f t="shared" si="2"/>
        <v>No</v>
      </c>
      <c r="X20" s="61">
        <v>5.0</v>
      </c>
      <c r="Y20" s="61" t="str">
        <f t="shared" si="3"/>
        <v>No</v>
      </c>
      <c r="Z20" s="62">
        <v>3.0</v>
      </c>
      <c r="AA20" s="63">
        <v>2.0</v>
      </c>
      <c r="AB20" s="63">
        <v>3.0</v>
      </c>
      <c r="AC20" s="63">
        <v>7.0</v>
      </c>
      <c r="AD20" s="63">
        <v>2.0</v>
      </c>
      <c r="AE20" s="63">
        <v>2.0</v>
      </c>
      <c r="AF20" s="64">
        <f t="shared" si="4"/>
        <v>3.166666667</v>
      </c>
      <c r="AG20" s="65">
        <v>3.0</v>
      </c>
      <c r="AH20" s="66">
        <v>5.0</v>
      </c>
      <c r="AI20" s="66">
        <v>2.0</v>
      </c>
      <c r="AJ20" s="66">
        <v>5.0</v>
      </c>
      <c r="AK20" s="66">
        <v>5.0</v>
      </c>
      <c r="AL20" s="66">
        <v>4.0</v>
      </c>
      <c r="AM20" s="64">
        <f t="shared" si="5"/>
        <v>4</v>
      </c>
      <c r="AN20" s="36"/>
      <c r="AO20" s="36"/>
      <c r="AP20" s="36"/>
      <c r="AQ20" s="67"/>
      <c r="AR20" s="68">
        <v>4.0</v>
      </c>
      <c r="AS20" s="68">
        <v>2.0</v>
      </c>
      <c r="AT20" s="68">
        <v>4.0</v>
      </c>
      <c r="AU20" s="68">
        <v>1.0</v>
      </c>
      <c r="AV20" s="68">
        <v>4.0</v>
      </c>
      <c r="AW20" s="68">
        <v>2.0</v>
      </c>
      <c r="AX20" s="68">
        <v>4.0</v>
      </c>
      <c r="AY20" s="68">
        <v>1.0</v>
      </c>
      <c r="AZ20" s="68">
        <v>4.0</v>
      </c>
      <c r="BA20" s="69">
        <v>1.0</v>
      </c>
      <c r="BD20" s="70">
        <v>4.0</v>
      </c>
      <c r="BE20" s="68">
        <v>1.0</v>
      </c>
      <c r="BF20" s="68">
        <v>3.0</v>
      </c>
      <c r="BG20" s="68">
        <v>2.0</v>
      </c>
      <c r="BH20" s="68">
        <v>3.0</v>
      </c>
      <c r="BI20" s="68">
        <v>2.0</v>
      </c>
      <c r="BJ20" s="68">
        <v>4.0</v>
      </c>
      <c r="BK20" s="68">
        <v>3.0</v>
      </c>
      <c r="BL20" s="68">
        <v>3.0</v>
      </c>
      <c r="BM20" s="69">
        <v>3.0</v>
      </c>
    </row>
    <row r="21">
      <c r="A21" s="51">
        <v>18.0</v>
      </c>
      <c r="B21" s="51">
        <v>24.0</v>
      </c>
      <c r="C21" s="52" t="s">
        <v>43</v>
      </c>
      <c r="D21" s="53">
        <v>2.0</v>
      </c>
      <c r="E21" s="54" t="s">
        <v>58</v>
      </c>
      <c r="F21" s="55">
        <v>2.0</v>
      </c>
      <c r="G21" s="56" t="s">
        <v>44</v>
      </c>
      <c r="H21" s="56">
        <v>0.0</v>
      </c>
      <c r="I21" s="56">
        <v>0.0</v>
      </c>
      <c r="J21" s="56">
        <v>0.0</v>
      </c>
      <c r="K21" s="56">
        <v>1.0</v>
      </c>
      <c r="L21" s="56">
        <v>0.0</v>
      </c>
      <c r="M21" s="57">
        <v>1.0</v>
      </c>
      <c r="N21" s="57">
        <v>4.0</v>
      </c>
      <c r="O21" s="57">
        <v>4.0</v>
      </c>
      <c r="P21" s="57">
        <v>5.0</v>
      </c>
      <c r="Q21" s="58">
        <f t="shared" si="1"/>
        <v>3.5</v>
      </c>
      <c r="R21" s="59" t="s">
        <v>37</v>
      </c>
      <c r="S21" s="59" t="s">
        <v>36</v>
      </c>
      <c r="T21" s="60">
        <v>4.0</v>
      </c>
      <c r="U21" s="60">
        <v>5.0</v>
      </c>
      <c r="V21" s="61">
        <v>5.0</v>
      </c>
      <c r="W21" s="61" t="str">
        <f t="shared" si="2"/>
        <v>No</v>
      </c>
      <c r="X21" s="61">
        <v>4.0</v>
      </c>
      <c r="Y21" s="61" t="str">
        <f t="shared" si="3"/>
        <v>No</v>
      </c>
      <c r="Z21" s="62">
        <v>5.0</v>
      </c>
      <c r="AA21" s="63">
        <v>2.0</v>
      </c>
      <c r="AB21" s="63">
        <v>1.0</v>
      </c>
      <c r="AC21" s="63">
        <v>5.0</v>
      </c>
      <c r="AD21" s="63">
        <v>3.0</v>
      </c>
      <c r="AE21" s="63">
        <v>5.0</v>
      </c>
      <c r="AF21" s="64">
        <f t="shared" si="4"/>
        <v>3.5</v>
      </c>
      <c r="AG21" s="65">
        <v>3.0</v>
      </c>
      <c r="AH21" s="66">
        <v>3.0</v>
      </c>
      <c r="AI21" s="66">
        <v>1.0</v>
      </c>
      <c r="AJ21" s="66">
        <v>6.0</v>
      </c>
      <c r="AK21" s="66">
        <v>4.0</v>
      </c>
      <c r="AL21" s="66">
        <v>3.0</v>
      </c>
      <c r="AM21" s="64">
        <f t="shared" si="5"/>
        <v>3.333333333</v>
      </c>
      <c r="AN21" s="36"/>
      <c r="AO21" s="36"/>
      <c r="AP21" s="36"/>
      <c r="AQ21" s="67"/>
      <c r="AR21" s="68">
        <v>3.0</v>
      </c>
      <c r="AS21" s="68">
        <v>1.0</v>
      </c>
      <c r="AT21" s="68">
        <v>4.0</v>
      </c>
      <c r="AU21" s="68">
        <v>2.0</v>
      </c>
      <c r="AV21" s="68">
        <v>4.0</v>
      </c>
      <c r="AW21" s="68">
        <v>2.0</v>
      </c>
      <c r="AX21" s="68">
        <v>4.0</v>
      </c>
      <c r="AY21" s="68">
        <v>2.0</v>
      </c>
      <c r="AZ21" s="68">
        <v>3.0</v>
      </c>
      <c r="BA21" s="69">
        <v>2.0</v>
      </c>
      <c r="BD21" s="70">
        <v>2.0</v>
      </c>
      <c r="BE21" s="68">
        <v>3.0</v>
      </c>
      <c r="BF21" s="68">
        <v>4.0</v>
      </c>
      <c r="BG21" s="68">
        <v>4.0</v>
      </c>
      <c r="BH21" s="68">
        <v>4.0</v>
      </c>
      <c r="BI21" s="68">
        <v>2.0</v>
      </c>
      <c r="BJ21" s="68">
        <v>4.0</v>
      </c>
      <c r="BK21" s="68">
        <v>2.0</v>
      </c>
      <c r="BL21" s="68">
        <v>3.0</v>
      </c>
      <c r="BM21" s="69">
        <v>2.0</v>
      </c>
    </row>
    <row r="22">
      <c r="A22" s="51">
        <v>19.0</v>
      </c>
      <c r="B22" s="51">
        <v>26.0</v>
      </c>
      <c r="C22" s="52" t="s">
        <v>43</v>
      </c>
      <c r="D22" s="53">
        <v>2.0</v>
      </c>
      <c r="E22" s="54" t="s">
        <v>34</v>
      </c>
      <c r="F22" s="55">
        <v>1.0</v>
      </c>
      <c r="G22" s="56" t="s">
        <v>39</v>
      </c>
      <c r="H22" s="56">
        <v>0.0</v>
      </c>
      <c r="I22" s="56">
        <v>1.0</v>
      </c>
      <c r="J22" s="56">
        <v>0.0</v>
      </c>
      <c r="K22" s="56">
        <v>0.0</v>
      </c>
      <c r="L22" s="56">
        <v>0.0</v>
      </c>
      <c r="M22" s="57">
        <v>2.0</v>
      </c>
      <c r="N22" s="57">
        <v>3.0</v>
      </c>
      <c r="O22" s="57">
        <v>5.0</v>
      </c>
      <c r="P22" s="57">
        <v>5.0</v>
      </c>
      <c r="Q22" s="58">
        <f t="shared" si="1"/>
        <v>3.75</v>
      </c>
      <c r="R22" s="59" t="s">
        <v>36</v>
      </c>
      <c r="S22" s="59" t="s">
        <v>37</v>
      </c>
      <c r="T22" s="60">
        <v>5.0</v>
      </c>
      <c r="U22" s="60">
        <v>7.0</v>
      </c>
      <c r="V22" s="61">
        <v>5.0</v>
      </c>
      <c r="W22" s="61" t="str">
        <f t="shared" si="2"/>
        <v>No</v>
      </c>
      <c r="X22" s="61">
        <v>7.0</v>
      </c>
      <c r="Y22" s="61" t="str">
        <f t="shared" si="3"/>
        <v>No</v>
      </c>
      <c r="Z22" s="62">
        <v>5.0</v>
      </c>
      <c r="AA22" s="63">
        <v>2.0</v>
      </c>
      <c r="AB22" s="63">
        <v>3.0</v>
      </c>
      <c r="AC22" s="63">
        <v>5.0</v>
      </c>
      <c r="AD22" s="63">
        <v>3.0</v>
      </c>
      <c r="AE22" s="63">
        <v>6.0</v>
      </c>
      <c r="AF22" s="64">
        <f t="shared" si="4"/>
        <v>4</v>
      </c>
      <c r="AG22" s="65">
        <v>2.0</v>
      </c>
      <c r="AH22" s="66">
        <v>1.0</v>
      </c>
      <c r="AI22" s="66">
        <v>5.0</v>
      </c>
      <c r="AJ22" s="66">
        <v>5.0</v>
      </c>
      <c r="AK22" s="66">
        <v>3.0</v>
      </c>
      <c r="AL22" s="66">
        <v>3.0</v>
      </c>
      <c r="AM22" s="64">
        <f t="shared" si="5"/>
        <v>3.166666667</v>
      </c>
      <c r="AN22" s="36"/>
      <c r="AO22" s="36"/>
      <c r="AP22" s="36"/>
      <c r="AQ22" s="67"/>
      <c r="AR22" s="68">
        <v>3.0</v>
      </c>
      <c r="AS22" s="68">
        <v>1.0</v>
      </c>
      <c r="AT22" s="68">
        <v>4.0</v>
      </c>
      <c r="AU22" s="68">
        <v>2.0</v>
      </c>
      <c r="AV22" s="68">
        <v>4.0</v>
      </c>
      <c r="AW22" s="68">
        <v>2.0</v>
      </c>
      <c r="AX22" s="68">
        <v>3.0</v>
      </c>
      <c r="AY22" s="68">
        <v>2.0</v>
      </c>
      <c r="AZ22" s="68">
        <v>1.0</v>
      </c>
      <c r="BA22" s="69">
        <v>1.0</v>
      </c>
      <c r="BD22" s="70">
        <v>3.0</v>
      </c>
      <c r="BE22" s="68">
        <v>1.0</v>
      </c>
      <c r="BF22" s="68">
        <v>5.0</v>
      </c>
      <c r="BG22" s="68">
        <v>1.0</v>
      </c>
      <c r="BH22" s="68">
        <v>5.0</v>
      </c>
      <c r="BI22" s="68">
        <v>1.0</v>
      </c>
      <c r="BJ22" s="68">
        <v>3.0</v>
      </c>
      <c r="BK22" s="68">
        <v>4.0</v>
      </c>
      <c r="BL22" s="68">
        <v>3.0</v>
      </c>
      <c r="BM22" s="69">
        <v>1.0</v>
      </c>
    </row>
    <row r="23">
      <c r="A23" s="51">
        <v>20.0</v>
      </c>
      <c r="B23" s="51">
        <v>34.0</v>
      </c>
      <c r="C23" s="52" t="s">
        <v>33</v>
      </c>
      <c r="D23" s="53">
        <v>1.0</v>
      </c>
      <c r="E23" s="54" t="s">
        <v>58</v>
      </c>
      <c r="F23" s="55">
        <v>2.0</v>
      </c>
      <c r="G23" s="56" t="s">
        <v>44</v>
      </c>
      <c r="H23" s="56">
        <v>0.0</v>
      </c>
      <c r="I23" s="56">
        <v>0.0</v>
      </c>
      <c r="J23" s="56">
        <v>0.0</v>
      </c>
      <c r="K23" s="56">
        <v>1.0</v>
      </c>
      <c r="L23" s="56">
        <v>0.0</v>
      </c>
      <c r="M23" s="57">
        <v>4.0</v>
      </c>
      <c r="N23" s="57">
        <v>4.0</v>
      </c>
      <c r="O23" s="57">
        <v>5.0</v>
      </c>
      <c r="P23" s="57">
        <v>4.0</v>
      </c>
      <c r="Q23" s="58">
        <f t="shared" si="1"/>
        <v>4.25</v>
      </c>
      <c r="R23" s="59" t="s">
        <v>41</v>
      </c>
      <c r="S23" s="59" t="s">
        <v>40</v>
      </c>
      <c r="T23" s="60">
        <v>6.0</v>
      </c>
      <c r="U23" s="60">
        <v>7.0</v>
      </c>
      <c r="V23" s="61">
        <v>7.0</v>
      </c>
      <c r="W23" s="61" t="str">
        <f t="shared" si="2"/>
        <v>No</v>
      </c>
      <c r="X23" s="61">
        <v>6.0</v>
      </c>
      <c r="Y23" s="61" t="str">
        <f t="shared" si="3"/>
        <v>No</v>
      </c>
      <c r="Z23" s="62">
        <v>4.0</v>
      </c>
      <c r="AA23" s="63">
        <v>6.0</v>
      </c>
      <c r="AB23" s="63">
        <v>3.0</v>
      </c>
      <c r="AC23" s="63">
        <v>7.0</v>
      </c>
      <c r="AD23" s="63">
        <v>3.0</v>
      </c>
      <c r="AE23" s="63">
        <v>1.0</v>
      </c>
      <c r="AF23" s="64">
        <f t="shared" si="4"/>
        <v>4</v>
      </c>
      <c r="AG23" s="65">
        <v>3.0</v>
      </c>
      <c r="AH23" s="66">
        <v>4.0</v>
      </c>
      <c r="AI23" s="66">
        <v>3.0</v>
      </c>
      <c r="AJ23" s="66">
        <v>6.0</v>
      </c>
      <c r="AK23" s="66">
        <v>3.0</v>
      </c>
      <c r="AL23" s="66">
        <v>1.0</v>
      </c>
      <c r="AM23" s="64">
        <f t="shared" si="5"/>
        <v>3.333333333</v>
      </c>
      <c r="AN23" s="36"/>
      <c r="AO23" s="36"/>
      <c r="AP23" s="36"/>
      <c r="AQ23" s="67"/>
      <c r="AR23" s="68">
        <v>4.0</v>
      </c>
      <c r="AS23" s="68">
        <v>3.0</v>
      </c>
      <c r="AT23" s="68">
        <v>4.0</v>
      </c>
      <c r="AU23" s="68">
        <v>1.0</v>
      </c>
      <c r="AV23" s="68">
        <v>3.0</v>
      </c>
      <c r="AW23" s="68">
        <v>2.0</v>
      </c>
      <c r="AX23" s="68">
        <v>4.0</v>
      </c>
      <c r="AY23" s="68">
        <v>1.0</v>
      </c>
      <c r="AZ23" s="68">
        <v>4.0</v>
      </c>
      <c r="BA23" s="69">
        <v>1.0</v>
      </c>
      <c r="BD23" s="70">
        <v>5.0</v>
      </c>
      <c r="BE23" s="68">
        <v>2.0</v>
      </c>
      <c r="BF23" s="68">
        <v>5.0</v>
      </c>
      <c r="BG23" s="68">
        <v>3.0</v>
      </c>
      <c r="BH23" s="68">
        <v>5.0</v>
      </c>
      <c r="BI23" s="68">
        <v>1.0</v>
      </c>
      <c r="BJ23" s="68">
        <v>4.0</v>
      </c>
      <c r="BK23" s="68">
        <v>1.0</v>
      </c>
      <c r="BL23" s="68">
        <v>4.0</v>
      </c>
      <c r="BM23" s="69">
        <v>1.0</v>
      </c>
    </row>
    <row r="24">
      <c r="A24" s="51">
        <v>21.0</v>
      </c>
      <c r="B24" s="51">
        <v>29.0</v>
      </c>
      <c r="C24" s="52" t="s">
        <v>43</v>
      </c>
      <c r="D24" s="53">
        <v>2.0</v>
      </c>
      <c r="E24" s="54" t="s">
        <v>34</v>
      </c>
      <c r="F24" s="55">
        <v>1.0</v>
      </c>
      <c r="G24" s="56" t="s">
        <v>39</v>
      </c>
      <c r="H24" s="56">
        <v>0.0</v>
      </c>
      <c r="I24" s="56">
        <v>1.0</v>
      </c>
      <c r="J24" s="56">
        <v>0.0</v>
      </c>
      <c r="K24" s="56">
        <v>0.0</v>
      </c>
      <c r="L24" s="56">
        <v>0.0</v>
      </c>
      <c r="M24" s="57">
        <v>4.0</v>
      </c>
      <c r="N24" s="57">
        <v>3.0</v>
      </c>
      <c r="O24" s="57">
        <v>3.0</v>
      </c>
      <c r="P24" s="57">
        <v>2.0</v>
      </c>
      <c r="Q24" s="58">
        <f t="shared" si="1"/>
        <v>3</v>
      </c>
      <c r="R24" s="59" t="s">
        <v>36</v>
      </c>
      <c r="S24" s="59" t="s">
        <v>37</v>
      </c>
      <c r="T24" s="60">
        <v>6.0</v>
      </c>
      <c r="U24" s="60">
        <v>2.0</v>
      </c>
      <c r="V24" s="61">
        <v>6.0</v>
      </c>
      <c r="W24" s="61" t="str">
        <f t="shared" si="2"/>
        <v>No</v>
      </c>
      <c r="X24" s="61">
        <v>2.0</v>
      </c>
      <c r="Y24" s="61" t="str">
        <f t="shared" si="3"/>
        <v>No</v>
      </c>
      <c r="Z24" s="72">
        <v>5.0</v>
      </c>
      <c r="AA24" s="73">
        <v>2.0</v>
      </c>
      <c r="AB24" s="73">
        <v>1.0</v>
      </c>
      <c r="AC24" s="73">
        <v>7.0</v>
      </c>
      <c r="AD24" s="73">
        <v>5.0</v>
      </c>
      <c r="AE24" s="73">
        <v>1.0</v>
      </c>
      <c r="AF24" s="74">
        <f t="shared" si="4"/>
        <v>3.5</v>
      </c>
      <c r="AG24" s="75">
        <v>6.0</v>
      </c>
      <c r="AH24" s="76">
        <v>2.0</v>
      </c>
      <c r="AI24" s="76">
        <v>1.0</v>
      </c>
      <c r="AJ24" s="76">
        <v>5.0</v>
      </c>
      <c r="AK24" s="76">
        <v>6.0</v>
      </c>
      <c r="AL24" s="76">
        <v>5.0</v>
      </c>
      <c r="AM24" s="74">
        <f t="shared" si="5"/>
        <v>4.166666667</v>
      </c>
      <c r="AN24" s="36"/>
      <c r="AO24" s="36"/>
      <c r="AP24" s="36"/>
      <c r="AQ24" s="67"/>
      <c r="AR24" s="77">
        <v>5.0</v>
      </c>
      <c r="AS24" s="77">
        <v>2.0</v>
      </c>
      <c r="AT24" s="77">
        <v>4.0</v>
      </c>
      <c r="AU24" s="77">
        <v>1.0</v>
      </c>
      <c r="AV24" s="77">
        <v>5.0</v>
      </c>
      <c r="AW24" s="77">
        <v>1.0</v>
      </c>
      <c r="AX24" s="77">
        <v>5.0</v>
      </c>
      <c r="AY24" s="77">
        <v>1.0</v>
      </c>
      <c r="AZ24" s="77">
        <v>4.0</v>
      </c>
      <c r="BA24" s="78">
        <v>1.0</v>
      </c>
      <c r="BB24" s="77"/>
      <c r="BC24" s="77"/>
      <c r="BD24" s="79">
        <v>2.0</v>
      </c>
      <c r="BE24" s="77">
        <v>1.0</v>
      </c>
      <c r="BF24" s="77">
        <v>2.0</v>
      </c>
      <c r="BG24" s="77">
        <v>4.0</v>
      </c>
      <c r="BH24" s="77">
        <v>3.0</v>
      </c>
      <c r="BI24" s="77">
        <v>3.0</v>
      </c>
      <c r="BJ24" s="77">
        <v>3.0</v>
      </c>
      <c r="BK24" s="77">
        <v>4.0</v>
      </c>
      <c r="BL24" s="77">
        <v>1.0</v>
      </c>
      <c r="BM24" s="78">
        <v>4.0</v>
      </c>
    </row>
    <row r="25">
      <c r="A25" s="80"/>
      <c r="B25" s="80"/>
      <c r="C25" s="81"/>
      <c r="D25" s="82"/>
      <c r="E25" s="81"/>
      <c r="F25" s="82"/>
      <c r="Q25" s="80"/>
      <c r="R25" s="80"/>
      <c r="S25" s="80"/>
      <c r="U25" s="22" t="s">
        <v>129</v>
      </c>
      <c r="V25" s="68">
        <f>AVERAGE(V5:V24)</f>
        <v>5.4</v>
      </c>
      <c r="W25" s="51"/>
      <c r="X25" s="68">
        <f>AVERAGE(X5:X24)</f>
        <v>4.65</v>
      </c>
      <c r="Z25" s="26" t="s">
        <v>130</v>
      </c>
      <c r="AQ25" s="27"/>
      <c r="AR25" s="28" t="s">
        <v>131</v>
      </c>
      <c r="BS25" s="26"/>
      <c r="BT25" s="26"/>
      <c r="BU25" s="26"/>
    </row>
    <row r="26">
      <c r="A26" s="80"/>
      <c r="B26" s="80"/>
      <c r="C26" s="81"/>
      <c r="D26" s="82"/>
      <c r="E26" s="81"/>
      <c r="F26" s="82"/>
      <c r="Q26" s="80"/>
      <c r="R26" s="80"/>
      <c r="S26" s="80"/>
      <c r="U26" s="22" t="s">
        <v>132</v>
      </c>
      <c r="V26" s="68">
        <f>STDEV(V5:V24)</f>
        <v>1.095445115</v>
      </c>
      <c r="W26" s="51"/>
      <c r="X26" s="68">
        <f>STDEV(X5:X24)</f>
        <v>1.424411236</v>
      </c>
      <c r="Z26" s="31" t="s">
        <v>87</v>
      </c>
      <c r="AA26" s="32"/>
      <c r="AB26" s="32"/>
      <c r="AC26" s="32"/>
      <c r="AD26" s="32"/>
      <c r="AE26" s="32"/>
      <c r="AF26" s="33"/>
      <c r="AG26" s="31" t="s">
        <v>88</v>
      </c>
      <c r="AH26" s="32"/>
      <c r="AI26" s="32"/>
      <c r="AJ26" s="32"/>
      <c r="AK26" s="32"/>
      <c r="AL26" s="32"/>
      <c r="AM26" s="33"/>
      <c r="AQ26" s="69"/>
      <c r="AR26" s="34" t="s">
        <v>87</v>
      </c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3"/>
      <c r="BD26" s="31" t="s">
        <v>88</v>
      </c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3"/>
      <c r="BP26" s="26"/>
      <c r="BQ26" s="26"/>
      <c r="BR26" s="26"/>
      <c r="BS26" s="26"/>
      <c r="BT26" s="26"/>
      <c r="BU26" s="26"/>
    </row>
    <row r="27">
      <c r="A27" s="80"/>
      <c r="B27" s="80"/>
      <c r="C27" s="81"/>
      <c r="D27" s="82"/>
      <c r="E27" s="81"/>
      <c r="F27" s="82"/>
      <c r="Q27" s="80"/>
      <c r="R27" s="80"/>
      <c r="S27" s="80"/>
      <c r="Z27" s="37" t="s">
        <v>94</v>
      </c>
      <c r="AA27" s="26" t="s">
        <v>95</v>
      </c>
      <c r="AB27" s="26" t="s">
        <v>96</v>
      </c>
      <c r="AC27" s="26" t="s">
        <v>97</v>
      </c>
      <c r="AD27" s="26" t="s">
        <v>98</v>
      </c>
      <c r="AE27" s="26" t="s">
        <v>99</v>
      </c>
      <c r="AF27" s="27" t="s">
        <v>100</v>
      </c>
      <c r="AG27" s="37" t="s">
        <v>94</v>
      </c>
      <c r="AH27" s="26" t="s">
        <v>95</v>
      </c>
      <c r="AI27" s="26" t="s">
        <v>96</v>
      </c>
      <c r="AJ27" s="26" t="s">
        <v>97</v>
      </c>
      <c r="AK27" s="26" t="s">
        <v>98</v>
      </c>
      <c r="AL27" s="26" t="s">
        <v>99</v>
      </c>
      <c r="AM27" s="27" t="s">
        <v>100</v>
      </c>
      <c r="AQ27" s="69"/>
      <c r="AR27" s="26" t="s">
        <v>101</v>
      </c>
      <c r="AS27" s="26" t="s">
        <v>102</v>
      </c>
      <c r="AT27" s="26" t="s">
        <v>101</v>
      </c>
      <c r="AU27" s="26" t="s">
        <v>102</v>
      </c>
      <c r="AV27" s="26" t="s">
        <v>101</v>
      </c>
      <c r="AW27" s="26" t="s">
        <v>102</v>
      </c>
      <c r="AX27" s="26" t="s">
        <v>101</v>
      </c>
      <c r="AY27" s="26" t="s">
        <v>102</v>
      </c>
      <c r="AZ27" s="26" t="s">
        <v>101</v>
      </c>
      <c r="BA27" s="27" t="s">
        <v>102</v>
      </c>
      <c r="BB27" s="26" t="s">
        <v>133</v>
      </c>
      <c r="BC27" s="27" t="s">
        <v>134</v>
      </c>
      <c r="BD27" s="37" t="s">
        <v>101</v>
      </c>
      <c r="BE27" s="26" t="s">
        <v>102</v>
      </c>
      <c r="BF27" s="26" t="s">
        <v>101</v>
      </c>
      <c r="BG27" s="26" t="s">
        <v>102</v>
      </c>
      <c r="BH27" s="26" t="s">
        <v>101</v>
      </c>
      <c r="BI27" s="26" t="s">
        <v>102</v>
      </c>
      <c r="BJ27" s="26" t="s">
        <v>101</v>
      </c>
      <c r="BK27" s="26" t="s">
        <v>102</v>
      </c>
      <c r="BL27" s="26" t="s">
        <v>101</v>
      </c>
      <c r="BM27" s="27" t="s">
        <v>102</v>
      </c>
      <c r="BN27" s="26" t="s">
        <v>133</v>
      </c>
      <c r="BO27" s="27" t="s">
        <v>134</v>
      </c>
      <c r="BP27" s="26"/>
      <c r="BQ27" s="26"/>
      <c r="BR27" s="26"/>
      <c r="BS27" s="26"/>
      <c r="BT27" s="26"/>
      <c r="BU27" s="26"/>
    </row>
    <row r="28">
      <c r="A28" s="80"/>
      <c r="B28" s="80"/>
      <c r="C28" s="81"/>
      <c r="D28" s="82"/>
      <c r="E28" s="81"/>
      <c r="F28" s="82"/>
      <c r="Q28" s="80"/>
      <c r="R28" s="80"/>
      <c r="S28" s="80"/>
      <c r="X28" s="38" t="s">
        <v>2</v>
      </c>
      <c r="Y28" s="38"/>
      <c r="Z28" s="44" t="s">
        <v>117</v>
      </c>
      <c r="AA28" s="45" t="s">
        <v>118</v>
      </c>
      <c r="AB28" s="45" t="s">
        <v>119</v>
      </c>
      <c r="AC28" s="46" t="s">
        <v>16</v>
      </c>
      <c r="AD28" s="46" t="s">
        <v>17</v>
      </c>
      <c r="AE28" s="46" t="s">
        <v>18</v>
      </c>
      <c r="AF28" s="47" t="s">
        <v>120</v>
      </c>
      <c r="AG28" s="44" t="s">
        <v>117</v>
      </c>
      <c r="AH28" s="45" t="s">
        <v>118</v>
      </c>
      <c r="AI28" s="45" t="s">
        <v>119</v>
      </c>
      <c r="AJ28" s="46" t="s">
        <v>16</v>
      </c>
      <c r="AK28" s="46" t="s">
        <v>17</v>
      </c>
      <c r="AL28" s="46" t="s">
        <v>18</v>
      </c>
      <c r="AM28" s="47" t="s">
        <v>120</v>
      </c>
      <c r="AN28" s="45" t="s">
        <v>113</v>
      </c>
      <c r="AO28" s="45" t="s">
        <v>114</v>
      </c>
      <c r="AP28" s="45" t="s">
        <v>115</v>
      </c>
      <c r="AQ28" s="47" t="s">
        <v>116</v>
      </c>
      <c r="AR28" s="48" t="s">
        <v>19</v>
      </c>
      <c r="AS28" s="48" t="s">
        <v>20</v>
      </c>
      <c r="AT28" s="48" t="s">
        <v>21</v>
      </c>
      <c r="AU28" s="48" t="s">
        <v>22</v>
      </c>
      <c r="AV28" s="48" t="s">
        <v>23</v>
      </c>
      <c r="AW28" s="48" t="s">
        <v>24</v>
      </c>
      <c r="AX28" s="48" t="s">
        <v>25</v>
      </c>
      <c r="AY28" s="48" t="s">
        <v>26</v>
      </c>
      <c r="AZ28" s="48" t="s">
        <v>27</v>
      </c>
      <c r="BA28" s="49" t="s">
        <v>28</v>
      </c>
      <c r="BB28" s="83" t="s">
        <v>135</v>
      </c>
      <c r="BC28" s="84" t="s">
        <v>136</v>
      </c>
      <c r="BD28" s="50" t="s">
        <v>19</v>
      </c>
      <c r="BE28" s="48" t="s">
        <v>20</v>
      </c>
      <c r="BF28" s="48" t="s">
        <v>21</v>
      </c>
      <c r="BG28" s="48" t="s">
        <v>22</v>
      </c>
      <c r="BH28" s="48" t="s">
        <v>23</v>
      </c>
      <c r="BI28" s="48" t="s">
        <v>24</v>
      </c>
      <c r="BJ28" s="48" t="s">
        <v>25</v>
      </c>
      <c r="BK28" s="48" t="s">
        <v>26</v>
      </c>
      <c r="BL28" s="48" t="s">
        <v>27</v>
      </c>
      <c r="BM28" s="49" t="s">
        <v>28</v>
      </c>
      <c r="BN28" s="83" t="s">
        <v>137</v>
      </c>
      <c r="BO28" s="84" t="s">
        <v>136</v>
      </c>
      <c r="BP28" s="83" t="s">
        <v>113</v>
      </c>
      <c r="BQ28" s="83" t="s">
        <v>114</v>
      </c>
      <c r="BR28" s="83" t="s">
        <v>115</v>
      </c>
      <c r="BS28" s="83" t="s">
        <v>116</v>
      </c>
      <c r="BT28" s="83"/>
      <c r="BU28" s="83"/>
    </row>
    <row r="29">
      <c r="A29" s="51">
        <v>1.0</v>
      </c>
      <c r="B29" s="51"/>
      <c r="C29" s="85"/>
      <c r="D29" s="86"/>
      <c r="E29" s="85"/>
      <c r="F29" s="86"/>
      <c r="Q29" s="80"/>
      <c r="R29" s="80"/>
      <c r="S29" s="80"/>
      <c r="X29" s="71" t="s">
        <v>138</v>
      </c>
      <c r="Y29" s="51"/>
      <c r="Z29" s="87">
        <f t="shared" ref="Z29:AM29" si="6">((Z5-1)*100)/(7-1)</f>
        <v>33.33333333</v>
      </c>
      <c r="AA29" s="88">
        <f t="shared" si="6"/>
        <v>50</v>
      </c>
      <c r="AB29" s="88">
        <f t="shared" si="6"/>
        <v>16.66666667</v>
      </c>
      <c r="AC29" s="88">
        <f t="shared" si="6"/>
        <v>83.33333333</v>
      </c>
      <c r="AD29" s="88">
        <f t="shared" si="6"/>
        <v>33.33333333</v>
      </c>
      <c r="AE29" s="88">
        <f t="shared" si="6"/>
        <v>16.66666667</v>
      </c>
      <c r="AF29" s="89">
        <f t="shared" si="6"/>
        <v>38.88888889</v>
      </c>
      <c r="AG29" s="87">
        <f t="shared" si="6"/>
        <v>66.66666667</v>
      </c>
      <c r="AH29" s="88">
        <f t="shared" si="6"/>
        <v>33.33333333</v>
      </c>
      <c r="AI29" s="88">
        <f t="shared" si="6"/>
        <v>0</v>
      </c>
      <c r="AJ29" s="88">
        <f t="shared" si="6"/>
        <v>83.33333333</v>
      </c>
      <c r="AK29" s="88">
        <f t="shared" si="6"/>
        <v>66.66666667</v>
      </c>
      <c r="AL29" s="88">
        <f t="shared" si="6"/>
        <v>0</v>
      </c>
      <c r="AM29" s="89">
        <f t="shared" si="6"/>
        <v>41.66666667</v>
      </c>
      <c r="AN29" s="90">
        <v>38.88888888888889</v>
      </c>
      <c r="AO29" s="90" t="str">
        <f t="shared" ref="AO29:AO48" si="8">IF(OR(AN29&gt;$AN$49+2*$AN$50, AN29&lt;$AN$49-2*$AN$50), "Outlier", "No")</f>
        <v>No</v>
      </c>
      <c r="AP29" s="90">
        <v>41.666666666666664</v>
      </c>
      <c r="AQ29" s="91" t="str">
        <f t="shared" ref="AQ29:AQ48" si="9">IF(OR(AP29&gt;$AP$49+2*$AP$50, AP29&lt;$AP$49-2*$AP$50), "Outlier", "No")</f>
        <v>No</v>
      </c>
      <c r="AR29" s="92">
        <f t="shared" ref="AR29:AR48" si="10">AR5-1</f>
        <v>1</v>
      </c>
      <c r="AS29" s="92">
        <f t="shared" ref="AS29:AS48" si="11">5-AS5</f>
        <v>3</v>
      </c>
      <c r="AT29" s="92">
        <f t="shared" ref="AT29:AT48" si="12">AT5-1</f>
        <v>3</v>
      </c>
      <c r="AU29" s="92">
        <f t="shared" ref="AU29:AU48" si="13">5-AU5</f>
        <v>4</v>
      </c>
      <c r="AV29" s="92">
        <f t="shared" ref="AV29:AV48" si="14">AV5-1</f>
        <v>3</v>
      </c>
      <c r="AW29" s="92">
        <f t="shared" ref="AW29:AW48" si="15">5-AW5</f>
        <v>4</v>
      </c>
      <c r="AX29" s="92">
        <f t="shared" ref="AX29:AX48" si="16">AX5-1</f>
        <v>3</v>
      </c>
      <c r="AY29" s="92">
        <f t="shared" ref="AY29:AY48" si="17">5-AY5</f>
        <v>2</v>
      </c>
      <c r="AZ29" s="92">
        <f t="shared" ref="AZ29:AZ48" si="18">AZ5-1</f>
        <v>3</v>
      </c>
      <c r="BA29" s="93">
        <f t="shared" ref="BA29:BA48" si="19">5-BA5</f>
        <v>3</v>
      </c>
      <c r="BB29" s="92">
        <f t="shared" ref="BB29:BB48" si="20">sum(AR29:BA29)</f>
        <v>29</v>
      </c>
      <c r="BC29" s="94">
        <f t="shared" ref="BC29:BC48" si="21">BB29*2.5</f>
        <v>72.5</v>
      </c>
      <c r="BD29" s="95">
        <f t="shared" ref="BD29:BD48" si="22">BD5-1</f>
        <v>1</v>
      </c>
      <c r="BE29" s="92">
        <f t="shared" ref="BE29:BE48" si="23">5-BE5</f>
        <v>2</v>
      </c>
      <c r="BF29" s="92">
        <f t="shared" ref="BF29:BF48" si="24">BF5-1</f>
        <v>3</v>
      </c>
      <c r="BG29" s="92">
        <f t="shared" ref="BG29:BG48" si="25">5-BG5</f>
        <v>3</v>
      </c>
      <c r="BH29" s="92">
        <f t="shared" ref="BH29:BH48" si="26">BH5-1</f>
        <v>2</v>
      </c>
      <c r="BI29" s="92">
        <f t="shared" ref="BI29:BI48" si="27">5-BI5</f>
        <v>3</v>
      </c>
      <c r="BJ29" s="92">
        <f t="shared" ref="BJ29:BJ48" si="28">BJ5-1</f>
        <v>3</v>
      </c>
      <c r="BK29" s="92">
        <f t="shared" ref="BK29:BK48" si="29">5-BK5</f>
        <v>2</v>
      </c>
      <c r="BL29" s="92">
        <f t="shared" ref="BL29:BL48" si="30">BL5-1</f>
        <v>3</v>
      </c>
      <c r="BM29" s="93">
        <f t="shared" ref="BM29:BM48" si="31">5-BM5</f>
        <v>4</v>
      </c>
      <c r="BN29" s="92">
        <f t="shared" ref="BN29:BN48" si="32">sum(BD29:BM29)</f>
        <v>26</v>
      </c>
      <c r="BO29" s="94">
        <f t="shared" ref="BO29:BO48" si="33">BN29*2.5</f>
        <v>65</v>
      </c>
      <c r="BP29" s="88">
        <v>72.5</v>
      </c>
      <c r="BQ29" s="90" t="str">
        <f t="shared" ref="BQ29:BQ48" si="34">IF(OR(BP29&gt;$BP$49+2*$BP$50, BP29&lt;$BP$49-2*$BP$50), "Outlier", "No")</f>
        <v>No</v>
      </c>
      <c r="BR29" s="88">
        <v>65.0</v>
      </c>
      <c r="BS29" s="90" t="str">
        <f t="shared" ref="BS29:BS48" si="35">IF(OR(BR29&gt;$BR$49+2*$BR$50, BR29&lt;$BR$49-2*$BR$50), "Outlier", "No")</f>
        <v>No</v>
      </c>
      <c r="BT29" s="96" t="s">
        <v>138</v>
      </c>
      <c r="BU29" s="88"/>
    </row>
    <row r="30">
      <c r="A30" s="71" t="s">
        <v>121</v>
      </c>
      <c r="B30" s="51"/>
      <c r="C30" s="85"/>
      <c r="D30" s="86"/>
      <c r="E30" s="85"/>
      <c r="F30" s="86"/>
      <c r="Q30" s="80"/>
      <c r="R30" s="80"/>
      <c r="S30" s="80"/>
      <c r="X30" s="71" t="s">
        <v>121</v>
      </c>
      <c r="Y30" s="51"/>
      <c r="Z30" s="87">
        <f t="shared" ref="Z30:AM30" si="7">((Z6-1)*100)/(7-1)</f>
        <v>50</v>
      </c>
      <c r="AA30" s="88">
        <f t="shared" si="7"/>
        <v>33.33333333</v>
      </c>
      <c r="AB30" s="88">
        <f t="shared" si="7"/>
        <v>16.66666667</v>
      </c>
      <c r="AC30" s="88">
        <f t="shared" si="7"/>
        <v>83.33333333</v>
      </c>
      <c r="AD30" s="88">
        <f t="shared" si="7"/>
        <v>50</v>
      </c>
      <c r="AE30" s="88">
        <f t="shared" si="7"/>
        <v>16.66666667</v>
      </c>
      <c r="AF30" s="89">
        <f t="shared" si="7"/>
        <v>41.66666667</v>
      </c>
      <c r="AG30" s="87">
        <f t="shared" si="7"/>
        <v>66.66666667</v>
      </c>
      <c r="AH30" s="88">
        <f t="shared" si="7"/>
        <v>83.33333333</v>
      </c>
      <c r="AI30" s="88">
        <f t="shared" si="7"/>
        <v>16.66666667</v>
      </c>
      <c r="AJ30" s="88">
        <f t="shared" si="7"/>
        <v>83.33333333</v>
      </c>
      <c r="AK30" s="88">
        <f t="shared" si="7"/>
        <v>83.33333333</v>
      </c>
      <c r="AL30" s="88">
        <f t="shared" si="7"/>
        <v>66.66666667</v>
      </c>
      <c r="AM30" s="89">
        <f t="shared" si="7"/>
        <v>66.66666667</v>
      </c>
      <c r="AN30" s="90">
        <v>66.66666666666667</v>
      </c>
      <c r="AO30" s="90" t="str">
        <f t="shared" si="8"/>
        <v>Outlier</v>
      </c>
      <c r="AP30" s="90">
        <v>41.666666666666664</v>
      </c>
      <c r="AQ30" s="91" t="str">
        <f t="shared" si="9"/>
        <v>No</v>
      </c>
      <c r="AR30" s="92">
        <f t="shared" si="10"/>
        <v>4</v>
      </c>
      <c r="AS30" s="92">
        <f t="shared" si="11"/>
        <v>3</v>
      </c>
      <c r="AT30" s="92">
        <f t="shared" si="12"/>
        <v>3</v>
      </c>
      <c r="AU30" s="92">
        <f t="shared" si="13"/>
        <v>3</v>
      </c>
      <c r="AV30" s="92">
        <f t="shared" si="14"/>
        <v>4</v>
      </c>
      <c r="AW30" s="92">
        <f t="shared" si="15"/>
        <v>4</v>
      </c>
      <c r="AX30" s="92">
        <f t="shared" si="16"/>
        <v>4</v>
      </c>
      <c r="AY30" s="92">
        <f t="shared" si="17"/>
        <v>4</v>
      </c>
      <c r="AZ30" s="92">
        <f t="shared" si="18"/>
        <v>3</v>
      </c>
      <c r="BA30" s="93">
        <f t="shared" si="19"/>
        <v>4</v>
      </c>
      <c r="BB30" s="92">
        <f t="shared" si="20"/>
        <v>36</v>
      </c>
      <c r="BC30" s="94">
        <f t="shared" si="21"/>
        <v>90</v>
      </c>
      <c r="BD30" s="95">
        <f t="shared" si="22"/>
        <v>4</v>
      </c>
      <c r="BE30" s="92">
        <f t="shared" si="23"/>
        <v>3</v>
      </c>
      <c r="BF30" s="92">
        <f t="shared" si="24"/>
        <v>2</v>
      </c>
      <c r="BG30" s="92">
        <f t="shared" si="25"/>
        <v>0</v>
      </c>
      <c r="BH30" s="92">
        <f t="shared" si="26"/>
        <v>3</v>
      </c>
      <c r="BI30" s="92">
        <f t="shared" si="27"/>
        <v>1</v>
      </c>
      <c r="BJ30" s="92">
        <f t="shared" si="28"/>
        <v>1</v>
      </c>
      <c r="BK30" s="92">
        <f t="shared" si="29"/>
        <v>3</v>
      </c>
      <c r="BL30" s="92">
        <f t="shared" si="30"/>
        <v>1</v>
      </c>
      <c r="BM30" s="93">
        <f t="shared" si="31"/>
        <v>3</v>
      </c>
      <c r="BN30" s="92">
        <f t="shared" si="32"/>
        <v>21</v>
      </c>
      <c r="BO30" s="94">
        <f t="shared" si="33"/>
        <v>52.5</v>
      </c>
      <c r="BP30" s="88">
        <v>52.5</v>
      </c>
      <c r="BQ30" s="90" t="str">
        <f t="shared" si="34"/>
        <v>Outlier</v>
      </c>
      <c r="BR30" s="88">
        <v>90.0</v>
      </c>
      <c r="BS30" s="90" t="str">
        <f t="shared" si="35"/>
        <v>No</v>
      </c>
      <c r="BT30" s="96" t="s">
        <v>121</v>
      </c>
      <c r="BU30" s="88"/>
    </row>
    <row r="31">
      <c r="A31" s="71" t="s">
        <v>122</v>
      </c>
      <c r="B31" s="51"/>
      <c r="C31" s="85"/>
      <c r="D31" s="86"/>
      <c r="E31" s="85"/>
      <c r="F31" s="86"/>
      <c r="Q31" s="80"/>
      <c r="R31" s="80"/>
      <c r="S31" s="80"/>
      <c r="X31" s="71" t="s">
        <v>122</v>
      </c>
      <c r="Y31" s="51"/>
      <c r="Z31" s="87">
        <f t="shared" ref="Z31:AM31" si="36">((Z7-1)*100)/(7-1)</f>
        <v>66.66666667</v>
      </c>
      <c r="AA31" s="88">
        <f t="shared" si="36"/>
        <v>50</v>
      </c>
      <c r="AB31" s="88">
        <f t="shared" si="36"/>
        <v>33.33333333</v>
      </c>
      <c r="AC31" s="88">
        <f t="shared" si="36"/>
        <v>66.66666667</v>
      </c>
      <c r="AD31" s="88">
        <f t="shared" si="36"/>
        <v>66.66666667</v>
      </c>
      <c r="AE31" s="88">
        <f t="shared" si="36"/>
        <v>66.66666667</v>
      </c>
      <c r="AF31" s="89">
        <f t="shared" si="36"/>
        <v>58.33333333</v>
      </c>
      <c r="AG31" s="87">
        <f t="shared" si="36"/>
        <v>33.33333333</v>
      </c>
      <c r="AH31" s="88">
        <f t="shared" si="36"/>
        <v>33.33333333</v>
      </c>
      <c r="AI31" s="88">
        <f t="shared" si="36"/>
        <v>16.66666667</v>
      </c>
      <c r="AJ31" s="88">
        <f t="shared" si="36"/>
        <v>83.33333333</v>
      </c>
      <c r="AK31" s="88">
        <f t="shared" si="36"/>
        <v>50</v>
      </c>
      <c r="AL31" s="88">
        <f t="shared" si="36"/>
        <v>33.33333333</v>
      </c>
      <c r="AM31" s="89">
        <f t="shared" si="36"/>
        <v>41.66666667</v>
      </c>
      <c r="AN31" s="90">
        <v>41.666666666666664</v>
      </c>
      <c r="AO31" s="90" t="str">
        <f t="shared" si="8"/>
        <v>No</v>
      </c>
      <c r="AP31" s="90">
        <v>58.333333333333336</v>
      </c>
      <c r="AQ31" s="91" t="str">
        <f t="shared" si="9"/>
        <v>No</v>
      </c>
      <c r="AR31" s="92">
        <f t="shared" si="10"/>
        <v>2</v>
      </c>
      <c r="AS31" s="92">
        <f t="shared" si="11"/>
        <v>4</v>
      </c>
      <c r="AT31" s="92">
        <f t="shared" si="12"/>
        <v>3</v>
      </c>
      <c r="AU31" s="92">
        <f t="shared" si="13"/>
        <v>2</v>
      </c>
      <c r="AV31" s="92">
        <f t="shared" si="14"/>
        <v>4</v>
      </c>
      <c r="AW31" s="92">
        <f t="shared" si="15"/>
        <v>4</v>
      </c>
      <c r="AX31" s="92">
        <f t="shared" si="16"/>
        <v>4</v>
      </c>
      <c r="AY31" s="92">
        <f t="shared" si="17"/>
        <v>2</v>
      </c>
      <c r="AZ31" s="92">
        <f t="shared" si="18"/>
        <v>2</v>
      </c>
      <c r="BA31" s="93">
        <f t="shared" si="19"/>
        <v>3</v>
      </c>
      <c r="BB31" s="92">
        <f t="shared" si="20"/>
        <v>30</v>
      </c>
      <c r="BC31" s="94">
        <f t="shared" si="21"/>
        <v>75</v>
      </c>
      <c r="BD31" s="95">
        <f t="shared" si="22"/>
        <v>2</v>
      </c>
      <c r="BE31" s="92">
        <f t="shared" si="23"/>
        <v>3</v>
      </c>
      <c r="BF31" s="92">
        <f t="shared" si="24"/>
        <v>4</v>
      </c>
      <c r="BG31" s="92">
        <f t="shared" si="25"/>
        <v>4</v>
      </c>
      <c r="BH31" s="92">
        <f t="shared" si="26"/>
        <v>4</v>
      </c>
      <c r="BI31" s="92">
        <f t="shared" si="27"/>
        <v>2</v>
      </c>
      <c r="BJ31" s="92">
        <f t="shared" si="28"/>
        <v>4</v>
      </c>
      <c r="BK31" s="92">
        <f t="shared" si="29"/>
        <v>2</v>
      </c>
      <c r="BL31" s="92">
        <f t="shared" si="30"/>
        <v>3</v>
      </c>
      <c r="BM31" s="93">
        <f t="shared" si="31"/>
        <v>4</v>
      </c>
      <c r="BN31" s="92">
        <f t="shared" si="32"/>
        <v>32</v>
      </c>
      <c r="BO31" s="94">
        <f t="shared" si="33"/>
        <v>80</v>
      </c>
      <c r="BP31" s="88">
        <v>80.0</v>
      </c>
      <c r="BQ31" s="90" t="str">
        <f t="shared" si="34"/>
        <v>No</v>
      </c>
      <c r="BR31" s="88">
        <v>75.0</v>
      </c>
      <c r="BS31" s="90" t="str">
        <f t="shared" si="35"/>
        <v>No</v>
      </c>
      <c r="BT31" s="96" t="s">
        <v>122</v>
      </c>
      <c r="BU31" s="88"/>
    </row>
    <row r="32">
      <c r="A32" s="71" t="s">
        <v>123</v>
      </c>
      <c r="B32" s="51"/>
      <c r="C32" s="85"/>
      <c r="D32" s="86"/>
      <c r="E32" s="85"/>
      <c r="F32" s="86"/>
      <c r="Q32" s="80"/>
      <c r="R32" s="80"/>
      <c r="S32" s="80"/>
      <c r="X32" s="71" t="s">
        <v>123</v>
      </c>
      <c r="Y32" s="51"/>
      <c r="Z32" s="87">
        <f t="shared" ref="Z32:AM32" si="37">((Z8-1)*100)/(7-1)</f>
        <v>33.33333333</v>
      </c>
      <c r="AA32" s="88">
        <f t="shared" si="37"/>
        <v>50</v>
      </c>
      <c r="AB32" s="88">
        <f t="shared" si="37"/>
        <v>16.66666667</v>
      </c>
      <c r="AC32" s="88">
        <f t="shared" si="37"/>
        <v>83.33333333</v>
      </c>
      <c r="AD32" s="88">
        <f t="shared" si="37"/>
        <v>16.66666667</v>
      </c>
      <c r="AE32" s="88">
        <f t="shared" si="37"/>
        <v>33.33333333</v>
      </c>
      <c r="AF32" s="89">
        <f t="shared" si="37"/>
        <v>38.88888889</v>
      </c>
      <c r="AG32" s="87">
        <f t="shared" si="37"/>
        <v>50</v>
      </c>
      <c r="AH32" s="88">
        <f t="shared" si="37"/>
        <v>66.66666667</v>
      </c>
      <c r="AI32" s="88">
        <f t="shared" si="37"/>
        <v>66.66666667</v>
      </c>
      <c r="AJ32" s="88">
        <f t="shared" si="37"/>
        <v>50</v>
      </c>
      <c r="AK32" s="88">
        <f t="shared" si="37"/>
        <v>50</v>
      </c>
      <c r="AL32" s="88">
        <f t="shared" si="37"/>
        <v>33.33333333</v>
      </c>
      <c r="AM32" s="89">
        <f t="shared" si="37"/>
        <v>52.77777778</v>
      </c>
      <c r="AN32" s="90">
        <v>38.88888888888889</v>
      </c>
      <c r="AO32" s="90" t="str">
        <f t="shared" si="8"/>
        <v>No</v>
      </c>
      <c r="AP32" s="90">
        <v>52.77777777777778</v>
      </c>
      <c r="AQ32" s="91" t="str">
        <f t="shared" si="9"/>
        <v>No</v>
      </c>
      <c r="AR32" s="92">
        <f t="shared" si="10"/>
        <v>3</v>
      </c>
      <c r="AS32" s="92">
        <f t="shared" si="11"/>
        <v>2</v>
      </c>
      <c r="AT32" s="92">
        <f t="shared" si="12"/>
        <v>3</v>
      </c>
      <c r="AU32" s="92">
        <f t="shared" si="13"/>
        <v>4</v>
      </c>
      <c r="AV32" s="92">
        <f t="shared" si="14"/>
        <v>1</v>
      </c>
      <c r="AW32" s="92">
        <f t="shared" si="15"/>
        <v>3</v>
      </c>
      <c r="AX32" s="92">
        <f t="shared" si="16"/>
        <v>4</v>
      </c>
      <c r="AY32" s="92">
        <f t="shared" si="17"/>
        <v>3</v>
      </c>
      <c r="AZ32" s="92">
        <f t="shared" si="18"/>
        <v>3</v>
      </c>
      <c r="BA32" s="93">
        <f t="shared" si="19"/>
        <v>4</v>
      </c>
      <c r="BB32" s="92">
        <f t="shared" si="20"/>
        <v>30</v>
      </c>
      <c r="BC32" s="94">
        <f t="shared" si="21"/>
        <v>75</v>
      </c>
      <c r="BD32" s="95">
        <f t="shared" si="22"/>
        <v>3</v>
      </c>
      <c r="BE32" s="92">
        <f t="shared" si="23"/>
        <v>2</v>
      </c>
      <c r="BF32" s="92">
        <f t="shared" si="24"/>
        <v>3</v>
      </c>
      <c r="BG32" s="92">
        <f t="shared" si="25"/>
        <v>3</v>
      </c>
      <c r="BH32" s="92">
        <f t="shared" si="26"/>
        <v>2</v>
      </c>
      <c r="BI32" s="92">
        <f t="shared" si="27"/>
        <v>4</v>
      </c>
      <c r="BJ32" s="92">
        <f t="shared" si="28"/>
        <v>4</v>
      </c>
      <c r="BK32" s="92">
        <f t="shared" si="29"/>
        <v>3</v>
      </c>
      <c r="BL32" s="92">
        <f t="shared" si="30"/>
        <v>3</v>
      </c>
      <c r="BM32" s="93">
        <f t="shared" si="31"/>
        <v>1</v>
      </c>
      <c r="BN32" s="92">
        <f t="shared" si="32"/>
        <v>28</v>
      </c>
      <c r="BO32" s="94">
        <f t="shared" si="33"/>
        <v>70</v>
      </c>
      <c r="BP32" s="88">
        <v>75.0</v>
      </c>
      <c r="BQ32" s="90" t="str">
        <f t="shared" si="34"/>
        <v>No</v>
      </c>
      <c r="BR32" s="88">
        <v>70.0</v>
      </c>
      <c r="BS32" s="90" t="str">
        <f t="shared" si="35"/>
        <v>No</v>
      </c>
      <c r="BT32" s="96" t="s">
        <v>123</v>
      </c>
      <c r="BU32" s="88"/>
    </row>
    <row r="33">
      <c r="A33" s="71" t="s">
        <v>124</v>
      </c>
      <c r="B33" s="51"/>
      <c r="C33" s="85"/>
      <c r="D33" s="86"/>
      <c r="E33" s="85"/>
      <c r="F33" s="86"/>
      <c r="Q33" s="80"/>
      <c r="R33" s="80"/>
      <c r="S33" s="80"/>
      <c r="X33" s="71" t="s">
        <v>124</v>
      </c>
      <c r="Y33" s="51"/>
      <c r="Z33" s="87">
        <f t="shared" ref="Z33:AM33" si="38">((Z9-1)*100)/(7-1)</f>
        <v>16.66666667</v>
      </c>
      <c r="AA33" s="88">
        <f t="shared" si="38"/>
        <v>16.66666667</v>
      </c>
      <c r="AB33" s="88">
        <f t="shared" si="38"/>
        <v>0</v>
      </c>
      <c r="AC33" s="88">
        <f t="shared" si="38"/>
        <v>100</v>
      </c>
      <c r="AD33" s="88">
        <f t="shared" si="38"/>
        <v>0</v>
      </c>
      <c r="AE33" s="88">
        <f t="shared" si="38"/>
        <v>16.66666667</v>
      </c>
      <c r="AF33" s="89">
        <f t="shared" si="38"/>
        <v>25</v>
      </c>
      <c r="AG33" s="87">
        <f t="shared" si="38"/>
        <v>16.66666667</v>
      </c>
      <c r="AH33" s="88">
        <f t="shared" si="38"/>
        <v>33.33333333</v>
      </c>
      <c r="AI33" s="88">
        <f t="shared" si="38"/>
        <v>16.66666667</v>
      </c>
      <c r="AJ33" s="88">
        <f t="shared" si="38"/>
        <v>83.33333333</v>
      </c>
      <c r="AK33" s="88">
        <f t="shared" si="38"/>
        <v>16.66666667</v>
      </c>
      <c r="AL33" s="88">
        <f t="shared" si="38"/>
        <v>16.66666667</v>
      </c>
      <c r="AM33" s="89">
        <f t="shared" si="38"/>
        <v>30.55555556</v>
      </c>
      <c r="AN33" s="90">
        <v>30.555555555555557</v>
      </c>
      <c r="AO33" s="90" t="str">
        <f t="shared" si="8"/>
        <v>No</v>
      </c>
      <c r="AP33" s="90">
        <v>25.0</v>
      </c>
      <c r="AQ33" s="91" t="str">
        <f t="shared" si="9"/>
        <v>No</v>
      </c>
      <c r="AR33" s="92">
        <f t="shared" si="10"/>
        <v>4</v>
      </c>
      <c r="AS33" s="92">
        <f t="shared" si="11"/>
        <v>4</v>
      </c>
      <c r="AT33" s="92">
        <f t="shared" si="12"/>
        <v>4</v>
      </c>
      <c r="AU33" s="92">
        <f t="shared" si="13"/>
        <v>4</v>
      </c>
      <c r="AV33" s="92">
        <f t="shared" si="14"/>
        <v>4</v>
      </c>
      <c r="AW33" s="92">
        <f t="shared" si="15"/>
        <v>4</v>
      </c>
      <c r="AX33" s="92">
        <f t="shared" si="16"/>
        <v>4</v>
      </c>
      <c r="AY33" s="92">
        <f t="shared" si="17"/>
        <v>4</v>
      </c>
      <c r="AZ33" s="92">
        <f t="shared" si="18"/>
        <v>3</v>
      </c>
      <c r="BA33" s="93">
        <f t="shared" si="19"/>
        <v>4</v>
      </c>
      <c r="BB33" s="92">
        <f t="shared" si="20"/>
        <v>39</v>
      </c>
      <c r="BC33" s="94">
        <f t="shared" si="21"/>
        <v>97.5</v>
      </c>
      <c r="BD33" s="95">
        <f t="shared" si="22"/>
        <v>4</v>
      </c>
      <c r="BE33" s="92">
        <f t="shared" si="23"/>
        <v>4</v>
      </c>
      <c r="BF33" s="92">
        <f t="shared" si="24"/>
        <v>3</v>
      </c>
      <c r="BG33" s="92">
        <f t="shared" si="25"/>
        <v>4</v>
      </c>
      <c r="BH33" s="92">
        <f t="shared" si="26"/>
        <v>4</v>
      </c>
      <c r="BI33" s="92">
        <f t="shared" si="27"/>
        <v>4</v>
      </c>
      <c r="BJ33" s="92">
        <f t="shared" si="28"/>
        <v>4</v>
      </c>
      <c r="BK33" s="92">
        <f t="shared" si="29"/>
        <v>4</v>
      </c>
      <c r="BL33" s="92">
        <f t="shared" si="30"/>
        <v>3</v>
      </c>
      <c r="BM33" s="93">
        <f t="shared" si="31"/>
        <v>4</v>
      </c>
      <c r="BN33" s="92">
        <f t="shared" si="32"/>
        <v>38</v>
      </c>
      <c r="BO33" s="94">
        <f t="shared" si="33"/>
        <v>95</v>
      </c>
      <c r="BP33" s="88">
        <v>95.0</v>
      </c>
      <c r="BQ33" s="90" t="str">
        <f t="shared" si="34"/>
        <v>No</v>
      </c>
      <c r="BR33" s="88">
        <v>97.5</v>
      </c>
      <c r="BS33" s="90" t="str">
        <f t="shared" si="35"/>
        <v>No</v>
      </c>
      <c r="BT33" s="96" t="s">
        <v>124</v>
      </c>
      <c r="BU33" s="88"/>
    </row>
    <row r="34">
      <c r="A34" s="71" t="s">
        <v>125</v>
      </c>
      <c r="B34" s="51"/>
      <c r="C34" s="85"/>
      <c r="D34" s="86"/>
      <c r="E34" s="85"/>
      <c r="F34" s="86"/>
      <c r="Q34" s="80"/>
      <c r="R34" s="80"/>
      <c r="S34" s="80"/>
      <c r="X34" s="71" t="s">
        <v>125</v>
      </c>
      <c r="Y34" s="51"/>
      <c r="Z34" s="87">
        <f t="shared" ref="Z34:AM34" si="39">((Z10-1)*100)/(7-1)</f>
        <v>33.33333333</v>
      </c>
      <c r="AA34" s="88">
        <f t="shared" si="39"/>
        <v>50</v>
      </c>
      <c r="AB34" s="88">
        <f t="shared" si="39"/>
        <v>33.33333333</v>
      </c>
      <c r="AC34" s="88">
        <f t="shared" si="39"/>
        <v>83.33333333</v>
      </c>
      <c r="AD34" s="88">
        <f t="shared" si="39"/>
        <v>50</v>
      </c>
      <c r="AE34" s="88">
        <f t="shared" si="39"/>
        <v>0</v>
      </c>
      <c r="AF34" s="89">
        <f t="shared" si="39"/>
        <v>41.66666667</v>
      </c>
      <c r="AG34" s="87">
        <f t="shared" si="39"/>
        <v>66.66666667</v>
      </c>
      <c r="AH34" s="88">
        <f t="shared" si="39"/>
        <v>66.66666667</v>
      </c>
      <c r="AI34" s="88">
        <f t="shared" si="39"/>
        <v>16.66666667</v>
      </c>
      <c r="AJ34" s="88">
        <f t="shared" si="39"/>
        <v>83.33333333</v>
      </c>
      <c r="AK34" s="88">
        <f t="shared" si="39"/>
        <v>66.66666667</v>
      </c>
      <c r="AL34" s="88">
        <f t="shared" si="39"/>
        <v>50</v>
      </c>
      <c r="AM34" s="89">
        <f t="shared" si="39"/>
        <v>58.33333333</v>
      </c>
      <c r="AN34" s="90">
        <v>41.666666666666664</v>
      </c>
      <c r="AO34" s="90" t="str">
        <f t="shared" si="8"/>
        <v>No</v>
      </c>
      <c r="AP34" s="90">
        <v>58.333333333333336</v>
      </c>
      <c r="AQ34" s="91" t="str">
        <f t="shared" si="9"/>
        <v>No</v>
      </c>
      <c r="AR34" s="92">
        <f t="shared" si="10"/>
        <v>1</v>
      </c>
      <c r="AS34" s="92">
        <f t="shared" si="11"/>
        <v>4</v>
      </c>
      <c r="AT34" s="92">
        <f t="shared" si="12"/>
        <v>3</v>
      </c>
      <c r="AU34" s="92">
        <f t="shared" si="13"/>
        <v>4</v>
      </c>
      <c r="AV34" s="92">
        <f t="shared" si="14"/>
        <v>2</v>
      </c>
      <c r="AW34" s="92">
        <f t="shared" si="15"/>
        <v>4</v>
      </c>
      <c r="AX34" s="92">
        <f t="shared" si="16"/>
        <v>2</v>
      </c>
      <c r="AY34" s="92">
        <f t="shared" si="17"/>
        <v>4</v>
      </c>
      <c r="AZ34" s="92">
        <f t="shared" si="18"/>
        <v>3</v>
      </c>
      <c r="BA34" s="93">
        <f t="shared" si="19"/>
        <v>2</v>
      </c>
      <c r="BB34" s="92">
        <f t="shared" si="20"/>
        <v>29</v>
      </c>
      <c r="BC34" s="94">
        <f t="shared" si="21"/>
        <v>72.5</v>
      </c>
      <c r="BD34" s="95">
        <f t="shared" si="22"/>
        <v>1</v>
      </c>
      <c r="BE34" s="92">
        <f t="shared" si="23"/>
        <v>3</v>
      </c>
      <c r="BF34" s="92">
        <f t="shared" si="24"/>
        <v>3</v>
      </c>
      <c r="BG34" s="92">
        <f t="shared" si="25"/>
        <v>1</v>
      </c>
      <c r="BH34" s="92">
        <f t="shared" si="26"/>
        <v>2</v>
      </c>
      <c r="BI34" s="92">
        <f t="shared" si="27"/>
        <v>2</v>
      </c>
      <c r="BJ34" s="92">
        <f t="shared" si="28"/>
        <v>1</v>
      </c>
      <c r="BK34" s="92">
        <f t="shared" si="29"/>
        <v>2</v>
      </c>
      <c r="BL34" s="92">
        <f t="shared" si="30"/>
        <v>1</v>
      </c>
      <c r="BM34" s="93">
        <f t="shared" si="31"/>
        <v>3</v>
      </c>
      <c r="BN34" s="92">
        <f t="shared" si="32"/>
        <v>19</v>
      </c>
      <c r="BO34" s="94">
        <f t="shared" si="33"/>
        <v>47.5</v>
      </c>
      <c r="BP34" s="88">
        <v>72.5</v>
      </c>
      <c r="BQ34" s="90" t="str">
        <f t="shared" si="34"/>
        <v>No</v>
      </c>
      <c r="BR34" s="88">
        <v>47.5</v>
      </c>
      <c r="BS34" s="90" t="str">
        <f t="shared" si="35"/>
        <v>No</v>
      </c>
      <c r="BT34" s="96" t="s">
        <v>125</v>
      </c>
      <c r="BU34" s="88"/>
    </row>
    <row r="35">
      <c r="A35" s="71" t="s">
        <v>126</v>
      </c>
      <c r="B35" s="51"/>
      <c r="C35" s="85"/>
      <c r="D35" s="86"/>
      <c r="E35" s="85"/>
      <c r="F35" s="86"/>
      <c r="Q35" s="80"/>
      <c r="R35" s="80"/>
      <c r="S35" s="80"/>
      <c r="X35" s="71" t="s">
        <v>126</v>
      </c>
      <c r="Y35" s="51"/>
      <c r="Z35" s="87">
        <f t="shared" ref="Z35:AM35" si="40">((Z11-1)*100)/(7-1)</f>
        <v>33.33333333</v>
      </c>
      <c r="AA35" s="88">
        <f t="shared" si="40"/>
        <v>83.33333333</v>
      </c>
      <c r="AB35" s="88">
        <f t="shared" si="40"/>
        <v>0</v>
      </c>
      <c r="AC35" s="88">
        <f t="shared" si="40"/>
        <v>83.33333333</v>
      </c>
      <c r="AD35" s="88">
        <f t="shared" si="40"/>
        <v>16.66666667</v>
      </c>
      <c r="AE35" s="88">
        <f t="shared" si="40"/>
        <v>0</v>
      </c>
      <c r="AF35" s="89">
        <f t="shared" si="40"/>
        <v>36.11111111</v>
      </c>
      <c r="AG35" s="87">
        <f t="shared" si="40"/>
        <v>0</v>
      </c>
      <c r="AH35" s="88">
        <f t="shared" si="40"/>
        <v>0</v>
      </c>
      <c r="AI35" s="88">
        <f t="shared" si="40"/>
        <v>0</v>
      </c>
      <c r="AJ35" s="88">
        <f t="shared" si="40"/>
        <v>100</v>
      </c>
      <c r="AK35" s="88">
        <f t="shared" si="40"/>
        <v>0</v>
      </c>
      <c r="AL35" s="88">
        <f t="shared" si="40"/>
        <v>0</v>
      </c>
      <c r="AM35" s="89">
        <f t="shared" si="40"/>
        <v>16.66666667</v>
      </c>
      <c r="AN35" s="90">
        <v>16.666666666666668</v>
      </c>
      <c r="AO35" s="90" t="str">
        <f t="shared" si="8"/>
        <v>No</v>
      </c>
      <c r="AP35" s="90">
        <v>36.11111111111111</v>
      </c>
      <c r="AQ35" s="91" t="str">
        <f t="shared" si="9"/>
        <v>No</v>
      </c>
      <c r="AR35" s="92">
        <f t="shared" si="10"/>
        <v>4</v>
      </c>
      <c r="AS35" s="92">
        <f t="shared" si="11"/>
        <v>4</v>
      </c>
      <c r="AT35" s="92">
        <f t="shared" si="12"/>
        <v>4</v>
      </c>
      <c r="AU35" s="92">
        <f t="shared" si="13"/>
        <v>4</v>
      </c>
      <c r="AV35" s="92">
        <f t="shared" si="14"/>
        <v>3</v>
      </c>
      <c r="AW35" s="92">
        <f t="shared" si="15"/>
        <v>4</v>
      </c>
      <c r="AX35" s="92">
        <f t="shared" si="16"/>
        <v>4</v>
      </c>
      <c r="AY35" s="92">
        <f t="shared" si="17"/>
        <v>4</v>
      </c>
      <c r="AZ35" s="92">
        <f t="shared" si="18"/>
        <v>4</v>
      </c>
      <c r="BA35" s="93">
        <f t="shared" si="19"/>
        <v>4</v>
      </c>
      <c r="BB35" s="92">
        <f t="shared" si="20"/>
        <v>39</v>
      </c>
      <c r="BC35" s="94">
        <f t="shared" si="21"/>
        <v>97.5</v>
      </c>
      <c r="BD35" s="95">
        <f t="shared" si="22"/>
        <v>4</v>
      </c>
      <c r="BE35" s="92">
        <f t="shared" si="23"/>
        <v>4</v>
      </c>
      <c r="BF35" s="92">
        <f t="shared" si="24"/>
        <v>4</v>
      </c>
      <c r="BG35" s="92">
        <f t="shared" si="25"/>
        <v>4</v>
      </c>
      <c r="BH35" s="92">
        <f t="shared" si="26"/>
        <v>4</v>
      </c>
      <c r="BI35" s="92">
        <f t="shared" si="27"/>
        <v>4</v>
      </c>
      <c r="BJ35" s="92">
        <f t="shared" si="28"/>
        <v>4</v>
      </c>
      <c r="BK35" s="92">
        <f t="shared" si="29"/>
        <v>4</v>
      </c>
      <c r="BL35" s="92">
        <f t="shared" si="30"/>
        <v>4</v>
      </c>
      <c r="BM35" s="93">
        <f t="shared" si="31"/>
        <v>4</v>
      </c>
      <c r="BN35" s="92">
        <f t="shared" si="32"/>
        <v>40</v>
      </c>
      <c r="BO35" s="94">
        <f t="shared" si="33"/>
        <v>100</v>
      </c>
      <c r="BP35" s="88">
        <v>100.0</v>
      </c>
      <c r="BQ35" s="90" t="str">
        <f t="shared" si="34"/>
        <v>No</v>
      </c>
      <c r="BR35" s="88">
        <v>97.5</v>
      </c>
      <c r="BS35" s="90" t="str">
        <f t="shared" si="35"/>
        <v>No</v>
      </c>
      <c r="BT35" s="96" t="s">
        <v>126</v>
      </c>
      <c r="BU35" s="88"/>
    </row>
    <row r="36">
      <c r="A36" s="71" t="s">
        <v>127</v>
      </c>
      <c r="B36" s="51"/>
      <c r="C36" s="85"/>
      <c r="D36" s="86"/>
      <c r="E36" s="85"/>
      <c r="F36" s="86"/>
      <c r="Q36" s="80"/>
      <c r="R36" s="80"/>
      <c r="S36" s="80"/>
      <c r="X36" s="71" t="s">
        <v>127</v>
      </c>
      <c r="Y36" s="51"/>
      <c r="Z36" s="87">
        <f t="shared" ref="Z36:AM36" si="41">((Z12-1)*100)/(7-1)</f>
        <v>33.33333333</v>
      </c>
      <c r="AA36" s="88">
        <f t="shared" si="41"/>
        <v>16.66666667</v>
      </c>
      <c r="AB36" s="88">
        <f t="shared" si="41"/>
        <v>0</v>
      </c>
      <c r="AC36" s="88">
        <f t="shared" si="41"/>
        <v>83.33333333</v>
      </c>
      <c r="AD36" s="88">
        <f t="shared" si="41"/>
        <v>16.66666667</v>
      </c>
      <c r="AE36" s="88">
        <f t="shared" si="41"/>
        <v>16.66666667</v>
      </c>
      <c r="AF36" s="89">
        <f t="shared" si="41"/>
        <v>27.77777778</v>
      </c>
      <c r="AG36" s="87">
        <f t="shared" si="41"/>
        <v>33.33333333</v>
      </c>
      <c r="AH36" s="88">
        <f t="shared" si="41"/>
        <v>50</v>
      </c>
      <c r="AI36" s="88">
        <f t="shared" si="41"/>
        <v>33.33333333</v>
      </c>
      <c r="AJ36" s="88">
        <f t="shared" si="41"/>
        <v>100</v>
      </c>
      <c r="AK36" s="88">
        <f t="shared" si="41"/>
        <v>33.33333333</v>
      </c>
      <c r="AL36" s="88">
        <f t="shared" si="41"/>
        <v>33.33333333</v>
      </c>
      <c r="AM36" s="89">
        <f t="shared" si="41"/>
        <v>47.22222222</v>
      </c>
      <c r="AN36" s="90">
        <v>27.777777777777775</v>
      </c>
      <c r="AO36" s="90" t="str">
        <f t="shared" si="8"/>
        <v>No</v>
      </c>
      <c r="AP36" s="90">
        <v>47.22222222222223</v>
      </c>
      <c r="AQ36" s="91" t="str">
        <f t="shared" si="9"/>
        <v>No</v>
      </c>
      <c r="AR36" s="92">
        <f t="shared" si="10"/>
        <v>4</v>
      </c>
      <c r="AS36" s="92">
        <f t="shared" si="11"/>
        <v>4</v>
      </c>
      <c r="AT36" s="92">
        <f t="shared" si="12"/>
        <v>3</v>
      </c>
      <c r="AU36" s="92">
        <f t="shared" si="13"/>
        <v>4</v>
      </c>
      <c r="AV36" s="92">
        <f t="shared" si="14"/>
        <v>4</v>
      </c>
      <c r="AW36" s="92">
        <f t="shared" si="15"/>
        <v>4</v>
      </c>
      <c r="AX36" s="92">
        <f t="shared" si="16"/>
        <v>3</v>
      </c>
      <c r="AY36" s="92">
        <f t="shared" si="17"/>
        <v>4</v>
      </c>
      <c r="AZ36" s="92">
        <f t="shared" si="18"/>
        <v>2</v>
      </c>
      <c r="BA36" s="93">
        <f t="shared" si="19"/>
        <v>4</v>
      </c>
      <c r="BB36" s="92">
        <f t="shared" si="20"/>
        <v>36</v>
      </c>
      <c r="BC36" s="94">
        <f t="shared" si="21"/>
        <v>90</v>
      </c>
      <c r="BD36" s="95">
        <f t="shared" si="22"/>
        <v>2</v>
      </c>
      <c r="BE36" s="92">
        <f t="shared" si="23"/>
        <v>4</v>
      </c>
      <c r="BF36" s="92">
        <f t="shared" si="24"/>
        <v>2</v>
      </c>
      <c r="BG36" s="92">
        <f t="shared" si="25"/>
        <v>4</v>
      </c>
      <c r="BH36" s="92">
        <f t="shared" si="26"/>
        <v>2</v>
      </c>
      <c r="BI36" s="92">
        <f t="shared" si="27"/>
        <v>4</v>
      </c>
      <c r="BJ36" s="92">
        <f t="shared" si="28"/>
        <v>2</v>
      </c>
      <c r="BK36" s="92">
        <f t="shared" si="29"/>
        <v>3</v>
      </c>
      <c r="BL36" s="92">
        <f t="shared" si="30"/>
        <v>3</v>
      </c>
      <c r="BM36" s="93">
        <f t="shared" si="31"/>
        <v>4</v>
      </c>
      <c r="BN36" s="92">
        <f t="shared" si="32"/>
        <v>30</v>
      </c>
      <c r="BO36" s="94">
        <f t="shared" si="33"/>
        <v>75</v>
      </c>
      <c r="BP36" s="88">
        <v>90.0</v>
      </c>
      <c r="BQ36" s="90" t="str">
        <f t="shared" si="34"/>
        <v>No</v>
      </c>
      <c r="BR36" s="88">
        <v>75.0</v>
      </c>
      <c r="BS36" s="90" t="str">
        <f t="shared" si="35"/>
        <v>No</v>
      </c>
      <c r="BT36" s="96" t="s">
        <v>127</v>
      </c>
      <c r="BU36" s="88"/>
    </row>
    <row r="37">
      <c r="A37" s="51">
        <v>10.0</v>
      </c>
      <c r="B37" s="51"/>
      <c r="C37" s="85"/>
      <c r="D37" s="86"/>
      <c r="E37" s="85"/>
      <c r="F37" s="86"/>
      <c r="Q37" s="80"/>
      <c r="R37" s="80"/>
      <c r="S37" s="80"/>
      <c r="X37" s="51">
        <v>10.0</v>
      </c>
      <c r="Y37" s="51"/>
      <c r="Z37" s="87">
        <f t="shared" ref="Z37:AM37" si="42">((Z13-1)*100)/(7-1)</f>
        <v>16.66666667</v>
      </c>
      <c r="AA37" s="88">
        <f t="shared" si="42"/>
        <v>0</v>
      </c>
      <c r="AB37" s="88">
        <f t="shared" si="42"/>
        <v>0</v>
      </c>
      <c r="AC37" s="88">
        <f t="shared" si="42"/>
        <v>66.66666667</v>
      </c>
      <c r="AD37" s="88">
        <f t="shared" si="42"/>
        <v>0</v>
      </c>
      <c r="AE37" s="88">
        <f t="shared" si="42"/>
        <v>33.33333333</v>
      </c>
      <c r="AF37" s="89">
        <f t="shared" si="42"/>
        <v>19.44444444</v>
      </c>
      <c r="AG37" s="87">
        <f t="shared" si="42"/>
        <v>0</v>
      </c>
      <c r="AH37" s="88">
        <f t="shared" si="42"/>
        <v>16.66666667</v>
      </c>
      <c r="AI37" s="88">
        <f t="shared" si="42"/>
        <v>0</v>
      </c>
      <c r="AJ37" s="88">
        <f t="shared" si="42"/>
        <v>16.66666667</v>
      </c>
      <c r="AK37" s="88">
        <f t="shared" si="42"/>
        <v>16.66666667</v>
      </c>
      <c r="AL37" s="88">
        <f t="shared" si="42"/>
        <v>16.66666667</v>
      </c>
      <c r="AM37" s="89">
        <f t="shared" si="42"/>
        <v>11.11111111</v>
      </c>
      <c r="AN37" s="90">
        <v>11.111111111111112</v>
      </c>
      <c r="AO37" s="90" t="str">
        <f t="shared" si="8"/>
        <v>No</v>
      </c>
      <c r="AP37" s="90">
        <v>19.444444444444443</v>
      </c>
      <c r="AQ37" s="91" t="str">
        <f t="shared" si="9"/>
        <v>No</v>
      </c>
      <c r="AR37" s="92">
        <f t="shared" si="10"/>
        <v>2</v>
      </c>
      <c r="AS37" s="92">
        <f t="shared" si="11"/>
        <v>2</v>
      </c>
      <c r="AT37" s="92">
        <f t="shared" si="12"/>
        <v>4</v>
      </c>
      <c r="AU37" s="92">
        <f t="shared" si="13"/>
        <v>4</v>
      </c>
      <c r="AV37" s="92">
        <f t="shared" si="14"/>
        <v>3</v>
      </c>
      <c r="AW37" s="92">
        <f t="shared" si="15"/>
        <v>4</v>
      </c>
      <c r="AX37" s="92">
        <f t="shared" si="16"/>
        <v>4</v>
      </c>
      <c r="AY37" s="92">
        <f t="shared" si="17"/>
        <v>4</v>
      </c>
      <c r="AZ37" s="92">
        <f t="shared" si="18"/>
        <v>3</v>
      </c>
      <c r="BA37" s="93">
        <f t="shared" si="19"/>
        <v>3</v>
      </c>
      <c r="BB37" s="92">
        <f t="shared" si="20"/>
        <v>33</v>
      </c>
      <c r="BC37" s="94">
        <f t="shared" si="21"/>
        <v>82.5</v>
      </c>
      <c r="BD37" s="95">
        <f t="shared" si="22"/>
        <v>3</v>
      </c>
      <c r="BE37" s="92">
        <f t="shared" si="23"/>
        <v>3</v>
      </c>
      <c r="BF37" s="92">
        <f t="shared" si="24"/>
        <v>4</v>
      </c>
      <c r="BG37" s="92">
        <f t="shared" si="25"/>
        <v>4</v>
      </c>
      <c r="BH37" s="92">
        <f t="shared" si="26"/>
        <v>3</v>
      </c>
      <c r="BI37" s="92">
        <f t="shared" si="27"/>
        <v>4</v>
      </c>
      <c r="BJ37" s="92">
        <f t="shared" si="28"/>
        <v>4</v>
      </c>
      <c r="BK37" s="92">
        <f t="shared" si="29"/>
        <v>4</v>
      </c>
      <c r="BL37" s="92">
        <f t="shared" si="30"/>
        <v>3</v>
      </c>
      <c r="BM37" s="93">
        <f t="shared" si="31"/>
        <v>4</v>
      </c>
      <c r="BN37" s="92">
        <f t="shared" si="32"/>
        <v>36</v>
      </c>
      <c r="BO37" s="94">
        <f t="shared" si="33"/>
        <v>90</v>
      </c>
      <c r="BP37" s="88">
        <v>90.0</v>
      </c>
      <c r="BQ37" s="90" t="str">
        <f t="shared" si="34"/>
        <v>No</v>
      </c>
      <c r="BR37" s="88">
        <v>82.5</v>
      </c>
      <c r="BS37" s="90" t="str">
        <f t="shared" si="35"/>
        <v>No</v>
      </c>
      <c r="BT37" s="97">
        <v>10.0</v>
      </c>
      <c r="BU37" s="88"/>
    </row>
    <row r="38">
      <c r="A38" s="51">
        <v>11.0</v>
      </c>
      <c r="B38" s="51"/>
      <c r="C38" s="85"/>
      <c r="D38" s="86"/>
      <c r="E38" s="85"/>
      <c r="F38" s="86"/>
      <c r="Q38" s="80"/>
      <c r="R38" s="80"/>
      <c r="S38" s="80"/>
      <c r="X38" s="51">
        <v>11.0</v>
      </c>
      <c r="Y38" s="51"/>
      <c r="Z38" s="87">
        <f t="shared" ref="Z38:AM38" si="43">((Z14-1)*100)/(7-1)</f>
        <v>16.66666667</v>
      </c>
      <c r="AA38" s="88">
        <f t="shared" si="43"/>
        <v>33.33333333</v>
      </c>
      <c r="AB38" s="88">
        <f t="shared" si="43"/>
        <v>0</v>
      </c>
      <c r="AC38" s="88">
        <f t="shared" si="43"/>
        <v>100</v>
      </c>
      <c r="AD38" s="88">
        <f t="shared" si="43"/>
        <v>83.33333333</v>
      </c>
      <c r="AE38" s="88">
        <f t="shared" si="43"/>
        <v>0</v>
      </c>
      <c r="AF38" s="89">
        <f t="shared" si="43"/>
        <v>38.88888889</v>
      </c>
      <c r="AG38" s="87">
        <f t="shared" si="43"/>
        <v>16.66666667</v>
      </c>
      <c r="AH38" s="88">
        <f t="shared" si="43"/>
        <v>16.66666667</v>
      </c>
      <c r="AI38" s="88">
        <f t="shared" si="43"/>
        <v>0</v>
      </c>
      <c r="AJ38" s="88">
        <f t="shared" si="43"/>
        <v>66.66666667</v>
      </c>
      <c r="AK38" s="88">
        <f t="shared" si="43"/>
        <v>16.66666667</v>
      </c>
      <c r="AL38" s="88">
        <f t="shared" si="43"/>
        <v>0</v>
      </c>
      <c r="AM38" s="89">
        <f t="shared" si="43"/>
        <v>19.44444444</v>
      </c>
      <c r="AN38" s="90">
        <v>38.88888888888889</v>
      </c>
      <c r="AO38" s="90" t="str">
        <f t="shared" si="8"/>
        <v>No</v>
      </c>
      <c r="AP38" s="90">
        <v>19.444444444444443</v>
      </c>
      <c r="AQ38" s="91" t="str">
        <f t="shared" si="9"/>
        <v>No</v>
      </c>
      <c r="AR38" s="92">
        <f t="shared" si="10"/>
        <v>4</v>
      </c>
      <c r="AS38" s="92">
        <f t="shared" si="11"/>
        <v>4</v>
      </c>
      <c r="AT38" s="92">
        <f t="shared" si="12"/>
        <v>4</v>
      </c>
      <c r="AU38" s="92">
        <f t="shared" si="13"/>
        <v>4</v>
      </c>
      <c r="AV38" s="92">
        <f t="shared" si="14"/>
        <v>3</v>
      </c>
      <c r="AW38" s="92">
        <f t="shared" si="15"/>
        <v>4</v>
      </c>
      <c r="AX38" s="92">
        <f t="shared" si="16"/>
        <v>4</v>
      </c>
      <c r="AY38" s="92">
        <f t="shared" si="17"/>
        <v>4</v>
      </c>
      <c r="AZ38" s="92">
        <f t="shared" si="18"/>
        <v>4</v>
      </c>
      <c r="BA38" s="93">
        <f t="shared" si="19"/>
        <v>4</v>
      </c>
      <c r="BB38" s="92">
        <f t="shared" si="20"/>
        <v>39</v>
      </c>
      <c r="BC38" s="94">
        <f t="shared" si="21"/>
        <v>97.5</v>
      </c>
      <c r="BD38" s="95">
        <f t="shared" si="22"/>
        <v>3</v>
      </c>
      <c r="BE38" s="92">
        <f t="shared" si="23"/>
        <v>4</v>
      </c>
      <c r="BF38" s="92">
        <f t="shared" si="24"/>
        <v>4</v>
      </c>
      <c r="BG38" s="92">
        <f t="shared" si="25"/>
        <v>4</v>
      </c>
      <c r="BH38" s="92">
        <f t="shared" si="26"/>
        <v>3</v>
      </c>
      <c r="BI38" s="92">
        <f t="shared" si="27"/>
        <v>4</v>
      </c>
      <c r="BJ38" s="92">
        <f t="shared" si="28"/>
        <v>4</v>
      </c>
      <c r="BK38" s="92">
        <f t="shared" si="29"/>
        <v>3</v>
      </c>
      <c r="BL38" s="92">
        <f t="shared" si="30"/>
        <v>4</v>
      </c>
      <c r="BM38" s="93">
        <f t="shared" si="31"/>
        <v>4</v>
      </c>
      <c r="BN38" s="92">
        <f t="shared" si="32"/>
        <v>37</v>
      </c>
      <c r="BO38" s="94">
        <f t="shared" si="33"/>
        <v>92.5</v>
      </c>
      <c r="BP38" s="88">
        <v>97.5</v>
      </c>
      <c r="BQ38" s="90" t="str">
        <f t="shared" si="34"/>
        <v>No</v>
      </c>
      <c r="BR38" s="88">
        <v>92.5</v>
      </c>
      <c r="BS38" s="90" t="str">
        <f t="shared" si="35"/>
        <v>No</v>
      </c>
      <c r="BT38" s="97">
        <v>11.0</v>
      </c>
      <c r="BU38" s="88"/>
    </row>
    <row r="39">
      <c r="A39" s="51">
        <v>12.0</v>
      </c>
      <c r="B39" s="51"/>
      <c r="C39" s="85"/>
      <c r="D39" s="86"/>
      <c r="E39" s="85"/>
      <c r="F39" s="86"/>
      <c r="Q39" s="80"/>
      <c r="R39" s="80"/>
      <c r="S39" s="80"/>
      <c r="X39" s="51">
        <v>12.0</v>
      </c>
      <c r="Y39" s="51"/>
      <c r="Z39" s="87">
        <f t="shared" ref="Z39:AM39" si="44">((Z15-1)*100)/(7-1)</f>
        <v>0</v>
      </c>
      <c r="AA39" s="88">
        <f t="shared" si="44"/>
        <v>66.66666667</v>
      </c>
      <c r="AB39" s="88">
        <f t="shared" si="44"/>
        <v>0</v>
      </c>
      <c r="AC39" s="88">
        <f t="shared" si="44"/>
        <v>66.66666667</v>
      </c>
      <c r="AD39" s="88">
        <f t="shared" si="44"/>
        <v>0</v>
      </c>
      <c r="AE39" s="88">
        <f t="shared" si="44"/>
        <v>16.66666667</v>
      </c>
      <c r="AF39" s="89">
        <f t="shared" si="44"/>
        <v>25</v>
      </c>
      <c r="AG39" s="87">
        <f t="shared" si="44"/>
        <v>0</v>
      </c>
      <c r="AH39" s="88">
        <f t="shared" si="44"/>
        <v>33.33333333</v>
      </c>
      <c r="AI39" s="88">
        <f t="shared" si="44"/>
        <v>0</v>
      </c>
      <c r="AJ39" s="88">
        <f t="shared" si="44"/>
        <v>66.66666667</v>
      </c>
      <c r="AK39" s="88">
        <f t="shared" si="44"/>
        <v>16.66666667</v>
      </c>
      <c r="AL39" s="88">
        <f t="shared" si="44"/>
        <v>16.66666667</v>
      </c>
      <c r="AM39" s="89">
        <f t="shared" si="44"/>
        <v>22.22222222</v>
      </c>
      <c r="AN39" s="90">
        <v>22.222222222222225</v>
      </c>
      <c r="AO39" s="90" t="str">
        <f t="shared" si="8"/>
        <v>No</v>
      </c>
      <c r="AP39" s="90">
        <v>25.0</v>
      </c>
      <c r="AQ39" s="91" t="str">
        <f t="shared" si="9"/>
        <v>No</v>
      </c>
      <c r="AR39" s="92">
        <f t="shared" si="10"/>
        <v>3</v>
      </c>
      <c r="AS39" s="92">
        <f t="shared" si="11"/>
        <v>3</v>
      </c>
      <c r="AT39" s="92">
        <f t="shared" si="12"/>
        <v>4</v>
      </c>
      <c r="AU39" s="92">
        <f t="shared" si="13"/>
        <v>4</v>
      </c>
      <c r="AV39" s="92">
        <f t="shared" si="14"/>
        <v>2</v>
      </c>
      <c r="AW39" s="92">
        <f t="shared" si="15"/>
        <v>4</v>
      </c>
      <c r="AX39" s="92">
        <f t="shared" si="16"/>
        <v>4</v>
      </c>
      <c r="AY39" s="92">
        <f t="shared" si="17"/>
        <v>4</v>
      </c>
      <c r="AZ39" s="92">
        <f t="shared" si="18"/>
        <v>4</v>
      </c>
      <c r="BA39" s="93">
        <f t="shared" si="19"/>
        <v>4</v>
      </c>
      <c r="BB39" s="92">
        <f t="shared" si="20"/>
        <v>36</v>
      </c>
      <c r="BC39" s="94">
        <f t="shared" si="21"/>
        <v>90</v>
      </c>
      <c r="BD39" s="95">
        <f t="shared" si="22"/>
        <v>3</v>
      </c>
      <c r="BE39" s="92">
        <f t="shared" si="23"/>
        <v>3</v>
      </c>
      <c r="BF39" s="92">
        <f t="shared" si="24"/>
        <v>4</v>
      </c>
      <c r="BG39" s="92">
        <f t="shared" si="25"/>
        <v>4</v>
      </c>
      <c r="BH39" s="92">
        <f t="shared" si="26"/>
        <v>3</v>
      </c>
      <c r="BI39" s="92">
        <f t="shared" si="27"/>
        <v>4</v>
      </c>
      <c r="BJ39" s="92">
        <f t="shared" si="28"/>
        <v>4</v>
      </c>
      <c r="BK39" s="92">
        <f t="shared" si="29"/>
        <v>4</v>
      </c>
      <c r="BL39" s="92">
        <f t="shared" si="30"/>
        <v>3</v>
      </c>
      <c r="BM39" s="93">
        <f t="shared" si="31"/>
        <v>4</v>
      </c>
      <c r="BN39" s="92">
        <f t="shared" si="32"/>
        <v>36</v>
      </c>
      <c r="BO39" s="94">
        <f t="shared" si="33"/>
        <v>90</v>
      </c>
      <c r="BP39" s="88">
        <v>90.0</v>
      </c>
      <c r="BQ39" s="90" t="str">
        <f t="shared" si="34"/>
        <v>No</v>
      </c>
      <c r="BR39" s="88">
        <v>90.0</v>
      </c>
      <c r="BS39" s="90" t="str">
        <f t="shared" si="35"/>
        <v>No</v>
      </c>
      <c r="BT39" s="97">
        <v>12.0</v>
      </c>
      <c r="BU39" s="88"/>
    </row>
    <row r="40">
      <c r="A40" s="51">
        <v>13.0</v>
      </c>
      <c r="B40" s="51"/>
      <c r="C40" s="85"/>
      <c r="D40" s="86"/>
      <c r="E40" s="85"/>
      <c r="F40" s="86"/>
      <c r="Q40" s="80"/>
      <c r="R40" s="80"/>
      <c r="S40" s="80"/>
      <c r="X40" s="51">
        <v>13.0</v>
      </c>
      <c r="Y40" s="51"/>
      <c r="Z40" s="87">
        <f t="shared" ref="Z40:AM40" si="45">((Z16-1)*100)/(7-1)</f>
        <v>16.66666667</v>
      </c>
      <c r="AA40" s="88">
        <f t="shared" si="45"/>
        <v>16.66666667</v>
      </c>
      <c r="AB40" s="88">
        <f t="shared" si="45"/>
        <v>0</v>
      </c>
      <c r="AC40" s="88">
        <f t="shared" si="45"/>
        <v>100</v>
      </c>
      <c r="AD40" s="88">
        <f t="shared" si="45"/>
        <v>33.33333333</v>
      </c>
      <c r="AE40" s="88">
        <f t="shared" si="45"/>
        <v>16.66666667</v>
      </c>
      <c r="AF40" s="89">
        <f t="shared" si="45"/>
        <v>30.55555556</v>
      </c>
      <c r="AG40" s="87">
        <f t="shared" si="45"/>
        <v>50</v>
      </c>
      <c r="AH40" s="88">
        <f t="shared" si="45"/>
        <v>50</v>
      </c>
      <c r="AI40" s="88">
        <f t="shared" si="45"/>
        <v>16.66666667</v>
      </c>
      <c r="AJ40" s="88">
        <f t="shared" si="45"/>
        <v>83.33333333</v>
      </c>
      <c r="AK40" s="88">
        <f t="shared" si="45"/>
        <v>33.33333333</v>
      </c>
      <c r="AL40" s="88">
        <f t="shared" si="45"/>
        <v>0</v>
      </c>
      <c r="AM40" s="89">
        <f t="shared" si="45"/>
        <v>38.88888889</v>
      </c>
      <c r="AN40" s="90">
        <v>30.555555555555557</v>
      </c>
      <c r="AO40" s="90" t="str">
        <f t="shared" si="8"/>
        <v>No</v>
      </c>
      <c r="AP40" s="90">
        <v>38.88888888888889</v>
      </c>
      <c r="AQ40" s="91" t="str">
        <f t="shared" si="9"/>
        <v>No</v>
      </c>
      <c r="AR40" s="92">
        <f t="shared" si="10"/>
        <v>4</v>
      </c>
      <c r="AS40" s="92">
        <f t="shared" si="11"/>
        <v>4</v>
      </c>
      <c r="AT40" s="92">
        <f t="shared" si="12"/>
        <v>3</v>
      </c>
      <c r="AU40" s="92">
        <f t="shared" si="13"/>
        <v>4</v>
      </c>
      <c r="AV40" s="92">
        <f t="shared" si="14"/>
        <v>4</v>
      </c>
      <c r="AW40" s="92">
        <f t="shared" si="15"/>
        <v>4</v>
      </c>
      <c r="AX40" s="92">
        <f t="shared" si="16"/>
        <v>3</v>
      </c>
      <c r="AY40" s="92">
        <f t="shared" si="17"/>
        <v>4</v>
      </c>
      <c r="AZ40" s="92">
        <f t="shared" si="18"/>
        <v>4</v>
      </c>
      <c r="BA40" s="93">
        <f t="shared" si="19"/>
        <v>4</v>
      </c>
      <c r="BB40" s="92">
        <f t="shared" si="20"/>
        <v>38</v>
      </c>
      <c r="BC40" s="94">
        <f t="shared" si="21"/>
        <v>95</v>
      </c>
      <c r="BD40" s="95">
        <f t="shared" si="22"/>
        <v>4</v>
      </c>
      <c r="BE40" s="92">
        <f t="shared" si="23"/>
        <v>4</v>
      </c>
      <c r="BF40" s="92">
        <f t="shared" si="24"/>
        <v>4</v>
      </c>
      <c r="BG40" s="92">
        <f t="shared" si="25"/>
        <v>4</v>
      </c>
      <c r="BH40" s="92">
        <f t="shared" si="26"/>
        <v>4</v>
      </c>
      <c r="BI40" s="92">
        <f t="shared" si="27"/>
        <v>4</v>
      </c>
      <c r="BJ40" s="92">
        <f t="shared" si="28"/>
        <v>4</v>
      </c>
      <c r="BK40" s="92">
        <f t="shared" si="29"/>
        <v>4</v>
      </c>
      <c r="BL40" s="92">
        <f t="shared" si="30"/>
        <v>3</v>
      </c>
      <c r="BM40" s="93">
        <f t="shared" si="31"/>
        <v>3</v>
      </c>
      <c r="BN40" s="92">
        <f t="shared" si="32"/>
        <v>38</v>
      </c>
      <c r="BO40" s="94">
        <f t="shared" si="33"/>
        <v>95</v>
      </c>
      <c r="BP40" s="88">
        <v>95.0</v>
      </c>
      <c r="BQ40" s="90" t="str">
        <f t="shared" si="34"/>
        <v>No</v>
      </c>
      <c r="BR40" s="88">
        <v>95.0</v>
      </c>
      <c r="BS40" s="90" t="str">
        <f t="shared" si="35"/>
        <v>No</v>
      </c>
      <c r="BT40" s="97">
        <v>13.0</v>
      </c>
      <c r="BU40" s="88"/>
    </row>
    <row r="41">
      <c r="A41" s="51">
        <v>14.0</v>
      </c>
      <c r="B41" s="51"/>
      <c r="C41" s="85"/>
      <c r="D41" s="86"/>
      <c r="E41" s="85"/>
      <c r="F41" s="86"/>
      <c r="Q41" s="80"/>
      <c r="R41" s="80"/>
      <c r="S41" s="80"/>
      <c r="X41" s="51">
        <v>14.0</v>
      </c>
      <c r="Y41" s="51"/>
      <c r="Z41" s="87">
        <f t="shared" ref="Z41:AM41" si="46">((Z17-1)*100)/(7-1)</f>
        <v>66.66666667</v>
      </c>
      <c r="AA41" s="88">
        <f t="shared" si="46"/>
        <v>33.33333333</v>
      </c>
      <c r="AB41" s="88">
        <f t="shared" si="46"/>
        <v>16.66666667</v>
      </c>
      <c r="AC41" s="88">
        <f t="shared" si="46"/>
        <v>50</v>
      </c>
      <c r="AD41" s="88">
        <f t="shared" si="46"/>
        <v>66.66666667</v>
      </c>
      <c r="AE41" s="88">
        <f t="shared" si="46"/>
        <v>33.33333333</v>
      </c>
      <c r="AF41" s="89">
        <f t="shared" si="46"/>
        <v>44.44444444</v>
      </c>
      <c r="AG41" s="87">
        <f t="shared" si="46"/>
        <v>66.66666667</v>
      </c>
      <c r="AH41" s="88">
        <f t="shared" si="46"/>
        <v>66.66666667</v>
      </c>
      <c r="AI41" s="88">
        <f t="shared" si="46"/>
        <v>50</v>
      </c>
      <c r="AJ41" s="88">
        <f t="shared" si="46"/>
        <v>66.66666667</v>
      </c>
      <c r="AK41" s="88">
        <f t="shared" si="46"/>
        <v>33.33333333</v>
      </c>
      <c r="AL41" s="88">
        <f t="shared" si="46"/>
        <v>33.33333333</v>
      </c>
      <c r="AM41" s="89">
        <f t="shared" si="46"/>
        <v>52.77777778</v>
      </c>
      <c r="AN41" s="90">
        <v>52.77777777777778</v>
      </c>
      <c r="AO41" s="90" t="str">
        <f t="shared" si="8"/>
        <v>No</v>
      </c>
      <c r="AP41" s="90">
        <v>44.444444444444436</v>
      </c>
      <c r="AQ41" s="91" t="str">
        <f t="shared" si="9"/>
        <v>No</v>
      </c>
      <c r="AR41" s="92">
        <f t="shared" si="10"/>
        <v>2</v>
      </c>
      <c r="AS41" s="92">
        <f t="shared" si="11"/>
        <v>1</v>
      </c>
      <c r="AT41" s="92">
        <f t="shared" si="12"/>
        <v>1</v>
      </c>
      <c r="AU41" s="92">
        <f t="shared" si="13"/>
        <v>1</v>
      </c>
      <c r="AV41" s="92">
        <f t="shared" si="14"/>
        <v>1</v>
      </c>
      <c r="AW41" s="92">
        <f t="shared" si="15"/>
        <v>1</v>
      </c>
      <c r="AX41" s="92">
        <f t="shared" si="16"/>
        <v>2</v>
      </c>
      <c r="AY41" s="92">
        <f t="shared" si="17"/>
        <v>3</v>
      </c>
      <c r="AZ41" s="92">
        <f t="shared" si="18"/>
        <v>1</v>
      </c>
      <c r="BA41" s="93">
        <f t="shared" si="19"/>
        <v>1</v>
      </c>
      <c r="BB41" s="92">
        <f t="shared" si="20"/>
        <v>14</v>
      </c>
      <c r="BC41" s="94">
        <f t="shared" si="21"/>
        <v>35</v>
      </c>
      <c r="BD41" s="95">
        <f t="shared" si="22"/>
        <v>2</v>
      </c>
      <c r="BE41" s="92">
        <f t="shared" si="23"/>
        <v>2</v>
      </c>
      <c r="BF41" s="92">
        <f t="shared" si="24"/>
        <v>3</v>
      </c>
      <c r="BG41" s="92">
        <f t="shared" si="25"/>
        <v>2</v>
      </c>
      <c r="BH41" s="92">
        <f t="shared" si="26"/>
        <v>3</v>
      </c>
      <c r="BI41" s="92">
        <f t="shared" si="27"/>
        <v>3</v>
      </c>
      <c r="BJ41" s="92">
        <f t="shared" si="28"/>
        <v>2</v>
      </c>
      <c r="BK41" s="92">
        <f t="shared" si="29"/>
        <v>2</v>
      </c>
      <c r="BL41" s="92">
        <f t="shared" si="30"/>
        <v>3</v>
      </c>
      <c r="BM41" s="93">
        <f t="shared" si="31"/>
        <v>1</v>
      </c>
      <c r="BN41" s="92">
        <f t="shared" si="32"/>
        <v>23</v>
      </c>
      <c r="BO41" s="94">
        <f t="shared" si="33"/>
        <v>57.5</v>
      </c>
      <c r="BP41" s="88">
        <v>57.5</v>
      </c>
      <c r="BQ41" s="90" t="str">
        <f t="shared" si="34"/>
        <v>No</v>
      </c>
      <c r="BR41" s="88">
        <v>35.0</v>
      </c>
      <c r="BS41" s="90" t="str">
        <f t="shared" si="35"/>
        <v>Outlier</v>
      </c>
      <c r="BT41" s="97">
        <v>14.0</v>
      </c>
      <c r="BU41" s="88"/>
    </row>
    <row r="42">
      <c r="A42" s="51">
        <v>15.0</v>
      </c>
      <c r="B42" s="51"/>
      <c r="C42" s="85"/>
      <c r="D42" s="86"/>
      <c r="E42" s="85"/>
      <c r="F42" s="86"/>
      <c r="Q42" s="80"/>
      <c r="R42" s="80"/>
      <c r="S42" s="80"/>
      <c r="X42" s="51">
        <v>15.0</v>
      </c>
      <c r="Y42" s="51"/>
      <c r="Z42" s="87">
        <f t="shared" ref="Z42:AM42" si="47">((Z18-1)*100)/(7-1)</f>
        <v>0</v>
      </c>
      <c r="AA42" s="88">
        <f t="shared" si="47"/>
        <v>16.66666667</v>
      </c>
      <c r="AB42" s="88">
        <f t="shared" si="47"/>
        <v>0</v>
      </c>
      <c r="AC42" s="88">
        <f t="shared" si="47"/>
        <v>100</v>
      </c>
      <c r="AD42" s="88">
        <f t="shared" si="47"/>
        <v>16.66666667</v>
      </c>
      <c r="AE42" s="88">
        <f t="shared" si="47"/>
        <v>16.66666667</v>
      </c>
      <c r="AF42" s="89">
        <f t="shared" si="47"/>
        <v>25</v>
      </c>
      <c r="AG42" s="87">
        <f t="shared" si="47"/>
        <v>33.33333333</v>
      </c>
      <c r="AH42" s="88">
        <f t="shared" si="47"/>
        <v>0</v>
      </c>
      <c r="AI42" s="88">
        <f t="shared" si="47"/>
        <v>0</v>
      </c>
      <c r="AJ42" s="88">
        <f t="shared" si="47"/>
        <v>66.66666667</v>
      </c>
      <c r="AK42" s="88">
        <f t="shared" si="47"/>
        <v>16.66666667</v>
      </c>
      <c r="AL42" s="88">
        <f t="shared" si="47"/>
        <v>16.66666667</v>
      </c>
      <c r="AM42" s="89">
        <f t="shared" si="47"/>
        <v>22.22222222</v>
      </c>
      <c r="AN42" s="90">
        <v>25.0</v>
      </c>
      <c r="AO42" s="90" t="str">
        <f t="shared" si="8"/>
        <v>No</v>
      </c>
      <c r="AP42" s="90">
        <v>22.222222222222225</v>
      </c>
      <c r="AQ42" s="91" t="str">
        <f t="shared" si="9"/>
        <v>No</v>
      </c>
      <c r="AR42" s="92">
        <f t="shared" si="10"/>
        <v>4</v>
      </c>
      <c r="AS42" s="92">
        <f t="shared" si="11"/>
        <v>3</v>
      </c>
      <c r="AT42" s="92">
        <f t="shared" si="12"/>
        <v>4</v>
      </c>
      <c r="AU42" s="92">
        <f t="shared" si="13"/>
        <v>4</v>
      </c>
      <c r="AV42" s="92">
        <f t="shared" si="14"/>
        <v>4</v>
      </c>
      <c r="AW42" s="92">
        <f t="shared" si="15"/>
        <v>4</v>
      </c>
      <c r="AX42" s="92">
        <f t="shared" si="16"/>
        <v>4</v>
      </c>
      <c r="AY42" s="92">
        <f t="shared" si="17"/>
        <v>4</v>
      </c>
      <c r="AZ42" s="92">
        <f t="shared" si="18"/>
        <v>4</v>
      </c>
      <c r="BA42" s="93">
        <f t="shared" si="19"/>
        <v>4</v>
      </c>
      <c r="BB42" s="92">
        <f t="shared" si="20"/>
        <v>39</v>
      </c>
      <c r="BC42" s="94">
        <f t="shared" si="21"/>
        <v>97.5</v>
      </c>
      <c r="BD42" s="95">
        <f t="shared" si="22"/>
        <v>4</v>
      </c>
      <c r="BE42" s="92">
        <f t="shared" si="23"/>
        <v>4</v>
      </c>
      <c r="BF42" s="92">
        <f t="shared" si="24"/>
        <v>3</v>
      </c>
      <c r="BG42" s="92">
        <f t="shared" si="25"/>
        <v>4</v>
      </c>
      <c r="BH42" s="92">
        <f t="shared" si="26"/>
        <v>4</v>
      </c>
      <c r="BI42" s="92">
        <f t="shared" si="27"/>
        <v>4</v>
      </c>
      <c r="BJ42" s="92">
        <f t="shared" si="28"/>
        <v>4</v>
      </c>
      <c r="BK42" s="92">
        <f t="shared" si="29"/>
        <v>4</v>
      </c>
      <c r="BL42" s="92">
        <f t="shared" si="30"/>
        <v>3</v>
      </c>
      <c r="BM42" s="93">
        <f t="shared" si="31"/>
        <v>4</v>
      </c>
      <c r="BN42" s="92">
        <f t="shared" si="32"/>
        <v>38</v>
      </c>
      <c r="BO42" s="94">
        <f t="shared" si="33"/>
        <v>95</v>
      </c>
      <c r="BP42" s="88">
        <v>97.5</v>
      </c>
      <c r="BQ42" s="90" t="str">
        <f t="shared" si="34"/>
        <v>No</v>
      </c>
      <c r="BR42" s="88">
        <v>95.0</v>
      </c>
      <c r="BS42" s="90" t="str">
        <f t="shared" si="35"/>
        <v>No</v>
      </c>
      <c r="BT42" s="97">
        <v>15.0</v>
      </c>
      <c r="BU42" s="88"/>
    </row>
    <row r="43">
      <c r="A43" s="51">
        <v>16.0</v>
      </c>
      <c r="B43" s="51"/>
      <c r="C43" s="85"/>
      <c r="D43" s="86"/>
      <c r="E43" s="85"/>
      <c r="F43" s="86"/>
      <c r="Q43" s="80"/>
      <c r="R43" s="80"/>
      <c r="S43" s="80"/>
      <c r="X43" s="51">
        <v>16.0</v>
      </c>
      <c r="Y43" s="51"/>
      <c r="Z43" s="87">
        <f t="shared" ref="Z43:AM43" si="48">((Z19-1)*100)/(7-1)</f>
        <v>33.33333333</v>
      </c>
      <c r="AA43" s="88">
        <f t="shared" si="48"/>
        <v>16.66666667</v>
      </c>
      <c r="AB43" s="88">
        <f t="shared" si="48"/>
        <v>0</v>
      </c>
      <c r="AC43" s="88">
        <f t="shared" si="48"/>
        <v>50</v>
      </c>
      <c r="AD43" s="88">
        <f t="shared" si="48"/>
        <v>16.66666667</v>
      </c>
      <c r="AE43" s="88">
        <f t="shared" si="48"/>
        <v>16.66666667</v>
      </c>
      <c r="AF43" s="89">
        <f t="shared" si="48"/>
        <v>22.22222222</v>
      </c>
      <c r="AG43" s="87">
        <f t="shared" si="48"/>
        <v>16.66666667</v>
      </c>
      <c r="AH43" s="88">
        <f t="shared" si="48"/>
        <v>16.66666667</v>
      </c>
      <c r="AI43" s="88">
        <f t="shared" si="48"/>
        <v>0</v>
      </c>
      <c r="AJ43" s="88">
        <f t="shared" si="48"/>
        <v>83.33333333</v>
      </c>
      <c r="AK43" s="88">
        <f t="shared" si="48"/>
        <v>16.66666667</v>
      </c>
      <c r="AL43" s="88">
        <f t="shared" si="48"/>
        <v>16.66666667</v>
      </c>
      <c r="AM43" s="89">
        <f t="shared" si="48"/>
        <v>25</v>
      </c>
      <c r="AN43" s="90">
        <v>25.0</v>
      </c>
      <c r="AO43" s="90" t="str">
        <f t="shared" si="8"/>
        <v>No</v>
      </c>
      <c r="AP43" s="90">
        <v>22.222222222222225</v>
      </c>
      <c r="AQ43" s="91" t="str">
        <f t="shared" si="9"/>
        <v>No</v>
      </c>
      <c r="AR43" s="92">
        <f t="shared" si="10"/>
        <v>1</v>
      </c>
      <c r="AS43" s="92">
        <f t="shared" si="11"/>
        <v>4</v>
      </c>
      <c r="AT43" s="92">
        <f t="shared" si="12"/>
        <v>3</v>
      </c>
      <c r="AU43" s="92">
        <f t="shared" si="13"/>
        <v>4</v>
      </c>
      <c r="AV43" s="92">
        <f t="shared" si="14"/>
        <v>2</v>
      </c>
      <c r="AW43" s="92">
        <f t="shared" si="15"/>
        <v>4</v>
      </c>
      <c r="AX43" s="92">
        <f t="shared" si="16"/>
        <v>4</v>
      </c>
      <c r="AY43" s="92">
        <f t="shared" si="17"/>
        <v>4</v>
      </c>
      <c r="AZ43" s="92">
        <f t="shared" si="18"/>
        <v>2</v>
      </c>
      <c r="BA43" s="93">
        <f t="shared" si="19"/>
        <v>4</v>
      </c>
      <c r="BB43" s="92">
        <f t="shared" si="20"/>
        <v>32</v>
      </c>
      <c r="BC43" s="94">
        <f t="shared" si="21"/>
        <v>80</v>
      </c>
      <c r="BD43" s="95">
        <f t="shared" si="22"/>
        <v>2</v>
      </c>
      <c r="BE43" s="92">
        <f t="shared" si="23"/>
        <v>3</v>
      </c>
      <c r="BF43" s="92">
        <f t="shared" si="24"/>
        <v>4</v>
      </c>
      <c r="BG43" s="92">
        <f t="shared" si="25"/>
        <v>4</v>
      </c>
      <c r="BH43" s="92">
        <f t="shared" si="26"/>
        <v>3</v>
      </c>
      <c r="BI43" s="92">
        <f t="shared" si="27"/>
        <v>4</v>
      </c>
      <c r="BJ43" s="92">
        <f t="shared" si="28"/>
        <v>4</v>
      </c>
      <c r="BK43" s="92">
        <f t="shared" si="29"/>
        <v>4</v>
      </c>
      <c r="BL43" s="92">
        <f t="shared" si="30"/>
        <v>3</v>
      </c>
      <c r="BM43" s="93">
        <f t="shared" si="31"/>
        <v>4</v>
      </c>
      <c r="BN43" s="92">
        <f t="shared" si="32"/>
        <v>35</v>
      </c>
      <c r="BO43" s="94">
        <f t="shared" si="33"/>
        <v>87.5</v>
      </c>
      <c r="BP43" s="88">
        <v>87.5</v>
      </c>
      <c r="BQ43" s="90" t="str">
        <f t="shared" si="34"/>
        <v>No</v>
      </c>
      <c r="BR43" s="88">
        <v>80.0</v>
      </c>
      <c r="BS43" s="90" t="str">
        <f t="shared" si="35"/>
        <v>No</v>
      </c>
      <c r="BT43" s="97">
        <v>16.0</v>
      </c>
      <c r="BU43" s="88"/>
    </row>
    <row r="44">
      <c r="A44" s="51">
        <v>17.0</v>
      </c>
      <c r="B44" s="51"/>
      <c r="C44" s="85"/>
      <c r="D44" s="86"/>
      <c r="E44" s="85"/>
      <c r="F44" s="86"/>
      <c r="Q44" s="80"/>
      <c r="R44" s="80"/>
      <c r="S44" s="80"/>
      <c r="X44" s="51">
        <v>17.0</v>
      </c>
      <c r="Y44" s="51"/>
      <c r="Z44" s="87">
        <f t="shared" ref="Z44:AM44" si="49">((Z20-1)*100)/(7-1)</f>
        <v>33.33333333</v>
      </c>
      <c r="AA44" s="88">
        <f t="shared" si="49"/>
        <v>16.66666667</v>
      </c>
      <c r="AB44" s="88">
        <f t="shared" si="49"/>
        <v>33.33333333</v>
      </c>
      <c r="AC44" s="88">
        <f t="shared" si="49"/>
        <v>100</v>
      </c>
      <c r="AD44" s="88">
        <f t="shared" si="49"/>
        <v>16.66666667</v>
      </c>
      <c r="AE44" s="88">
        <f t="shared" si="49"/>
        <v>16.66666667</v>
      </c>
      <c r="AF44" s="89">
        <f t="shared" si="49"/>
        <v>36.11111111</v>
      </c>
      <c r="AG44" s="87">
        <f t="shared" si="49"/>
        <v>33.33333333</v>
      </c>
      <c r="AH44" s="88">
        <f t="shared" si="49"/>
        <v>66.66666667</v>
      </c>
      <c r="AI44" s="88">
        <f t="shared" si="49"/>
        <v>16.66666667</v>
      </c>
      <c r="AJ44" s="88">
        <f t="shared" si="49"/>
        <v>66.66666667</v>
      </c>
      <c r="AK44" s="88">
        <f t="shared" si="49"/>
        <v>66.66666667</v>
      </c>
      <c r="AL44" s="88">
        <f t="shared" si="49"/>
        <v>50</v>
      </c>
      <c r="AM44" s="89">
        <f t="shared" si="49"/>
        <v>50</v>
      </c>
      <c r="AN44" s="90">
        <v>36.11111111111111</v>
      </c>
      <c r="AO44" s="90" t="str">
        <f t="shared" si="8"/>
        <v>No</v>
      </c>
      <c r="AP44" s="90">
        <v>50.0</v>
      </c>
      <c r="AQ44" s="91" t="str">
        <f t="shared" si="9"/>
        <v>No</v>
      </c>
      <c r="AR44" s="92">
        <f t="shared" si="10"/>
        <v>3</v>
      </c>
      <c r="AS44" s="92">
        <f t="shared" si="11"/>
        <v>3</v>
      </c>
      <c r="AT44" s="92">
        <f t="shared" si="12"/>
        <v>3</v>
      </c>
      <c r="AU44" s="92">
        <f t="shared" si="13"/>
        <v>4</v>
      </c>
      <c r="AV44" s="92">
        <f t="shared" si="14"/>
        <v>3</v>
      </c>
      <c r="AW44" s="92">
        <f t="shared" si="15"/>
        <v>3</v>
      </c>
      <c r="AX44" s="92">
        <f t="shared" si="16"/>
        <v>3</v>
      </c>
      <c r="AY44" s="92">
        <f t="shared" si="17"/>
        <v>4</v>
      </c>
      <c r="AZ44" s="92">
        <f t="shared" si="18"/>
        <v>3</v>
      </c>
      <c r="BA44" s="93">
        <f t="shared" si="19"/>
        <v>4</v>
      </c>
      <c r="BB44" s="92">
        <f t="shared" si="20"/>
        <v>33</v>
      </c>
      <c r="BC44" s="94">
        <f t="shared" si="21"/>
        <v>82.5</v>
      </c>
      <c r="BD44" s="95">
        <f t="shared" si="22"/>
        <v>3</v>
      </c>
      <c r="BE44" s="92">
        <f t="shared" si="23"/>
        <v>4</v>
      </c>
      <c r="BF44" s="92">
        <f t="shared" si="24"/>
        <v>2</v>
      </c>
      <c r="BG44" s="92">
        <f t="shared" si="25"/>
        <v>3</v>
      </c>
      <c r="BH44" s="92">
        <f t="shared" si="26"/>
        <v>2</v>
      </c>
      <c r="BI44" s="92">
        <f t="shared" si="27"/>
        <v>3</v>
      </c>
      <c r="BJ44" s="92">
        <f t="shared" si="28"/>
        <v>3</v>
      </c>
      <c r="BK44" s="92">
        <f t="shared" si="29"/>
        <v>2</v>
      </c>
      <c r="BL44" s="92">
        <f t="shared" si="30"/>
        <v>2</v>
      </c>
      <c r="BM44" s="93">
        <f t="shared" si="31"/>
        <v>2</v>
      </c>
      <c r="BN44" s="92">
        <f t="shared" si="32"/>
        <v>26</v>
      </c>
      <c r="BO44" s="94">
        <f t="shared" si="33"/>
        <v>65</v>
      </c>
      <c r="BP44" s="88">
        <v>82.5</v>
      </c>
      <c r="BQ44" s="90" t="str">
        <f t="shared" si="34"/>
        <v>No</v>
      </c>
      <c r="BR44" s="88">
        <v>65.0</v>
      </c>
      <c r="BS44" s="90" t="str">
        <f t="shared" si="35"/>
        <v>No</v>
      </c>
      <c r="BT44" s="97">
        <v>17.0</v>
      </c>
      <c r="BU44" s="88"/>
    </row>
    <row r="45">
      <c r="A45" s="51">
        <v>18.0</v>
      </c>
      <c r="B45" s="51"/>
      <c r="C45" s="85"/>
      <c r="D45" s="86"/>
      <c r="E45" s="85"/>
      <c r="F45" s="86"/>
      <c r="Q45" s="80"/>
      <c r="R45" s="80"/>
      <c r="S45" s="80"/>
      <c r="X45" s="51">
        <v>18.0</v>
      </c>
      <c r="Y45" s="51"/>
      <c r="Z45" s="87">
        <f t="shared" ref="Z45:AM45" si="50">((Z21-1)*100)/(7-1)</f>
        <v>66.66666667</v>
      </c>
      <c r="AA45" s="88">
        <f t="shared" si="50"/>
        <v>16.66666667</v>
      </c>
      <c r="AB45" s="88">
        <f t="shared" si="50"/>
        <v>0</v>
      </c>
      <c r="AC45" s="88">
        <f t="shared" si="50"/>
        <v>66.66666667</v>
      </c>
      <c r="AD45" s="88">
        <f t="shared" si="50"/>
        <v>33.33333333</v>
      </c>
      <c r="AE45" s="88">
        <f t="shared" si="50"/>
        <v>66.66666667</v>
      </c>
      <c r="AF45" s="89">
        <f t="shared" si="50"/>
        <v>41.66666667</v>
      </c>
      <c r="AG45" s="87">
        <f t="shared" si="50"/>
        <v>33.33333333</v>
      </c>
      <c r="AH45" s="88">
        <f t="shared" si="50"/>
        <v>33.33333333</v>
      </c>
      <c r="AI45" s="88">
        <f t="shared" si="50"/>
        <v>0</v>
      </c>
      <c r="AJ45" s="88">
        <f t="shared" si="50"/>
        <v>83.33333333</v>
      </c>
      <c r="AK45" s="88">
        <f t="shared" si="50"/>
        <v>50</v>
      </c>
      <c r="AL45" s="88">
        <f t="shared" si="50"/>
        <v>33.33333333</v>
      </c>
      <c r="AM45" s="89">
        <f t="shared" si="50"/>
        <v>38.88888889</v>
      </c>
      <c r="AN45" s="90">
        <v>38.88888888888889</v>
      </c>
      <c r="AO45" s="90" t="str">
        <f t="shared" si="8"/>
        <v>No</v>
      </c>
      <c r="AP45" s="90">
        <v>41.666666666666664</v>
      </c>
      <c r="AQ45" s="91" t="str">
        <f t="shared" si="9"/>
        <v>No</v>
      </c>
      <c r="AR45" s="92">
        <f t="shared" si="10"/>
        <v>2</v>
      </c>
      <c r="AS45" s="92">
        <f t="shared" si="11"/>
        <v>4</v>
      </c>
      <c r="AT45" s="92">
        <f t="shared" si="12"/>
        <v>3</v>
      </c>
      <c r="AU45" s="92">
        <f t="shared" si="13"/>
        <v>3</v>
      </c>
      <c r="AV45" s="92">
        <f t="shared" si="14"/>
        <v>3</v>
      </c>
      <c r="AW45" s="92">
        <f t="shared" si="15"/>
        <v>3</v>
      </c>
      <c r="AX45" s="92">
        <f t="shared" si="16"/>
        <v>3</v>
      </c>
      <c r="AY45" s="92">
        <f t="shared" si="17"/>
        <v>3</v>
      </c>
      <c r="AZ45" s="92">
        <f t="shared" si="18"/>
        <v>2</v>
      </c>
      <c r="BA45" s="93">
        <f t="shared" si="19"/>
        <v>3</v>
      </c>
      <c r="BB45" s="92">
        <f t="shared" si="20"/>
        <v>29</v>
      </c>
      <c r="BC45" s="94">
        <f t="shared" si="21"/>
        <v>72.5</v>
      </c>
      <c r="BD45" s="95">
        <f t="shared" si="22"/>
        <v>1</v>
      </c>
      <c r="BE45" s="92">
        <f t="shared" si="23"/>
        <v>2</v>
      </c>
      <c r="BF45" s="92">
        <f t="shared" si="24"/>
        <v>3</v>
      </c>
      <c r="BG45" s="92">
        <f t="shared" si="25"/>
        <v>1</v>
      </c>
      <c r="BH45" s="92">
        <f t="shared" si="26"/>
        <v>3</v>
      </c>
      <c r="BI45" s="92">
        <f t="shared" si="27"/>
        <v>3</v>
      </c>
      <c r="BJ45" s="92">
        <f t="shared" si="28"/>
        <v>3</v>
      </c>
      <c r="BK45" s="92">
        <f t="shared" si="29"/>
        <v>3</v>
      </c>
      <c r="BL45" s="92">
        <f t="shared" si="30"/>
        <v>2</v>
      </c>
      <c r="BM45" s="93">
        <f t="shared" si="31"/>
        <v>3</v>
      </c>
      <c r="BN45" s="92">
        <f t="shared" si="32"/>
        <v>24</v>
      </c>
      <c r="BO45" s="94">
        <f t="shared" si="33"/>
        <v>60</v>
      </c>
      <c r="BP45" s="88">
        <v>60.0</v>
      </c>
      <c r="BQ45" s="90" t="str">
        <f t="shared" si="34"/>
        <v>No</v>
      </c>
      <c r="BR45" s="88">
        <v>72.5</v>
      </c>
      <c r="BS45" s="90" t="str">
        <f t="shared" si="35"/>
        <v>No</v>
      </c>
      <c r="BT45" s="97">
        <v>18.0</v>
      </c>
      <c r="BU45" s="88"/>
    </row>
    <row r="46">
      <c r="A46" s="51">
        <v>19.0</v>
      </c>
      <c r="B46" s="51"/>
      <c r="C46" s="85"/>
      <c r="D46" s="86"/>
      <c r="E46" s="85"/>
      <c r="F46" s="86"/>
      <c r="Q46" s="80"/>
      <c r="R46" s="80"/>
      <c r="S46" s="80"/>
      <c r="X46" s="51">
        <v>19.0</v>
      </c>
      <c r="Y46" s="51"/>
      <c r="Z46" s="87">
        <f t="shared" ref="Z46:AM46" si="51">((Z22-1)*100)/(7-1)</f>
        <v>66.66666667</v>
      </c>
      <c r="AA46" s="88">
        <f t="shared" si="51"/>
        <v>16.66666667</v>
      </c>
      <c r="AB46" s="88">
        <f t="shared" si="51"/>
        <v>33.33333333</v>
      </c>
      <c r="AC46" s="88">
        <f t="shared" si="51"/>
        <v>66.66666667</v>
      </c>
      <c r="AD46" s="88">
        <f t="shared" si="51"/>
        <v>33.33333333</v>
      </c>
      <c r="AE46" s="88">
        <f t="shared" si="51"/>
        <v>83.33333333</v>
      </c>
      <c r="AF46" s="89">
        <f t="shared" si="51"/>
        <v>50</v>
      </c>
      <c r="AG46" s="87">
        <f t="shared" si="51"/>
        <v>16.66666667</v>
      </c>
      <c r="AH46" s="88">
        <f t="shared" si="51"/>
        <v>0</v>
      </c>
      <c r="AI46" s="88">
        <f t="shared" si="51"/>
        <v>66.66666667</v>
      </c>
      <c r="AJ46" s="88">
        <f t="shared" si="51"/>
        <v>66.66666667</v>
      </c>
      <c r="AK46" s="88">
        <f t="shared" si="51"/>
        <v>33.33333333</v>
      </c>
      <c r="AL46" s="88">
        <f t="shared" si="51"/>
        <v>33.33333333</v>
      </c>
      <c r="AM46" s="89">
        <f t="shared" si="51"/>
        <v>36.11111111</v>
      </c>
      <c r="AN46" s="90">
        <v>50.0</v>
      </c>
      <c r="AO46" s="90" t="str">
        <f t="shared" si="8"/>
        <v>No</v>
      </c>
      <c r="AP46" s="90">
        <v>36.11111111111111</v>
      </c>
      <c r="AQ46" s="91" t="str">
        <f t="shared" si="9"/>
        <v>No</v>
      </c>
      <c r="AR46" s="92">
        <f t="shared" si="10"/>
        <v>2</v>
      </c>
      <c r="AS46" s="92">
        <f t="shared" si="11"/>
        <v>4</v>
      </c>
      <c r="AT46" s="92">
        <f t="shared" si="12"/>
        <v>3</v>
      </c>
      <c r="AU46" s="92">
        <f t="shared" si="13"/>
        <v>3</v>
      </c>
      <c r="AV46" s="92">
        <f t="shared" si="14"/>
        <v>3</v>
      </c>
      <c r="AW46" s="92">
        <f t="shared" si="15"/>
        <v>3</v>
      </c>
      <c r="AX46" s="92">
        <f t="shared" si="16"/>
        <v>2</v>
      </c>
      <c r="AY46" s="92">
        <f t="shared" si="17"/>
        <v>3</v>
      </c>
      <c r="AZ46" s="92">
        <f t="shared" si="18"/>
        <v>0</v>
      </c>
      <c r="BA46" s="93">
        <f t="shared" si="19"/>
        <v>4</v>
      </c>
      <c r="BB46" s="92">
        <f t="shared" si="20"/>
        <v>27</v>
      </c>
      <c r="BC46" s="94">
        <f t="shared" si="21"/>
        <v>67.5</v>
      </c>
      <c r="BD46" s="95">
        <f t="shared" si="22"/>
        <v>2</v>
      </c>
      <c r="BE46" s="92">
        <f t="shared" si="23"/>
        <v>4</v>
      </c>
      <c r="BF46" s="92">
        <f t="shared" si="24"/>
        <v>4</v>
      </c>
      <c r="BG46" s="92">
        <f t="shared" si="25"/>
        <v>4</v>
      </c>
      <c r="BH46" s="92">
        <f t="shared" si="26"/>
        <v>4</v>
      </c>
      <c r="BI46" s="92">
        <f t="shared" si="27"/>
        <v>4</v>
      </c>
      <c r="BJ46" s="92">
        <f t="shared" si="28"/>
        <v>2</v>
      </c>
      <c r="BK46" s="92">
        <f t="shared" si="29"/>
        <v>1</v>
      </c>
      <c r="BL46" s="92">
        <f t="shared" si="30"/>
        <v>2</v>
      </c>
      <c r="BM46" s="93">
        <f t="shared" si="31"/>
        <v>4</v>
      </c>
      <c r="BN46" s="92">
        <f t="shared" si="32"/>
        <v>31</v>
      </c>
      <c r="BO46" s="94">
        <f t="shared" si="33"/>
        <v>77.5</v>
      </c>
      <c r="BP46" s="88">
        <v>67.5</v>
      </c>
      <c r="BQ46" s="90" t="str">
        <f t="shared" si="34"/>
        <v>No</v>
      </c>
      <c r="BR46" s="88">
        <v>77.5</v>
      </c>
      <c r="BS46" s="90" t="str">
        <f t="shared" si="35"/>
        <v>No</v>
      </c>
      <c r="BT46" s="97">
        <v>19.0</v>
      </c>
      <c r="BU46" s="88"/>
    </row>
    <row r="47">
      <c r="A47" s="51">
        <v>20.0</v>
      </c>
      <c r="B47" s="51"/>
      <c r="C47" s="85"/>
      <c r="D47" s="86"/>
      <c r="E47" s="85"/>
      <c r="F47" s="86"/>
      <c r="Q47" s="80"/>
      <c r="R47" s="80"/>
      <c r="S47" s="80"/>
      <c r="X47" s="51">
        <v>20.0</v>
      </c>
      <c r="Y47" s="51"/>
      <c r="Z47" s="87">
        <f t="shared" ref="Z47:AM47" si="52">((Z23-1)*100)/(7-1)</f>
        <v>50</v>
      </c>
      <c r="AA47" s="88">
        <f t="shared" si="52"/>
        <v>83.33333333</v>
      </c>
      <c r="AB47" s="88">
        <f t="shared" si="52"/>
        <v>33.33333333</v>
      </c>
      <c r="AC47" s="88">
        <f t="shared" si="52"/>
        <v>100</v>
      </c>
      <c r="AD47" s="88">
        <f t="shared" si="52"/>
        <v>33.33333333</v>
      </c>
      <c r="AE47" s="88">
        <f t="shared" si="52"/>
        <v>0</v>
      </c>
      <c r="AF47" s="89">
        <f t="shared" si="52"/>
        <v>50</v>
      </c>
      <c r="AG47" s="87">
        <f t="shared" si="52"/>
        <v>33.33333333</v>
      </c>
      <c r="AH47" s="88">
        <f t="shared" si="52"/>
        <v>50</v>
      </c>
      <c r="AI47" s="88">
        <f t="shared" si="52"/>
        <v>33.33333333</v>
      </c>
      <c r="AJ47" s="88">
        <f t="shared" si="52"/>
        <v>83.33333333</v>
      </c>
      <c r="AK47" s="88">
        <f t="shared" si="52"/>
        <v>33.33333333</v>
      </c>
      <c r="AL47" s="88">
        <f t="shared" si="52"/>
        <v>0</v>
      </c>
      <c r="AM47" s="89">
        <f t="shared" si="52"/>
        <v>38.88888889</v>
      </c>
      <c r="AN47" s="90">
        <v>38.88888888888889</v>
      </c>
      <c r="AO47" s="90" t="str">
        <f t="shared" si="8"/>
        <v>No</v>
      </c>
      <c r="AP47" s="90">
        <v>50.0</v>
      </c>
      <c r="AQ47" s="91" t="str">
        <f t="shared" si="9"/>
        <v>No</v>
      </c>
      <c r="AR47" s="92">
        <f t="shared" si="10"/>
        <v>3</v>
      </c>
      <c r="AS47" s="92">
        <f t="shared" si="11"/>
        <v>2</v>
      </c>
      <c r="AT47" s="92">
        <f t="shared" si="12"/>
        <v>3</v>
      </c>
      <c r="AU47" s="92">
        <f t="shared" si="13"/>
        <v>4</v>
      </c>
      <c r="AV47" s="92">
        <f t="shared" si="14"/>
        <v>2</v>
      </c>
      <c r="AW47" s="92">
        <f t="shared" si="15"/>
        <v>3</v>
      </c>
      <c r="AX47" s="92">
        <f t="shared" si="16"/>
        <v>3</v>
      </c>
      <c r="AY47" s="92">
        <f t="shared" si="17"/>
        <v>4</v>
      </c>
      <c r="AZ47" s="92">
        <f t="shared" si="18"/>
        <v>3</v>
      </c>
      <c r="BA47" s="93">
        <f t="shared" si="19"/>
        <v>4</v>
      </c>
      <c r="BB47" s="92">
        <f t="shared" si="20"/>
        <v>31</v>
      </c>
      <c r="BC47" s="94">
        <f t="shared" si="21"/>
        <v>77.5</v>
      </c>
      <c r="BD47" s="95">
        <f t="shared" si="22"/>
        <v>4</v>
      </c>
      <c r="BE47" s="92">
        <f t="shared" si="23"/>
        <v>3</v>
      </c>
      <c r="BF47" s="92">
        <f t="shared" si="24"/>
        <v>4</v>
      </c>
      <c r="BG47" s="92">
        <f t="shared" si="25"/>
        <v>2</v>
      </c>
      <c r="BH47" s="92">
        <f t="shared" si="26"/>
        <v>4</v>
      </c>
      <c r="BI47" s="92">
        <f t="shared" si="27"/>
        <v>4</v>
      </c>
      <c r="BJ47" s="92">
        <f t="shared" si="28"/>
        <v>3</v>
      </c>
      <c r="BK47" s="92">
        <f t="shared" si="29"/>
        <v>4</v>
      </c>
      <c r="BL47" s="92">
        <f t="shared" si="30"/>
        <v>3</v>
      </c>
      <c r="BM47" s="93">
        <f t="shared" si="31"/>
        <v>4</v>
      </c>
      <c r="BN47" s="92">
        <f t="shared" si="32"/>
        <v>35</v>
      </c>
      <c r="BO47" s="94">
        <f t="shared" si="33"/>
        <v>87.5</v>
      </c>
      <c r="BP47" s="88">
        <v>87.5</v>
      </c>
      <c r="BQ47" s="90" t="str">
        <f t="shared" si="34"/>
        <v>No</v>
      </c>
      <c r="BR47" s="88">
        <v>77.5</v>
      </c>
      <c r="BS47" s="90" t="str">
        <f t="shared" si="35"/>
        <v>No</v>
      </c>
      <c r="BT47" s="97">
        <v>20.0</v>
      </c>
      <c r="BU47" s="88"/>
    </row>
    <row r="48">
      <c r="A48" s="51">
        <v>21.0</v>
      </c>
      <c r="B48" s="51"/>
      <c r="C48" s="85"/>
      <c r="D48" s="86"/>
      <c r="E48" s="85"/>
      <c r="F48" s="86"/>
      <c r="Q48" s="80"/>
      <c r="R48" s="80"/>
      <c r="S48" s="80"/>
      <c r="X48" s="51">
        <v>21.0</v>
      </c>
      <c r="Y48" s="51"/>
      <c r="Z48" s="98">
        <f t="shared" ref="Z48:AM48" si="53">((Z24-1)*100)/(7-1)</f>
        <v>66.66666667</v>
      </c>
      <c r="AA48" s="99">
        <f t="shared" si="53"/>
        <v>16.66666667</v>
      </c>
      <c r="AB48" s="99">
        <f t="shared" si="53"/>
        <v>0</v>
      </c>
      <c r="AC48" s="99">
        <f t="shared" si="53"/>
        <v>100</v>
      </c>
      <c r="AD48" s="99">
        <f t="shared" si="53"/>
        <v>66.66666667</v>
      </c>
      <c r="AE48" s="99">
        <f t="shared" si="53"/>
        <v>0</v>
      </c>
      <c r="AF48" s="100">
        <f t="shared" si="53"/>
        <v>41.66666667</v>
      </c>
      <c r="AG48" s="98">
        <f t="shared" si="53"/>
        <v>83.33333333</v>
      </c>
      <c r="AH48" s="99">
        <f t="shared" si="53"/>
        <v>16.66666667</v>
      </c>
      <c r="AI48" s="99">
        <f t="shared" si="53"/>
        <v>0</v>
      </c>
      <c r="AJ48" s="99">
        <f t="shared" si="53"/>
        <v>66.66666667</v>
      </c>
      <c r="AK48" s="99">
        <f t="shared" si="53"/>
        <v>83.33333333</v>
      </c>
      <c r="AL48" s="99">
        <f t="shared" si="53"/>
        <v>66.66666667</v>
      </c>
      <c r="AM48" s="100">
        <f t="shared" si="53"/>
        <v>52.77777778</v>
      </c>
      <c r="AN48" s="90">
        <v>41.666666666666664</v>
      </c>
      <c r="AO48" s="90" t="str">
        <f t="shared" si="8"/>
        <v>No</v>
      </c>
      <c r="AP48" s="90">
        <v>52.77777777777778</v>
      </c>
      <c r="AQ48" s="91" t="str">
        <f t="shared" si="9"/>
        <v>No</v>
      </c>
      <c r="AR48" s="101">
        <f t="shared" si="10"/>
        <v>4</v>
      </c>
      <c r="AS48" s="101">
        <f t="shared" si="11"/>
        <v>3</v>
      </c>
      <c r="AT48" s="101">
        <f t="shared" si="12"/>
        <v>3</v>
      </c>
      <c r="AU48" s="101">
        <f t="shared" si="13"/>
        <v>4</v>
      </c>
      <c r="AV48" s="101">
        <f t="shared" si="14"/>
        <v>4</v>
      </c>
      <c r="AW48" s="101">
        <f t="shared" si="15"/>
        <v>4</v>
      </c>
      <c r="AX48" s="101">
        <f t="shared" si="16"/>
        <v>4</v>
      </c>
      <c r="AY48" s="101">
        <f t="shared" si="17"/>
        <v>4</v>
      </c>
      <c r="AZ48" s="101">
        <f t="shared" si="18"/>
        <v>3</v>
      </c>
      <c r="BA48" s="102">
        <f t="shared" si="19"/>
        <v>4</v>
      </c>
      <c r="BB48" s="101">
        <f t="shared" si="20"/>
        <v>37</v>
      </c>
      <c r="BC48" s="103">
        <f t="shared" si="21"/>
        <v>92.5</v>
      </c>
      <c r="BD48" s="104">
        <f t="shared" si="22"/>
        <v>1</v>
      </c>
      <c r="BE48" s="101">
        <f t="shared" si="23"/>
        <v>4</v>
      </c>
      <c r="BF48" s="101">
        <f t="shared" si="24"/>
        <v>1</v>
      </c>
      <c r="BG48" s="101">
        <f t="shared" si="25"/>
        <v>1</v>
      </c>
      <c r="BH48" s="101">
        <f t="shared" si="26"/>
        <v>2</v>
      </c>
      <c r="BI48" s="101">
        <f t="shared" si="27"/>
        <v>2</v>
      </c>
      <c r="BJ48" s="101">
        <f t="shared" si="28"/>
        <v>2</v>
      </c>
      <c r="BK48" s="101">
        <f t="shared" si="29"/>
        <v>1</v>
      </c>
      <c r="BL48" s="101">
        <f t="shared" si="30"/>
        <v>0</v>
      </c>
      <c r="BM48" s="102">
        <f t="shared" si="31"/>
        <v>1</v>
      </c>
      <c r="BN48" s="101">
        <f t="shared" si="32"/>
        <v>15</v>
      </c>
      <c r="BO48" s="103">
        <f t="shared" si="33"/>
        <v>37.5</v>
      </c>
      <c r="BP48" s="88">
        <v>92.5</v>
      </c>
      <c r="BQ48" s="90" t="str">
        <f t="shared" si="34"/>
        <v>No</v>
      </c>
      <c r="BR48" s="88">
        <v>37.5</v>
      </c>
      <c r="BS48" s="90" t="str">
        <f t="shared" si="35"/>
        <v>Outlier</v>
      </c>
      <c r="BT48" s="97">
        <v>21.0</v>
      </c>
      <c r="BU48" s="88"/>
    </row>
    <row r="49">
      <c r="A49" s="80"/>
      <c r="B49" s="80"/>
      <c r="C49" s="105"/>
      <c r="D49" s="106"/>
      <c r="E49" s="105"/>
      <c r="F49" s="86"/>
      <c r="Q49" s="80"/>
      <c r="R49" s="80"/>
      <c r="S49" s="80"/>
      <c r="Z49" s="88"/>
      <c r="AM49" s="22" t="s">
        <v>139</v>
      </c>
      <c r="AN49" s="26">
        <v>35.7</v>
      </c>
      <c r="AO49" s="90"/>
      <c r="AP49" s="26">
        <v>39.17</v>
      </c>
      <c r="AQ49" s="91"/>
      <c r="BO49" s="22" t="s">
        <v>129</v>
      </c>
      <c r="BP49" s="26">
        <v>82.13</v>
      </c>
      <c r="BQ49" s="88"/>
      <c r="BR49" s="26">
        <v>75.88</v>
      </c>
      <c r="BS49" s="88"/>
    </row>
    <row r="50">
      <c r="A50" s="80"/>
      <c r="B50" s="80"/>
      <c r="C50" s="105"/>
      <c r="D50" s="106"/>
      <c r="E50" s="105"/>
      <c r="F50" s="86"/>
      <c r="Q50" s="80"/>
      <c r="R50" s="80"/>
      <c r="S50" s="80"/>
      <c r="X50" s="26" t="s">
        <v>140</v>
      </c>
      <c r="AM50" s="22" t="s">
        <v>141</v>
      </c>
      <c r="AN50" s="26">
        <v>12.79</v>
      </c>
      <c r="AO50" s="90"/>
      <c r="AP50" s="26">
        <v>13.03</v>
      </c>
      <c r="AQ50" s="91"/>
      <c r="BO50" s="22" t="s">
        <v>132</v>
      </c>
      <c r="BP50" s="26">
        <v>14.33</v>
      </c>
      <c r="BQ50" s="88"/>
      <c r="BR50" s="26">
        <v>18.7</v>
      </c>
      <c r="BS50" s="88"/>
    </row>
    <row r="51">
      <c r="A51" s="80"/>
      <c r="B51" s="80"/>
      <c r="C51" s="105"/>
      <c r="D51" s="106"/>
      <c r="E51" s="105"/>
      <c r="F51" s="86"/>
      <c r="Q51" s="80"/>
      <c r="R51" s="80"/>
      <c r="S51" s="80"/>
      <c r="X51" s="43" t="s">
        <v>87</v>
      </c>
      <c r="Y51" s="43"/>
      <c r="Z51" s="43" t="s">
        <v>88</v>
      </c>
      <c r="AA51" s="107" t="s">
        <v>87</v>
      </c>
      <c r="AB51" s="107" t="s">
        <v>88</v>
      </c>
      <c r="AC51" s="107" t="s">
        <v>113</v>
      </c>
      <c r="AD51" s="107" t="s">
        <v>115</v>
      </c>
      <c r="AO51" s="90"/>
      <c r="AQ51" s="91"/>
      <c r="BQ51" s="88"/>
      <c r="BS51" s="88"/>
    </row>
    <row r="52">
      <c r="A52" s="80"/>
      <c r="B52" s="80"/>
      <c r="C52" s="105"/>
      <c r="D52" s="106"/>
      <c r="E52" s="105"/>
      <c r="F52" s="86"/>
      <c r="Q52" s="80"/>
      <c r="R52" s="80"/>
      <c r="S52" s="80"/>
      <c r="X52" s="59" t="s">
        <v>40</v>
      </c>
      <c r="Y52" s="59"/>
      <c r="Z52" s="59" t="s">
        <v>41</v>
      </c>
      <c r="AA52" s="88">
        <v>50.0</v>
      </c>
      <c r="AB52" s="88">
        <v>33.333333333333336</v>
      </c>
      <c r="AC52" s="108">
        <v>50.0</v>
      </c>
      <c r="AD52" s="108">
        <v>33.333333333333336</v>
      </c>
      <c r="AO52" s="90"/>
      <c r="AQ52" s="91"/>
      <c r="BQ52" s="88"/>
      <c r="BS52" s="88"/>
    </row>
    <row r="53">
      <c r="A53" s="80"/>
      <c r="B53" s="80"/>
      <c r="C53" s="105"/>
      <c r="D53" s="106"/>
      <c r="E53" s="105"/>
      <c r="F53" s="86"/>
      <c r="Q53" s="80"/>
      <c r="R53" s="80"/>
      <c r="S53" s="80"/>
      <c r="X53" s="59" t="s">
        <v>37</v>
      </c>
      <c r="Y53" s="59"/>
      <c r="Z53" s="59" t="s">
        <v>36</v>
      </c>
      <c r="AA53" s="88">
        <v>33.333333333333336</v>
      </c>
      <c r="AB53" s="88">
        <v>83.33333333333333</v>
      </c>
      <c r="AC53" s="108">
        <v>83.33333333333333</v>
      </c>
      <c r="AD53" s="108">
        <v>33.333333333333336</v>
      </c>
      <c r="AO53" s="90"/>
      <c r="AQ53" s="91"/>
      <c r="BQ53" s="88"/>
      <c r="BS53" s="88"/>
    </row>
    <row r="54">
      <c r="A54" s="80"/>
      <c r="B54" s="80"/>
      <c r="C54" s="105"/>
      <c r="D54" s="106"/>
      <c r="E54" s="105"/>
      <c r="F54" s="86"/>
      <c r="Q54" s="80"/>
      <c r="R54" s="80"/>
      <c r="S54" s="80"/>
      <c r="X54" s="59" t="s">
        <v>41</v>
      </c>
      <c r="Y54" s="59"/>
      <c r="Z54" s="59" t="s">
        <v>40</v>
      </c>
      <c r="AA54" s="88">
        <v>50.0</v>
      </c>
      <c r="AB54" s="88">
        <v>33.333333333333336</v>
      </c>
      <c r="AC54" s="108">
        <v>33.333333333333336</v>
      </c>
      <c r="AD54" s="108">
        <v>50.0</v>
      </c>
      <c r="AO54" s="90"/>
      <c r="AQ54" s="91"/>
      <c r="BQ54" s="88"/>
      <c r="BS54" s="88"/>
    </row>
    <row r="55">
      <c r="A55" s="80"/>
      <c r="B55" s="80"/>
      <c r="C55" s="105"/>
      <c r="D55" s="106"/>
      <c r="E55" s="105"/>
      <c r="F55" s="86"/>
      <c r="Q55" s="80"/>
      <c r="R55" s="80"/>
      <c r="S55" s="80"/>
      <c r="X55" s="59" t="s">
        <v>40</v>
      </c>
      <c r="Y55" s="59"/>
      <c r="Z55" s="59" t="s">
        <v>41</v>
      </c>
      <c r="AA55" s="88">
        <v>50.0</v>
      </c>
      <c r="AB55" s="88">
        <v>66.66666666666667</v>
      </c>
      <c r="AC55" s="108">
        <v>50.0</v>
      </c>
      <c r="AD55" s="108">
        <v>66.66666666666667</v>
      </c>
      <c r="AO55" s="90"/>
      <c r="AQ55" s="91"/>
      <c r="BQ55" s="88"/>
      <c r="BS55" s="88"/>
    </row>
    <row r="56">
      <c r="A56" s="80"/>
      <c r="B56" s="80"/>
      <c r="C56" s="105"/>
      <c r="D56" s="106"/>
      <c r="E56" s="105"/>
      <c r="F56" s="86"/>
      <c r="Q56" s="80"/>
      <c r="R56" s="80"/>
      <c r="S56" s="80"/>
      <c r="X56" s="59" t="s">
        <v>37</v>
      </c>
      <c r="Y56" s="59"/>
      <c r="Z56" s="59" t="s">
        <v>36</v>
      </c>
      <c r="AA56" s="88">
        <v>16.666666666666668</v>
      </c>
      <c r="AB56" s="88">
        <v>33.333333333333336</v>
      </c>
      <c r="AC56" s="108">
        <v>33.333333333333336</v>
      </c>
      <c r="AD56" s="108">
        <v>16.666666666666668</v>
      </c>
      <c r="AO56" s="90"/>
      <c r="AQ56" s="91"/>
      <c r="BQ56" s="88"/>
      <c r="BS56" s="88"/>
    </row>
    <row r="57">
      <c r="A57" s="80"/>
      <c r="B57" s="80"/>
      <c r="C57" s="105"/>
      <c r="D57" s="106"/>
      <c r="E57" s="105"/>
      <c r="F57" s="86"/>
      <c r="Q57" s="80"/>
      <c r="R57" s="80"/>
      <c r="S57" s="80"/>
      <c r="X57" s="59" t="s">
        <v>36</v>
      </c>
      <c r="Y57" s="59"/>
      <c r="Z57" s="59" t="s">
        <v>37</v>
      </c>
      <c r="AA57" s="88">
        <v>50.0</v>
      </c>
      <c r="AB57" s="88">
        <v>66.66666666666667</v>
      </c>
      <c r="AC57" s="108">
        <v>50.0</v>
      </c>
      <c r="AD57" s="108">
        <v>66.66666666666667</v>
      </c>
      <c r="AO57" s="90"/>
      <c r="AQ57" s="91"/>
      <c r="BQ57" s="88"/>
      <c r="BS57" s="88"/>
    </row>
    <row r="58">
      <c r="A58" s="80"/>
      <c r="B58" s="80"/>
      <c r="C58" s="105"/>
      <c r="D58" s="106"/>
      <c r="E58" s="105"/>
      <c r="F58" s="86"/>
      <c r="Q58" s="80"/>
      <c r="R58" s="80"/>
      <c r="S58" s="80"/>
      <c r="X58" s="59" t="s">
        <v>41</v>
      </c>
      <c r="Y58" s="59"/>
      <c r="Z58" s="59" t="s">
        <v>40</v>
      </c>
      <c r="AA58" s="88">
        <v>83.33333333333333</v>
      </c>
      <c r="AB58" s="88">
        <v>0.0</v>
      </c>
      <c r="AC58" s="108">
        <v>0.0</v>
      </c>
      <c r="AD58" s="108">
        <v>83.33333333333333</v>
      </c>
      <c r="AO58" s="90"/>
      <c r="AQ58" s="91"/>
      <c r="BQ58" s="88"/>
      <c r="BS58" s="88"/>
    </row>
    <row r="59">
      <c r="A59" s="80"/>
      <c r="B59" s="80"/>
      <c r="C59" s="105"/>
      <c r="D59" s="106"/>
      <c r="E59" s="105"/>
      <c r="F59" s="86"/>
      <c r="Q59" s="80"/>
      <c r="R59" s="80"/>
      <c r="S59" s="80"/>
      <c r="X59" s="59" t="s">
        <v>40</v>
      </c>
      <c r="Y59" s="59"/>
      <c r="Z59" s="59" t="s">
        <v>41</v>
      </c>
      <c r="AA59" s="88">
        <v>16.666666666666668</v>
      </c>
      <c r="AB59" s="88">
        <v>50.0</v>
      </c>
      <c r="AC59" s="108">
        <v>16.666666666666668</v>
      </c>
      <c r="AD59" s="108">
        <v>50.0</v>
      </c>
      <c r="AO59" s="90"/>
      <c r="AQ59" s="91"/>
      <c r="BQ59" s="88"/>
      <c r="BS59" s="88"/>
    </row>
    <row r="60">
      <c r="A60" s="80"/>
      <c r="B60" s="80"/>
      <c r="C60" s="105"/>
      <c r="D60" s="106"/>
      <c r="E60" s="105"/>
      <c r="F60" s="86"/>
      <c r="Q60" s="80"/>
      <c r="R60" s="80"/>
      <c r="S60" s="80"/>
      <c r="X60" s="59" t="s">
        <v>37</v>
      </c>
      <c r="Y60" s="59"/>
      <c r="Z60" s="59" t="s">
        <v>36</v>
      </c>
      <c r="AA60" s="88">
        <v>0.0</v>
      </c>
      <c r="AB60" s="88">
        <v>16.666666666666668</v>
      </c>
      <c r="AC60" s="108">
        <v>16.666666666666668</v>
      </c>
      <c r="AD60" s="108">
        <v>0.0</v>
      </c>
      <c r="AO60" s="90"/>
      <c r="AQ60" s="91"/>
      <c r="BQ60" s="88"/>
      <c r="BS60" s="88"/>
    </row>
    <row r="61">
      <c r="A61" s="80"/>
      <c r="B61" s="80"/>
      <c r="C61" s="105"/>
      <c r="D61" s="106"/>
      <c r="E61" s="105"/>
      <c r="F61" s="86"/>
      <c r="Q61" s="80"/>
      <c r="R61" s="80"/>
      <c r="S61" s="80"/>
      <c r="X61" s="59" t="s">
        <v>36</v>
      </c>
      <c r="Y61" s="59"/>
      <c r="Z61" s="59" t="s">
        <v>37</v>
      </c>
      <c r="AA61" s="88">
        <v>33.333333333333336</v>
      </c>
      <c r="AB61" s="88">
        <v>16.666666666666668</v>
      </c>
      <c r="AC61" s="108">
        <v>33.333333333333336</v>
      </c>
      <c r="AD61" s="108">
        <v>16.666666666666668</v>
      </c>
      <c r="AO61" s="90"/>
      <c r="AQ61" s="91"/>
      <c r="BQ61" s="88"/>
      <c r="BS61" s="88"/>
    </row>
    <row r="62">
      <c r="A62" s="80"/>
      <c r="B62" s="80"/>
      <c r="C62" s="105"/>
      <c r="D62" s="106"/>
      <c r="E62" s="105"/>
      <c r="F62" s="86"/>
      <c r="Q62" s="80"/>
      <c r="R62" s="80"/>
      <c r="S62" s="80"/>
      <c r="X62" s="59" t="s">
        <v>41</v>
      </c>
      <c r="Y62" s="59"/>
      <c r="Z62" s="59" t="s">
        <v>40</v>
      </c>
      <c r="AA62" s="88">
        <v>66.66666666666667</v>
      </c>
      <c r="AB62" s="88">
        <v>33.333333333333336</v>
      </c>
      <c r="AC62" s="108">
        <v>33.333333333333336</v>
      </c>
      <c r="AD62" s="108">
        <v>66.66666666666667</v>
      </c>
      <c r="AO62" s="90"/>
      <c r="AQ62" s="91"/>
      <c r="BQ62" s="88"/>
      <c r="BS62" s="88"/>
    </row>
    <row r="63">
      <c r="A63" s="80"/>
      <c r="B63" s="80"/>
      <c r="C63" s="105"/>
      <c r="D63" s="106"/>
      <c r="E63" s="105"/>
      <c r="F63" s="86"/>
      <c r="Q63" s="80"/>
      <c r="R63" s="80"/>
      <c r="S63" s="80"/>
      <c r="X63" s="59" t="s">
        <v>40</v>
      </c>
      <c r="Y63" s="59"/>
      <c r="Z63" s="59" t="s">
        <v>41</v>
      </c>
      <c r="AA63" s="88">
        <v>16.666666666666668</v>
      </c>
      <c r="AB63" s="88">
        <v>50.0</v>
      </c>
      <c r="AC63" s="108">
        <v>16.666666666666668</v>
      </c>
      <c r="AD63" s="108">
        <v>50.0</v>
      </c>
      <c r="AO63" s="90"/>
      <c r="AQ63" s="91"/>
      <c r="BQ63" s="88"/>
      <c r="BS63" s="88"/>
    </row>
    <row r="64">
      <c r="A64" s="80"/>
      <c r="B64" s="80"/>
      <c r="C64" s="105"/>
      <c r="D64" s="106"/>
      <c r="E64" s="105"/>
      <c r="F64" s="86"/>
      <c r="Q64" s="80"/>
      <c r="R64" s="80"/>
      <c r="S64" s="80"/>
      <c r="X64" s="59" t="s">
        <v>37</v>
      </c>
      <c r="Y64" s="59"/>
      <c r="Z64" s="59" t="s">
        <v>36</v>
      </c>
      <c r="AA64" s="88">
        <v>33.333333333333336</v>
      </c>
      <c r="AB64" s="88">
        <v>66.66666666666667</v>
      </c>
      <c r="AC64" s="108">
        <v>66.66666666666667</v>
      </c>
      <c r="AD64" s="108">
        <v>33.333333333333336</v>
      </c>
      <c r="AO64" s="90"/>
      <c r="AQ64" s="91"/>
      <c r="BQ64" s="88"/>
      <c r="BS64" s="88"/>
    </row>
    <row r="65">
      <c r="A65" s="80"/>
      <c r="B65" s="80"/>
      <c r="C65" s="105"/>
      <c r="D65" s="106"/>
      <c r="E65" s="105"/>
      <c r="F65" s="86"/>
      <c r="Q65" s="80"/>
      <c r="R65" s="80"/>
      <c r="S65" s="80"/>
      <c r="X65" s="59" t="s">
        <v>36</v>
      </c>
      <c r="Y65" s="59"/>
      <c r="Z65" s="59" t="s">
        <v>37</v>
      </c>
      <c r="AA65" s="88">
        <v>16.666666666666668</v>
      </c>
      <c r="AB65" s="88">
        <v>0.0</v>
      </c>
      <c r="AC65" s="108">
        <v>16.666666666666668</v>
      </c>
      <c r="AD65" s="108">
        <v>0.0</v>
      </c>
      <c r="AO65" s="90"/>
      <c r="AQ65" s="91"/>
      <c r="BQ65" s="88"/>
      <c r="BS65" s="88"/>
    </row>
    <row r="66">
      <c r="A66" s="80"/>
      <c r="B66" s="80"/>
      <c r="C66" s="105"/>
      <c r="D66" s="106"/>
      <c r="E66" s="105"/>
      <c r="F66" s="86"/>
      <c r="Q66" s="80"/>
      <c r="R66" s="80"/>
      <c r="S66" s="80"/>
      <c r="X66" s="59" t="s">
        <v>41</v>
      </c>
      <c r="Y66" s="59"/>
      <c r="Z66" s="59" t="s">
        <v>40</v>
      </c>
      <c r="AA66" s="88">
        <v>16.666666666666668</v>
      </c>
      <c r="AB66" s="88">
        <v>16.666666666666668</v>
      </c>
      <c r="AC66" s="108">
        <v>16.666666666666668</v>
      </c>
      <c r="AD66" s="108">
        <v>16.666666666666668</v>
      </c>
      <c r="AO66" s="90"/>
      <c r="AQ66" s="91"/>
      <c r="BQ66" s="88"/>
      <c r="BS66" s="88"/>
    </row>
    <row r="67">
      <c r="A67" s="80"/>
      <c r="B67" s="80"/>
      <c r="C67" s="105"/>
      <c r="D67" s="106"/>
      <c r="E67" s="105"/>
      <c r="F67" s="86"/>
      <c r="Q67" s="80"/>
      <c r="R67" s="80"/>
      <c r="S67" s="80"/>
      <c r="X67" s="59" t="s">
        <v>40</v>
      </c>
      <c r="Y67" s="59"/>
      <c r="Z67" s="59" t="s">
        <v>41</v>
      </c>
      <c r="AA67" s="88">
        <v>16.666666666666668</v>
      </c>
      <c r="AB67" s="88">
        <v>66.66666666666667</v>
      </c>
      <c r="AC67" s="108">
        <v>16.666666666666668</v>
      </c>
      <c r="AD67" s="108">
        <v>66.66666666666667</v>
      </c>
      <c r="AO67" s="90"/>
      <c r="AQ67" s="91"/>
      <c r="BQ67" s="88"/>
      <c r="BS67" s="88"/>
    </row>
    <row r="68">
      <c r="A68" s="80"/>
      <c r="B68" s="80"/>
      <c r="C68" s="105"/>
      <c r="D68" s="106"/>
      <c r="E68" s="105"/>
      <c r="F68" s="86"/>
      <c r="Q68" s="80"/>
      <c r="R68" s="80"/>
      <c r="S68" s="80"/>
      <c r="X68" s="59" t="s">
        <v>37</v>
      </c>
      <c r="Y68" s="59"/>
      <c r="Z68" s="59" t="s">
        <v>36</v>
      </c>
      <c r="AA68" s="88">
        <v>16.666666666666668</v>
      </c>
      <c r="AB68" s="88">
        <v>33.333333333333336</v>
      </c>
      <c r="AC68" s="108">
        <v>33.333333333333336</v>
      </c>
      <c r="AD68" s="108">
        <v>16.666666666666668</v>
      </c>
      <c r="AO68" s="90"/>
      <c r="AQ68" s="91"/>
      <c r="BQ68" s="88"/>
      <c r="BS68" s="88"/>
    </row>
    <row r="69">
      <c r="A69" s="80"/>
      <c r="B69" s="80"/>
      <c r="C69" s="105"/>
      <c r="D69" s="106"/>
      <c r="E69" s="105"/>
      <c r="F69" s="106"/>
      <c r="Q69" s="80"/>
      <c r="R69" s="80"/>
      <c r="S69" s="80"/>
      <c r="X69" s="59" t="s">
        <v>36</v>
      </c>
      <c r="Y69" s="59"/>
      <c r="Z69" s="59" t="s">
        <v>37</v>
      </c>
      <c r="AA69" s="88">
        <v>16.666666666666668</v>
      </c>
      <c r="AB69" s="88">
        <v>0.0</v>
      </c>
      <c r="AC69" s="108">
        <v>16.666666666666668</v>
      </c>
      <c r="AD69" s="108">
        <v>0.0</v>
      </c>
      <c r="AO69" s="90"/>
      <c r="AQ69" s="91"/>
      <c r="BQ69" s="88"/>
      <c r="BS69" s="88"/>
    </row>
    <row r="70">
      <c r="A70" s="80"/>
      <c r="B70" s="80"/>
      <c r="C70" s="105"/>
      <c r="D70" s="106"/>
      <c r="E70" s="105"/>
      <c r="F70" s="106"/>
      <c r="Q70" s="80"/>
      <c r="R70" s="80"/>
      <c r="S70" s="80"/>
      <c r="X70" s="59" t="s">
        <v>41</v>
      </c>
      <c r="Y70" s="59"/>
      <c r="Z70" s="59" t="s">
        <v>40</v>
      </c>
      <c r="AA70" s="88">
        <v>83.33333333333333</v>
      </c>
      <c r="AB70" s="88">
        <v>50.0</v>
      </c>
      <c r="AC70" s="108">
        <v>50.0</v>
      </c>
      <c r="AD70" s="108">
        <v>83.33333333333333</v>
      </c>
      <c r="AO70" s="90"/>
      <c r="AQ70" s="91"/>
      <c r="BQ70" s="88"/>
      <c r="BS70" s="88"/>
    </row>
    <row r="71">
      <c r="A71" s="80"/>
      <c r="B71" s="80"/>
      <c r="C71" s="105"/>
      <c r="D71" s="106"/>
      <c r="E71" s="105"/>
      <c r="F71" s="106"/>
      <c r="Q71" s="80"/>
      <c r="R71" s="80"/>
      <c r="S71" s="80"/>
      <c r="X71" s="59" t="s">
        <v>36</v>
      </c>
      <c r="Y71" s="59"/>
      <c r="Z71" s="59" t="s">
        <v>37</v>
      </c>
      <c r="AA71" s="88">
        <v>16.666666666666668</v>
      </c>
      <c r="AB71" s="88">
        <v>16.666666666666668</v>
      </c>
      <c r="AC71" s="108">
        <v>16.666666666666668</v>
      </c>
      <c r="AD71" s="108">
        <v>16.666666666666668</v>
      </c>
      <c r="AO71" s="90"/>
      <c r="AQ71" s="91"/>
      <c r="BQ71" s="88"/>
      <c r="BS71" s="88"/>
    </row>
    <row r="72">
      <c r="A72" s="80"/>
      <c r="B72" s="80"/>
      <c r="C72" s="105"/>
      <c r="D72" s="106"/>
      <c r="E72" s="105"/>
      <c r="F72" s="106"/>
      <c r="Q72" s="80"/>
      <c r="R72" s="80"/>
      <c r="S72" s="80"/>
      <c r="AQ72" s="69"/>
    </row>
    <row r="73">
      <c r="A73" s="80"/>
      <c r="B73" s="80"/>
      <c r="C73" s="105"/>
      <c r="D73" s="106"/>
      <c r="E73" s="105"/>
      <c r="F73" s="106"/>
      <c r="Q73" s="80"/>
      <c r="R73" s="80"/>
      <c r="S73" s="80"/>
      <c r="AQ73" s="69"/>
    </row>
    <row r="74">
      <c r="A74" s="80"/>
      <c r="B74" s="80"/>
      <c r="C74" s="105"/>
      <c r="D74" s="106"/>
      <c r="E74" s="105"/>
      <c r="F74" s="106"/>
      <c r="Q74" s="80"/>
      <c r="R74" s="80"/>
      <c r="S74" s="80"/>
      <c r="AQ74" s="69"/>
    </row>
    <row r="75">
      <c r="A75" s="80"/>
      <c r="B75" s="80"/>
      <c r="C75" s="105"/>
      <c r="D75" s="106"/>
      <c r="E75" s="105"/>
      <c r="F75" s="106"/>
      <c r="Q75" s="80"/>
      <c r="R75" s="80"/>
      <c r="S75" s="80"/>
      <c r="AQ75" s="69"/>
    </row>
    <row r="76">
      <c r="A76" s="80"/>
      <c r="B76" s="80"/>
      <c r="C76" s="105"/>
      <c r="D76" s="106"/>
      <c r="E76" s="105"/>
      <c r="F76" s="106"/>
      <c r="Q76" s="80"/>
      <c r="R76" s="80"/>
      <c r="S76" s="80"/>
      <c r="AQ76" s="69"/>
    </row>
    <row r="77">
      <c r="A77" s="80"/>
      <c r="B77" s="80"/>
      <c r="C77" s="105"/>
      <c r="D77" s="106"/>
      <c r="E77" s="105"/>
      <c r="F77" s="106"/>
      <c r="Q77" s="80"/>
      <c r="R77" s="80"/>
      <c r="S77" s="80"/>
      <c r="AQ77" s="69"/>
    </row>
    <row r="78">
      <c r="A78" s="80"/>
      <c r="B78" s="80"/>
      <c r="C78" s="105"/>
      <c r="D78" s="106"/>
      <c r="E78" s="105"/>
      <c r="F78" s="106"/>
      <c r="Q78" s="80"/>
      <c r="R78" s="80"/>
      <c r="S78" s="80"/>
      <c r="AQ78" s="69"/>
    </row>
    <row r="79">
      <c r="A79" s="80"/>
      <c r="B79" s="80"/>
      <c r="C79" s="105"/>
      <c r="D79" s="106"/>
      <c r="E79" s="105"/>
      <c r="F79" s="106"/>
      <c r="Q79" s="80"/>
      <c r="R79" s="80"/>
      <c r="S79" s="80"/>
      <c r="AQ79" s="69"/>
    </row>
    <row r="80">
      <c r="A80" s="80"/>
      <c r="B80" s="80"/>
      <c r="C80" s="105"/>
      <c r="D80" s="106"/>
      <c r="E80" s="105"/>
      <c r="F80" s="106"/>
      <c r="Q80" s="80"/>
      <c r="R80" s="80"/>
      <c r="S80" s="80"/>
      <c r="AQ80" s="69"/>
    </row>
    <row r="81">
      <c r="A81" s="80"/>
      <c r="B81" s="80"/>
      <c r="C81" s="105"/>
      <c r="D81" s="106"/>
      <c r="E81" s="105"/>
      <c r="F81" s="106"/>
      <c r="Q81" s="80"/>
      <c r="R81" s="80"/>
      <c r="S81" s="80"/>
      <c r="AQ81" s="69"/>
    </row>
    <row r="82">
      <c r="A82" s="80"/>
      <c r="B82" s="80"/>
      <c r="C82" s="105"/>
      <c r="D82" s="106"/>
      <c r="E82" s="105"/>
      <c r="F82" s="106"/>
      <c r="Q82" s="80"/>
      <c r="R82" s="80"/>
      <c r="S82" s="80"/>
      <c r="AQ82" s="69"/>
    </row>
    <row r="83">
      <c r="A83" s="80"/>
      <c r="B83" s="80"/>
      <c r="C83" s="105"/>
      <c r="D83" s="106"/>
      <c r="E83" s="105"/>
      <c r="F83" s="106"/>
      <c r="Q83" s="80"/>
      <c r="R83" s="80"/>
      <c r="S83" s="80"/>
      <c r="AQ83" s="69"/>
    </row>
    <row r="84">
      <c r="A84" s="80"/>
      <c r="B84" s="80"/>
      <c r="C84" s="105"/>
      <c r="D84" s="106"/>
      <c r="E84" s="105"/>
      <c r="F84" s="106"/>
      <c r="Q84" s="80"/>
      <c r="R84" s="80"/>
      <c r="S84" s="80"/>
      <c r="AQ84" s="69"/>
    </row>
    <row r="85">
      <c r="A85" s="80"/>
      <c r="B85" s="80"/>
      <c r="C85" s="105"/>
      <c r="D85" s="106"/>
      <c r="E85" s="105"/>
      <c r="F85" s="106"/>
      <c r="Q85" s="80"/>
      <c r="R85" s="80"/>
      <c r="S85" s="80"/>
      <c r="AQ85" s="69"/>
    </row>
    <row r="86">
      <c r="A86" s="80"/>
      <c r="B86" s="80"/>
      <c r="C86" s="105"/>
      <c r="D86" s="106"/>
      <c r="E86" s="105"/>
      <c r="F86" s="106"/>
      <c r="Q86" s="80"/>
      <c r="R86" s="80"/>
      <c r="S86" s="80"/>
      <c r="AQ86" s="69"/>
    </row>
    <row r="87">
      <c r="A87" s="80"/>
      <c r="B87" s="80"/>
      <c r="C87" s="105"/>
      <c r="D87" s="106"/>
      <c r="E87" s="105"/>
      <c r="F87" s="106"/>
      <c r="Q87" s="80"/>
      <c r="R87" s="80"/>
      <c r="S87" s="80"/>
      <c r="AQ87" s="69"/>
    </row>
    <row r="88">
      <c r="A88" s="80"/>
      <c r="B88" s="80"/>
      <c r="C88" s="105"/>
      <c r="D88" s="106"/>
      <c r="E88" s="105"/>
      <c r="F88" s="106"/>
      <c r="Q88" s="80"/>
      <c r="R88" s="80"/>
      <c r="S88" s="80"/>
      <c r="AQ88" s="69"/>
    </row>
    <row r="89">
      <c r="A89" s="80"/>
      <c r="B89" s="80"/>
      <c r="C89" s="105"/>
      <c r="D89" s="106"/>
      <c r="E89" s="105"/>
      <c r="F89" s="106"/>
      <c r="Q89" s="80"/>
      <c r="R89" s="80"/>
      <c r="S89" s="80"/>
      <c r="AQ89" s="69"/>
    </row>
    <row r="90">
      <c r="A90" s="80"/>
      <c r="B90" s="80"/>
      <c r="C90" s="105"/>
      <c r="D90" s="106"/>
      <c r="E90" s="105"/>
      <c r="F90" s="106"/>
      <c r="Q90" s="80"/>
      <c r="R90" s="80"/>
      <c r="S90" s="80"/>
      <c r="AQ90" s="69"/>
    </row>
    <row r="91">
      <c r="A91" s="80"/>
      <c r="B91" s="80"/>
      <c r="C91" s="105"/>
      <c r="D91" s="106"/>
      <c r="E91" s="105"/>
      <c r="F91" s="106"/>
      <c r="Q91" s="80"/>
      <c r="R91" s="80"/>
      <c r="S91" s="80"/>
      <c r="AQ91" s="69"/>
    </row>
    <row r="92">
      <c r="A92" s="80"/>
      <c r="B92" s="80"/>
      <c r="C92" s="105"/>
      <c r="D92" s="106"/>
      <c r="E92" s="105"/>
      <c r="F92" s="106"/>
      <c r="Q92" s="80"/>
      <c r="R92" s="80"/>
      <c r="S92" s="80"/>
      <c r="AQ92" s="69"/>
    </row>
    <row r="93">
      <c r="A93" s="80"/>
      <c r="B93" s="80"/>
      <c r="C93" s="105"/>
      <c r="D93" s="106"/>
      <c r="E93" s="105"/>
      <c r="F93" s="106"/>
      <c r="Q93" s="80"/>
      <c r="R93" s="80"/>
      <c r="S93" s="80"/>
      <c r="AQ93" s="69"/>
    </row>
    <row r="94">
      <c r="A94" s="80"/>
      <c r="B94" s="80"/>
      <c r="C94" s="105"/>
      <c r="D94" s="106"/>
      <c r="E94" s="105"/>
      <c r="F94" s="106"/>
      <c r="Q94" s="80"/>
      <c r="R94" s="80"/>
      <c r="S94" s="80"/>
      <c r="AQ94" s="69"/>
    </row>
    <row r="95">
      <c r="A95" s="80"/>
      <c r="B95" s="80"/>
      <c r="C95" s="105"/>
      <c r="D95" s="106"/>
      <c r="E95" s="105"/>
      <c r="F95" s="106"/>
      <c r="Q95" s="80"/>
      <c r="R95" s="80"/>
      <c r="S95" s="80"/>
      <c r="AQ95" s="69"/>
    </row>
    <row r="96">
      <c r="A96" s="80"/>
      <c r="B96" s="80"/>
      <c r="C96" s="105"/>
      <c r="D96" s="106"/>
      <c r="E96" s="105"/>
      <c r="F96" s="106"/>
      <c r="Q96" s="80"/>
      <c r="R96" s="80"/>
      <c r="S96" s="80"/>
      <c r="AQ96" s="69"/>
    </row>
    <row r="97">
      <c r="A97" s="80"/>
      <c r="B97" s="80"/>
      <c r="C97" s="105"/>
      <c r="D97" s="106"/>
      <c r="E97" s="105"/>
      <c r="F97" s="106"/>
      <c r="Q97" s="80"/>
      <c r="R97" s="80"/>
      <c r="S97" s="80"/>
      <c r="AQ97" s="69"/>
    </row>
    <row r="98">
      <c r="A98" s="80"/>
      <c r="B98" s="80"/>
      <c r="C98" s="105"/>
      <c r="D98" s="106"/>
      <c r="E98" s="105"/>
      <c r="F98" s="106"/>
      <c r="Q98" s="80"/>
      <c r="R98" s="80"/>
      <c r="S98" s="80"/>
      <c r="AQ98" s="69"/>
    </row>
    <row r="99">
      <c r="A99" s="80"/>
      <c r="B99" s="80"/>
      <c r="C99" s="105"/>
      <c r="D99" s="106"/>
      <c r="E99" s="105"/>
      <c r="F99" s="106"/>
      <c r="Q99" s="80"/>
      <c r="R99" s="80"/>
      <c r="S99" s="80"/>
      <c r="AQ99" s="69"/>
    </row>
    <row r="100">
      <c r="A100" s="80"/>
      <c r="B100" s="80"/>
      <c r="C100" s="105"/>
      <c r="D100" s="106"/>
      <c r="E100" s="105"/>
      <c r="F100" s="106"/>
      <c r="Q100" s="80"/>
      <c r="R100" s="80"/>
      <c r="S100" s="80"/>
      <c r="AQ100" s="69"/>
    </row>
    <row r="101">
      <c r="A101" s="80"/>
      <c r="B101" s="80"/>
      <c r="C101" s="105"/>
      <c r="D101" s="106"/>
      <c r="E101" s="105"/>
      <c r="F101" s="106"/>
      <c r="Q101" s="80"/>
      <c r="R101" s="80"/>
      <c r="S101" s="80"/>
      <c r="AQ101" s="69"/>
    </row>
    <row r="102">
      <c r="A102" s="80"/>
      <c r="B102" s="80"/>
      <c r="C102" s="105"/>
      <c r="D102" s="106"/>
      <c r="E102" s="105"/>
      <c r="F102" s="106"/>
      <c r="Q102" s="80"/>
      <c r="R102" s="80"/>
      <c r="S102" s="80"/>
      <c r="AQ102" s="69"/>
    </row>
    <row r="103">
      <c r="A103" s="80"/>
      <c r="B103" s="80"/>
      <c r="C103" s="105"/>
      <c r="D103" s="106"/>
      <c r="E103" s="105"/>
      <c r="F103" s="106"/>
      <c r="Q103" s="80"/>
      <c r="R103" s="80"/>
      <c r="S103" s="80"/>
      <c r="AQ103" s="69"/>
    </row>
    <row r="104">
      <c r="A104" s="80"/>
      <c r="B104" s="80"/>
      <c r="C104" s="105"/>
      <c r="D104" s="106"/>
      <c r="E104" s="105"/>
      <c r="F104" s="106"/>
      <c r="Q104" s="80"/>
      <c r="R104" s="80"/>
      <c r="S104" s="80"/>
      <c r="AQ104" s="69"/>
    </row>
    <row r="105">
      <c r="A105" s="80"/>
      <c r="B105" s="80"/>
      <c r="C105" s="105"/>
      <c r="D105" s="106"/>
      <c r="E105" s="105"/>
      <c r="F105" s="106"/>
      <c r="Q105" s="80"/>
      <c r="R105" s="80"/>
      <c r="S105" s="80"/>
      <c r="AQ105" s="69"/>
    </row>
    <row r="106">
      <c r="A106" s="80"/>
      <c r="B106" s="80"/>
      <c r="C106" s="105"/>
      <c r="D106" s="106"/>
      <c r="E106" s="105"/>
      <c r="F106" s="106"/>
      <c r="Q106" s="80"/>
      <c r="R106" s="80"/>
      <c r="S106" s="80"/>
      <c r="AQ106" s="69"/>
    </row>
    <row r="107">
      <c r="A107" s="80"/>
      <c r="B107" s="80"/>
      <c r="C107" s="105"/>
      <c r="D107" s="106"/>
      <c r="E107" s="105"/>
      <c r="F107" s="106"/>
      <c r="Q107" s="80"/>
      <c r="R107" s="80"/>
      <c r="S107" s="80"/>
      <c r="AQ107" s="69"/>
    </row>
    <row r="108">
      <c r="A108" s="80"/>
      <c r="B108" s="80"/>
      <c r="C108" s="105"/>
      <c r="D108" s="106"/>
      <c r="E108" s="105"/>
      <c r="F108" s="106"/>
      <c r="Q108" s="80"/>
      <c r="R108" s="80"/>
      <c r="S108" s="80"/>
      <c r="AQ108" s="69"/>
    </row>
    <row r="109">
      <c r="A109" s="80"/>
      <c r="B109" s="80"/>
      <c r="C109" s="105"/>
      <c r="D109" s="106"/>
      <c r="E109" s="105"/>
      <c r="F109" s="106"/>
      <c r="Q109" s="80"/>
      <c r="R109" s="80"/>
      <c r="S109" s="80"/>
      <c r="AQ109" s="69"/>
    </row>
    <row r="110">
      <c r="A110" s="80"/>
      <c r="B110" s="80"/>
      <c r="C110" s="105"/>
      <c r="D110" s="106"/>
      <c r="E110" s="105"/>
      <c r="F110" s="106"/>
      <c r="Q110" s="80"/>
      <c r="R110" s="80"/>
      <c r="S110" s="80"/>
      <c r="AQ110" s="69"/>
    </row>
    <row r="111">
      <c r="A111" s="80"/>
      <c r="B111" s="80"/>
      <c r="C111" s="105"/>
      <c r="D111" s="106"/>
      <c r="E111" s="105"/>
      <c r="F111" s="106"/>
      <c r="Q111" s="80"/>
      <c r="R111" s="80"/>
      <c r="S111" s="80"/>
      <c r="AQ111" s="69"/>
    </row>
    <row r="112">
      <c r="A112" s="80"/>
      <c r="B112" s="80"/>
      <c r="C112" s="105"/>
      <c r="D112" s="106"/>
      <c r="E112" s="105"/>
      <c r="F112" s="106"/>
      <c r="Q112" s="80"/>
      <c r="R112" s="80"/>
      <c r="S112" s="80"/>
      <c r="AQ112" s="69"/>
    </row>
    <row r="113">
      <c r="A113" s="80"/>
      <c r="B113" s="80"/>
      <c r="C113" s="105"/>
      <c r="D113" s="106"/>
      <c r="E113" s="105"/>
      <c r="F113" s="106"/>
      <c r="Q113" s="80"/>
      <c r="R113" s="80"/>
      <c r="S113" s="80"/>
      <c r="AQ113" s="69"/>
    </row>
    <row r="114">
      <c r="A114" s="80"/>
      <c r="B114" s="80"/>
      <c r="C114" s="105"/>
      <c r="D114" s="106"/>
      <c r="E114" s="105"/>
      <c r="F114" s="106"/>
      <c r="Q114" s="80"/>
      <c r="R114" s="80"/>
      <c r="S114" s="80"/>
      <c r="AQ114" s="69"/>
    </row>
    <row r="115">
      <c r="A115" s="80"/>
      <c r="B115" s="80"/>
      <c r="C115" s="105"/>
      <c r="D115" s="106"/>
      <c r="E115" s="105"/>
      <c r="F115" s="106"/>
      <c r="Q115" s="80"/>
      <c r="R115" s="80"/>
      <c r="S115" s="80"/>
      <c r="AQ115" s="69"/>
    </row>
    <row r="116">
      <c r="A116" s="80"/>
      <c r="B116" s="80"/>
      <c r="C116" s="105"/>
      <c r="D116" s="106"/>
      <c r="E116" s="105"/>
      <c r="F116" s="106"/>
      <c r="Q116" s="80"/>
      <c r="R116" s="80"/>
      <c r="S116" s="80"/>
      <c r="AQ116" s="69"/>
    </row>
    <row r="117">
      <c r="A117" s="80"/>
      <c r="B117" s="80"/>
      <c r="C117" s="105"/>
      <c r="D117" s="106"/>
      <c r="E117" s="105"/>
      <c r="F117" s="106"/>
      <c r="Q117" s="80"/>
      <c r="R117" s="80"/>
      <c r="S117" s="80"/>
      <c r="AQ117" s="69"/>
    </row>
    <row r="118">
      <c r="A118" s="80"/>
      <c r="B118" s="80"/>
      <c r="C118" s="105"/>
      <c r="D118" s="106"/>
      <c r="E118" s="105"/>
      <c r="F118" s="106"/>
      <c r="Q118" s="80"/>
      <c r="R118" s="80"/>
      <c r="S118" s="80"/>
      <c r="AQ118" s="69"/>
    </row>
    <row r="119">
      <c r="A119" s="80"/>
      <c r="B119" s="80"/>
      <c r="C119" s="105"/>
      <c r="D119" s="106"/>
      <c r="E119" s="105"/>
      <c r="F119" s="106"/>
      <c r="Q119" s="80"/>
      <c r="R119" s="80"/>
      <c r="S119" s="80"/>
      <c r="AQ119" s="69"/>
    </row>
    <row r="120">
      <c r="A120" s="80"/>
      <c r="B120" s="80"/>
      <c r="C120" s="105"/>
      <c r="D120" s="106"/>
      <c r="E120" s="105"/>
      <c r="F120" s="106"/>
      <c r="Q120" s="80"/>
      <c r="R120" s="80"/>
      <c r="S120" s="80"/>
      <c r="AQ120" s="69"/>
    </row>
    <row r="121">
      <c r="A121" s="80"/>
      <c r="B121" s="80"/>
      <c r="C121" s="105"/>
      <c r="D121" s="106"/>
      <c r="E121" s="105"/>
      <c r="F121" s="106"/>
      <c r="Q121" s="80"/>
      <c r="R121" s="80"/>
      <c r="S121" s="80"/>
      <c r="AQ121" s="69"/>
    </row>
    <row r="122">
      <c r="A122" s="80"/>
      <c r="B122" s="80"/>
      <c r="C122" s="105"/>
      <c r="D122" s="106"/>
      <c r="E122" s="105"/>
      <c r="F122" s="106"/>
      <c r="Q122" s="80"/>
      <c r="R122" s="80"/>
      <c r="S122" s="80"/>
      <c r="AQ122" s="69"/>
    </row>
    <row r="123">
      <c r="A123" s="80"/>
      <c r="B123" s="80"/>
      <c r="C123" s="105"/>
      <c r="D123" s="106"/>
      <c r="E123" s="105"/>
      <c r="F123" s="106"/>
      <c r="Q123" s="80"/>
      <c r="R123" s="80"/>
      <c r="S123" s="80"/>
      <c r="AQ123" s="69"/>
    </row>
    <row r="124">
      <c r="A124" s="80"/>
      <c r="B124" s="80"/>
      <c r="C124" s="105"/>
      <c r="D124" s="106"/>
      <c r="E124" s="105"/>
      <c r="F124" s="106"/>
      <c r="Q124" s="80"/>
      <c r="R124" s="80"/>
      <c r="S124" s="80"/>
      <c r="AQ124" s="69"/>
    </row>
    <row r="125">
      <c r="A125" s="80"/>
      <c r="B125" s="80"/>
      <c r="C125" s="105"/>
      <c r="D125" s="106"/>
      <c r="E125" s="105"/>
      <c r="F125" s="106"/>
      <c r="Q125" s="80"/>
      <c r="R125" s="80"/>
      <c r="S125" s="80"/>
      <c r="AQ125" s="69"/>
    </row>
    <row r="126">
      <c r="A126" s="80"/>
      <c r="B126" s="80"/>
      <c r="C126" s="105"/>
      <c r="D126" s="106"/>
      <c r="E126" s="105"/>
      <c r="F126" s="106"/>
      <c r="Q126" s="80"/>
      <c r="R126" s="80"/>
      <c r="S126" s="80"/>
      <c r="AQ126" s="69"/>
    </row>
    <row r="127">
      <c r="A127" s="80"/>
      <c r="B127" s="80"/>
      <c r="C127" s="105"/>
      <c r="D127" s="106"/>
      <c r="E127" s="105"/>
      <c r="F127" s="106"/>
      <c r="Q127" s="80"/>
      <c r="R127" s="80"/>
      <c r="S127" s="80"/>
      <c r="AQ127" s="69"/>
    </row>
    <row r="128">
      <c r="A128" s="109"/>
      <c r="B128" s="109"/>
      <c r="C128" s="110"/>
      <c r="D128" s="106"/>
      <c r="E128" s="110"/>
      <c r="F128" s="106"/>
      <c r="Q128" s="80"/>
      <c r="R128" s="109"/>
      <c r="S128" s="109"/>
      <c r="AQ128" s="69"/>
    </row>
    <row r="129">
      <c r="A129" s="51"/>
      <c r="B129" s="51"/>
      <c r="C129" s="111"/>
      <c r="D129" s="106"/>
      <c r="E129" s="111"/>
      <c r="F129" s="106"/>
      <c r="Q129" s="80"/>
      <c r="R129" s="51"/>
      <c r="S129" s="51"/>
      <c r="AQ129" s="69"/>
    </row>
    <row r="130">
      <c r="A130" s="51"/>
      <c r="B130" s="51"/>
      <c r="C130" s="111"/>
      <c r="D130" s="106"/>
      <c r="E130" s="111"/>
      <c r="F130" s="106"/>
      <c r="Q130" s="80"/>
      <c r="R130" s="51"/>
      <c r="S130" s="51"/>
      <c r="AQ130" s="69"/>
    </row>
    <row r="131">
      <c r="A131" s="51"/>
      <c r="B131" s="51"/>
      <c r="C131" s="111"/>
      <c r="D131" s="106"/>
      <c r="E131" s="111"/>
      <c r="F131" s="106"/>
      <c r="Q131" s="80"/>
      <c r="R131" s="51"/>
      <c r="S131" s="51"/>
      <c r="AQ131" s="69"/>
    </row>
    <row r="132">
      <c r="A132" s="51"/>
      <c r="B132" s="51"/>
      <c r="C132" s="111"/>
      <c r="D132" s="106"/>
      <c r="E132" s="111"/>
      <c r="F132" s="106"/>
      <c r="Q132" s="80"/>
      <c r="R132" s="51"/>
      <c r="S132" s="51"/>
      <c r="AQ132" s="69"/>
    </row>
    <row r="133">
      <c r="A133" s="51"/>
      <c r="B133" s="51"/>
      <c r="C133" s="111"/>
      <c r="D133" s="106"/>
      <c r="E133" s="111"/>
      <c r="F133" s="106"/>
      <c r="Q133" s="80"/>
      <c r="R133" s="51"/>
      <c r="S133" s="51"/>
      <c r="AQ133" s="69"/>
    </row>
    <row r="134">
      <c r="A134" s="51"/>
      <c r="B134" s="51"/>
      <c r="C134" s="111"/>
      <c r="D134" s="106"/>
      <c r="E134" s="111"/>
      <c r="F134" s="106"/>
      <c r="Q134" s="80"/>
      <c r="R134" s="51"/>
      <c r="S134" s="51"/>
      <c r="AQ134" s="69"/>
    </row>
    <row r="135">
      <c r="A135" s="51"/>
      <c r="B135" s="51"/>
      <c r="C135" s="111"/>
      <c r="D135" s="106"/>
      <c r="E135" s="111"/>
      <c r="F135" s="106"/>
      <c r="Q135" s="80"/>
      <c r="R135" s="51"/>
      <c r="S135" s="51"/>
      <c r="AQ135" s="69"/>
    </row>
    <row r="136">
      <c r="A136" s="51"/>
      <c r="B136" s="51"/>
      <c r="C136" s="111"/>
      <c r="D136" s="106"/>
      <c r="E136" s="111"/>
      <c r="F136" s="106"/>
      <c r="Q136" s="80"/>
      <c r="R136" s="51"/>
      <c r="S136" s="51"/>
      <c r="AQ136" s="69"/>
    </row>
    <row r="137">
      <c r="A137" s="51"/>
      <c r="B137" s="51"/>
      <c r="C137" s="111"/>
      <c r="D137" s="106"/>
      <c r="E137" s="111"/>
      <c r="F137" s="106"/>
      <c r="Q137" s="80"/>
      <c r="R137" s="51"/>
      <c r="S137" s="51"/>
      <c r="AQ137" s="69"/>
    </row>
    <row r="138">
      <c r="A138" s="51"/>
      <c r="B138" s="51"/>
      <c r="C138" s="111"/>
      <c r="D138" s="106"/>
      <c r="E138" s="111"/>
      <c r="F138" s="106"/>
      <c r="Q138" s="80"/>
      <c r="R138" s="51"/>
      <c r="S138" s="51"/>
      <c r="AQ138" s="69"/>
    </row>
    <row r="139">
      <c r="A139" s="51"/>
      <c r="B139" s="51"/>
      <c r="C139" s="111"/>
      <c r="D139" s="106"/>
      <c r="E139" s="111"/>
      <c r="F139" s="106"/>
      <c r="Q139" s="80"/>
      <c r="R139" s="51"/>
      <c r="S139" s="51"/>
      <c r="AQ139" s="69"/>
    </row>
    <row r="140">
      <c r="A140" s="51"/>
      <c r="B140" s="51"/>
      <c r="C140" s="111"/>
      <c r="D140" s="106"/>
      <c r="E140" s="111"/>
      <c r="F140" s="106"/>
      <c r="Q140" s="80"/>
      <c r="R140" s="51"/>
      <c r="S140" s="51"/>
      <c r="AQ140" s="69"/>
    </row>
    <row r="141">
      <c r="A141" s="51"/>
      <c r="B141" s="51"/>
      <c r="C141" s="111"/>
      <c r="D141" s="106"/>
      <c r="E141" s="111"/>
      <c r="F141" s="106"/>
      <c r="Q141" s="80"/>
      <c r="R141" s="51"/>
      <c r="S141" s="51"/>
      <c r="AQ141" s="69"/>
    </row>
    <row r="142">
      <c r="A142" s="51"/>
      <c r="B142" s="51"/>
      <c r="C142" s="111"/>
      <c r="D142" s="106"/>
      <c r="E142" s="111"/>
      <c r="F142" s="106"/>
      <c r="Q142" s="80"/>
      <c r="R142" s="51"/>
      <c r="S142" s="51"/>
      <c r="AQ142" s="69"/>
    </row>
    <row r="143">
      <c r="A143" s="51"/>
      <c r="B143" s="51"/>
      <c r="C143" s="111"/>
      <c r="D143" s="106"/>
      <c r="E143" s="111"/>
      <c r="F143" s="106"/>
      <c r="Q143" s="80"/>
      <c r="R143" s="51"/>
      <c r="S143" s="51"/>
      <c r="AQ143" s="69"/>
    </row>
    <row r="144">
      <c r="A144" s="51"/>
      <c r="B144" s="51"/>
      <c r="C144" s="111"/>
      <c r="D144" s="106"/>
      <c r="E144" s="111"/>
      <c r="F144" s="106"/>
      <c r="Q144" s="80"/>
      <c r="R144" s="51"/>
      <c r="S144" s="51"/>
      <c r="AQ144" s="69"/>
    </row>
    <row r="145">
      <c r="A145" s="51"/>
      <c r="B145" s="51"/>
      <c r="C145" s="111"/>
      <c r="D145" s="106"/>
      <c r="E145" s="111"/>
      <c r="F145" s="106"/>
      <c r="Q145" s="80"/>
      <c r="R145" s="51"/>
      <c r="S145" s="51"/>
      <c r="AQ145" s="69"/>
    </row>
    <row r="146">
      <c r="A146" s="51"/>
      <c r="B146" s="51"/>
      <c r="C146" s="111"/>
      <c r="D146" s="106"/>
      <c r="E146" s="111"/>
      <c r="F146" s="106"/>
      <c r="Q146" s="80"/>
      <c r="R146" s="51"/>
      <c r="S146" s="51"/>
      <c r="AQ146" s="69"/>
    </row>
    <row r="147">
      <c r="A147" s="51"/>
      <c r="B147" s="51"/>
      <c r="C147" s="111"/>
      <c r="D147" s="106"/>
      <c r="E147" s="111"/>
      <c r="F147" s="106"/>
      <c r="Q147" s="80"/>
      <c r="R147" s="51"/>
      <c r="S147" s="51"/>
      <c r="AQ147" s="69"/>
    </row>
    <row r="148">
      <c r="A148" s="51"/>
      <c r="B148" s="51"/>
      <c r="C148" s="111"/>
      <c r="D148" s="106"/>
      <c r="E148" s="111"/>
      <c r="F148" s="106"/>
      <c r="Q148" s="80"/>
      <c r="R148" s="51"/>
      <c r="S148" s="51"/>
      <c r="AQ148" s="69"/>
    </row>
    <row r="149">
      <c r="A149" s="51"/>
      <c r="B149" s="51"/>
      <c r="C149" s="111"/>
      <c r="D149" s="106"/>
      <c r="E149" s="111"/>
      <c r="F149" s="106"/>
      <c r="Q149" s="80"/>
      <c r="R149" s="51"/>
      <c r="S149" s="51"/>
      <c r="AQ149" s="69"/>
    </row>
    <row r="150">
      <c r="A150" s="51"/>
      <c r="B150" s="51"/>
      <c r="C150" s="111"/>
      <c r="D150" s="106"/>
      <c r="E150" s="111"/>
      <c r="F150" s="106"/>
      <c r="Q150" s="80"/>
      <c r="R150" s="51"/>
      <c r="S150" s="51"/>
      <c r="AQ150" s="69"/>
    </row>
    <row r="151">
      <c r="A151" s="80"/>
      <c r="B151" s="80"/>
      <c r="C151" s="105"/>
      <c r="D151" s="106"/>
      <c r="E151" s="105"/>
      <c r="F151" s="106"/>
      <c r="Q151" s="80"/>
      <c r="R151" s="80"/>
      <c r="S151" s="80"/>
      <c r="AQ151" s="69"/>
    </row>
    <row r="152">
      <c r="A152" s="80"/>
      <c r="B152" s="80"/>
      <c r="C152" s="105"/>
      <c r="D152" s="106"/>
      <c r="E152" s="105"/>
      <c r="F152" s="106"/>
      <c r="Q152" s="80"/>
      <c r="R152" s="80"/>
      <c r="S152" s="80"/>
      <c r="AQ152" s="69"/>
    </row>
    <row r="153">
      <c r="A153" s="80"/>
      <c r="B153" s="80"/>
      <c r="C153" s="105"/>
      <c r="D153" s="106"/>
      <c r="E153" s="105"/>
      <c r="F153" s="106"/>
      <c r="Q153" s="80"/>
      <c r="R153" s="80"/>
      <c r="S153" s="80"/>
      <c r="AQ153" s="69"/>
    </row>
    <row r="154">
      <c r="A154" s="80"/>
      <c r="B154" s="80"/>
      <c r="C154" s="105"/>
      <c r="D154" s="106"/>
      <c r="E154" s="105"/>
      <c r="F154" s="106"/>
      <c r="Q154" s="80"/>
      <c r="R154" s="80"/>
      <c r="S154" s="80"/>
      <c r="AQ154" s="69"/>
    </row>
    <row r="155">
      <c r="A155" s="80"/>
      <c r="B155" s="80"/>
      <c r="C155" s="105"/>
      <c r="D155" s="106"/>
      <c r="E155" s="105"/>
      <c r="F155" s="106"/>
      <c r="Q155" s="80"/>
      <c r="R155" s="80"/>
      <c r="S155" s="80"/>
      <c r="AQ155" s="69"/>
    </row>
    <row r="156">
      <c r="A156" s="80"/>
      <c r="B156" s="80"/>
      <c r="C156" s="105"/>
      <c r="D156" s="106"/>
      <c r="E156" s="105"/>
      <c r="F156" s="106"/>
      <c r="Q156" s="80"/>
      <c r="R156" s="80"/>
      <c r="S156" s="80"/>
      <c r="AQ156" s="69"/>
    </row>
    <row r="157">
      <c r="A157" s="80"/>
      <c r="B157" s="80"/>
      <c r="C157" s="105"/>
      <c r="D157" s="106"/>
      <c r="E157" s="105"/>
      <c r="F157" s="106"/>
      <c r="Q157" s="80"/>
      <c r="R157" s="80"/>
      <c r="S157" s="80"/>
      <c r="AQ157" s="69"/>
    </row>
    <row r="158">
      <c r="A158" s="80"/>
      <c r="B158" s="80"/>
      <c r="C158" s="105"/>
      <c r="D158" s="106"/>
      <c r="E158" s="105"/>
      <c r="F158" s="106"/>
      <c r="Q158" s="80"/>
      <c r="R158" s="80"/>
      <c r="S158" s="80"/>
      <c r="AQ158" s="69"/>
    </row>
    <row r="159">
      <c r="A159" s="80"/>
      <c r="B159" s="80"/>
      <c r="C159" s="105"/>
      <c r="D159" s="106"/>
      <c r="E159" s="105"/>
      <c r="F159" s="106"/>
      <c r="Q159" s="80"/>
      <c r="R159" s="80"/>
      <c r="S159" s="80"/>
      <c r="AQ159" s="69"/>
    </row>
    <row r="160">
      <c r="A160" s="80"/>
      <c r="B160" s="80"/>
      <c r="C160" s="105"/>
      <c r="D160" s="106"/>
      <c r="E160" s="105"/>
      <c r="F160" s="106"/>
      <c r="Q160" s="80"/>
      <c r="R160" s="80"/>
      <c r="S160" s="80"/>
      <c r="AQ160" s="69"/>
    </row>
    <row r="161">
      <c r="A161" s="80"/>
      <c r="B161" s="80"/>
      <c r="C161" s="105"/>
      <c r="D161" s="106"/>
      <c r="E161" s="105"/>
      <c r="F161" s="106"/>
      <c r="Q161" s="80"/>
      <c r="R161" s="80"/>
      <c r="S161" s="80"/>
      <c r="AQ161" s="69"/>
    </row>
    <row r="162">
      <c r="A162" s="80"/>
      <c r="B162" s="80"/>
      <c r="C162" s="105"/>
      <c r="D162" s="106"/>
      <c r="E162" s="105"/>
      <c r="F162" s="106"/>
      <c r="Q162" s="80"/>
      <c r="R162" s="80"/>
      <c r="S162" s="80"/>
      <c r="AQ162" s="69"/>
    </row>
    <row r="163">
      <c r="A163" s="80"/>
      <c r="B163" s="80"/>
      <c r="C163" s="105"/>
      <c r="D163" s="106"/>
      <c r="E163" s="105"/>
      <c r="F163" s="106"/>
      <c r="Q163" s="80"/>
      <c r="R163" s="80"/>
      <c r="S163" s="80"/>
      <c r="AQ163" s="69"/>
    </row>
    <row r="164">
      <c r="A164" s="80"/>
      <c r="B164" s="80"/>
      <c r="C164" s="105"/>
      <c r="D164" s="106"/>
      <c r="E164" s="105"/>
      <c r="F164" s="106"/>
      <c r="Q164" s="80"/>
      <c r="R164" s="80"/>
      <c r="S164" s="80"/>
      <c r="AQ164" s="69"/>
    </row>
    <row r="165">
      <c r="A165" s="80"/>
      <c r="B165" s="80"/>
      <c r="C165" s="105"/>
      <c r="D165" s="106"/>
      <c r="E165" s="105"/>
      <c r="F165" s="106"/>
      <c r="Q165" s="80"/>
      <c r="R165" s="80"/>
      <c r="S165" s="80"/>
      <c r="AQ165" s="69"/>
    </row>
    <row r="166">
      <c r="A166" s="80"/>
      <c r="B166" s="80"/>
      <c r="C166" s="105"/>
      <c r="D166" s="106"/>
      <c r="E166" s="105"/>
      <c r="F166" s="106"/>
      <c r="Q166" s="80"/>
      <c r="R166" s="80"/>
      <c r="S166" s="80"/>
      <c r="AQ166" s="69"/>
    </row>
    <row r="167">
      <c r="A167" s="80"/>
      <c r="B167" s="80"/>
      <c r="C167" s="105"/>
      <c r="D167" s="106"/>
      <c r="E167" s="105"/>
      <c r="F167" s="106"/>
      <c r="Q167" s="80"/>
      <c r="R167" s="80"/>
      <c r="S167" s="80"/>
      <c r="AQ167" s="69"/>
    </row>
    <row r="168">
      <c r="A168" s="80"/>
      <c r="B168" s="80"/>
      <c r="C168" s="105"/>
      <c r="D168" s="106"/>
      <c r="E168" s="105"/>
      <c r="F168" s="106"/>
      <c r="Q168" s="80"/>
      <c r="R168" s="80"/>
      <c r="S168" s="80"/>
      <c r="AQ168" s="69"/>
    </row>
    <row r="169">
      <c r="A169" s="80"/>
      <c r="B169" s="80"/>
      <c r="C169" s="105"/>
      <c r="D169" s="106"/>
      <c r="E169" s="105"/>
      <c r="F169" s="106"/>
      <c r="Q169" s="80"/>
      <c r="R169" s="80"/>
      <c r="S169" s="80"/>
      <c r="AQ169" s="69"/>
    </row>
    <row r="170">
      <c r="A170" s="80"/>
      <c r="B170" s="80"/>
      <c r="C170" s="105"/>
      <c r="D170" s="106"/>
      <c r="E170" s="105"/>
      <c r="F170" s="106"/>
      <c r="Q170" s="80"/>
      <c r="R170" s="80"/>
      <c r="S170" s="80"/>
      <c r="AQ170" s="69"/>
    </row>
    <row r="171">
      <c r="A171" s="80"/>
      <c r="B171" s="80"/>
      <c r="C171" s="105"/>
      <c r="D171" s="106"/>
      <c r="E171" s="105"/>
      <c r="F171" s="106"/>
      <c r="Q171" s="80"/>
      <c r="R171" s="80"/>
      <c r="S171" s="80"/>
      <c r="AQ171" s="69"/>
    </row>
    <row r="172">
      <c r="A172" s="80"/>
      <c r="B172" s="80"/>
      <c r="C172" s="105"/>
      <c r="D172" s="106"/>
      <c r="E172" s="105"/>
      <c r="F172" s="106"/>
      <c r="Q172" s="80"/>
      <c r="R172" s="80"/>
      <c r="S172" s="80"/>
      <c r="AQ172" s="69"/>
    </row>
    <row r="173">
      <c r="A173" s="80"/>
      <c r="B173" s="80"/>
      <c r="C173" s="105"/>
      <c r="D173" s="106"/>
      <c r="E173" s="105"/>
      <c r="F173" s="106"/>
      <c r="Q173" s="80"/>
      <c r="R173" s="80"/>
      <c r="S173" s="80"/>
      <c r="AQ173" s="69"/>
    </row>
    <row r="174">
      <c r="A174" s="80"/>
      <c r="B174" s="80"/>
      <c r="C174" s="105"/>
      <c r="D174" s="106"/>
      <c r="E174" s="105"/>
      <c r="F174" s="106"/>
      <c r="Q174" s="80"/>
      <c r="R174" s="80"/>
      <c r="S174" s="80"/>
      <c r="AQ174" s="69"/>
    </row>
    <row r="175">
      <c r="A175" s="80"/>
      <c r="B175" s="80"/>
      <c r="C175" s="105"/>
      <c r="D175" s="106"/>
      <c r="E175" s="105"/>
      <c r="F175" s="106"/>
      <c r="Q175" s="80"/>
      <c r="R175" s="80"/>
      <c r="S175" s="80"/>
      <c r="AQ175" s="69"/>
    </row>
    <row r="176">
      <c r="A176" s="80"/>
      <c r="B176" s="80"/>
      <c r="C176" s="105"/>
      <c r="D176" s="106"/>
      <c r="E176" s="105"/>
      <c r="F176" s="106"/>
      <c r="Q176" s="80"/>
      <c r="R176" s="80"/>
      <c r="S176" s="80"/>
      <c r="AQ176" s="69"/>
    </row>
    <row r="177">
      <c r="A177" s="80"/>
      <c r="B177" s="80"/>
      <c r="C177" s="105"/>
      <c r="D177" s="106"/>
      <c r="E177" s="105"/>
      <c r="F177" s="106"/>
      <c r="Q177" s="80"/>
      <c r="R177" s="80"/>
      <c r="S177" s="80"/>
      <c r="AQ177" s="69"/>
    </row>
    <row r="178">
      <c r="A178" s="80"/>
      <c r="B178" s="80"/>
      <c r="C178" s="105"/>
      <c r="D178" s="106"/>
      <c r="E178" s="105"/>
      <c r="F178" s="106"/>
      <c r="Q178" s="80"/>
      <c r="R178" s="80"/>
      <c r="S178" s="80"/>
      <c r="AQ178" s="69"/>
    </row>
    <row r="179">
      <c r="A179" s="80"/>
      <c r="B179" s="80"/>
      <c r="C179" s="105"/>
      <c r="D179" s="106"/>
      <c r="E179" s="105"/>
      <c r="F179" s="106"/>
      <c r="Q179" s="80"/>
      <c r="R179" s="80"/>
      <c r="S179" s="80"/>
      <c r="AQ179" s="69"/>
    </row>
    <row r="180">
      <c r="A180" s="80"/>
      <c r="B180" s="80"/>
      <c r="C180" s="105"/>
      <c r="D180" s="106"/>
      <c r="E180" s="105"/>
      <c r="F180" s="106"/>
      <c r="Q180" s="80"/>
      <c r="R180" s="80"/>
      <c r="S180" s="80"/>
      <c r="AQ180" s="69"/>
    </row>
    <row r="181">
      <c r="A181" s="80"/>
      <c r="B181" s="80"/>
      <c r="C181" s="105"/>
      <c r="D181" s="106"/>
      <c r="E181" s="105"/>
      <c r="F181" s="106"/>
      <c r="Q181" s="80"/>
      <c r="R181" s="80"/>
      <c r="S181" s="80"/>
      <c r="AQ181" s="69"/>
    </row>
    <row r="182">
      <c r="A182" s="80"/>
      <c r="B182" s="80"/>
      <c r="C182" s="105"/>
      <c r="D182" s="106"/>
      <c r="E182" s="105"/>
      <c r="F182" s="106"/>
      <c r="Q182" s="80"/>
      <c r="R182" s="80"/>
      <c r="S182" s="80"/>
      <c r="AQ182" s="69"/>
    </row>
    <row r="183">
      <c r="A183" s="80"/>
      <c r="B183" s="80"/>
      <c r="C183" s="105"/>
      <c r="D183" s="106"/>
      <c r="E183" s="105"/>
      <c r="F183" s="106"/>
      <c r="Q183" s="80"/>
      <c r="R183" s="80"/>
      <c r="S183" s="80"/>
      <c r="AQ183" s="69"/>
    </row>
    <row r="184">
      <c r="A184" s="80"/>
      <c r="B184" s="80"/>
      <c r="C184" s="105"/>
      <c r="D184" s="106"/>
      <c r="E184" s="105"/>
      <c r="F184" s="106"/>
      <c r="Q184" s="80"/>
      <c r="R184" s="80"/>
      <c r="S184" s="80"/>
      <c r="AQ184" s="69"/>
    </row>
    <row r="185">
      <c r="A185" s="80"/>
      <c r="B185" s="80"/>
      <c r="C185" s="105"/>
      <c r="D185" s="106"/>
      <c r="E185" s="105"/>
      <c r="F185" s="106"/>
      <c r="Q185" s="80"/>
      <c r="R185" s="80"/>
      <c r="S185" s="80"/>
      <c r="AQ185" s="69"/>
    </row>
    <row r="186">
      <c r="A186" s="80"/>
      <c r="B186" s="80"/>
      <c r="C186" s="105"/>
      <c r="D186" s="106"/>
      <c r="E186" s="105"/>
      <c r="F186" s="106"/>
      <c r="Q186" s="80"/>
      <c r="R186" s="80"/>
      <c r="S186" s="80"/>
      <c r="AQ186" s="69"/>
    </row>
    <row r="187">
      <c r="A187" s="80"/>
      <c r="B187" s="80"/>
      <c r="C187" s="105"/>
      <c r="D187" s="106"/>
      <c r="E187" s="105"/>
      <c r="F187" s="106"/>
      <c r="Q187" s="80"/>
      <c r="R187" s="80"/>
      <c r="S187" s="80"/>
      <c r="AQ187" s="69"/>
    </row>
    <row r="188">
      <c r="A188" s="80"/>
      <c r="B188" s="80"/>
      <c r="C188" s="105"/>
      <c r="D188" s="106"/>
      <c r="E188" s="105"/>
      <c r="F188" s="106"/>
      <c r="Q188" s="80"/>
      <c r="R188" s="80"/>
      <c r="S188" s="80"/>
      <c r="AQ188" s="69"/>
    </row>
    <row r="189">
      <c r="A189" s="80"/>
      <c r="B189" s="80"/>
      <c r="C189" s="105"/>
      <c r="D189" s="106"/>
      <c r="E189" s="105"/>
      <c r="F189" s="106"/>
      <c r="Q189" s="80"/>
      <c r="R189" s="80"/>
      <c r="S189" s="80"/>
      <c r="AQ189" s="69"/>
    </row>
    <row r="190">
      <c r="A190" s="80"/>
      <c r="B190" s="80"/>
      <c r="C190" s="105"/>
      <c r="D190" s="106"/>
      <c r="E190" s="105"/>
      <c r="F190" s="106"/>
      <c r="Q190" s="80"/>
      <c r="R190" s="80"/>
      <c r="S190" s="80"/>
      <c r="AQ190" s="69"/>
    </row>
    <row r="191">
      <c r="A191" s="80"/>
      <c r="B191" s="80"/>
      <c r="C191" s="105"/>
      <c r="D191" s="106"/>
      <c r="E191" s="105"/>
      <c r="F191" s="106"/>
      <c r="Q191" s="80"/>
      <c r="R191" s="80"/>
      <c r="S191" s="80"/>
      <c r="AQ191" s="69"/>
    </row>
    <row r="192">
      <c r="A192" s="80"/>
      <c r="B192" s="80"/>
      <c r="C192" s="105"/>
      <c r="D192" s="106"/>
      <c r="E192" s="105"/>
      <c r="F192" s="106"/>
      <c r="Q192" s="80"/>
      <c r="R192" s="80"/>
      <c r="S192" s="80"/>
      <c r="AQ192" s="69"/>
    </row>
    <row r="193">
      <c r="A193" s="80"/>
      <c r="B193" s="80"/>
      <c r="C193" s="105"/>
      <c r="D193" s="106"/>
      <c r="E193" s="105"/>
      <c r="F193" s="106"/>
      <c r="Q193" s="80"/>
      <c r="R193" s="80"/>
      <c r="S193" s="80"/>
      <c r="AQ193" s="69"/>
    </row>
    <row r="194">
      <c r="A194" s="80"/>
      <c r="B194" s="80"/>
      <c r="C194" s="105"/>
      <c r="D194" s="106"/>
      <c r="E194" s="105"/>
      <c r="F194" s="106"/>
      <c r="Q194" s="80"/>
      <c r="R194" s="80"/>
      <c r="S194" s="80"/>
      <c r="AQ194" s="69"/>
    </row>
    <row r="195">
      <c r="A195" s="80"/>
      <c r="B195" s="80"/>
      <c r="C195" s="105"/>
      <c r="D195" s="106"/>
      <c r="E195" s="105"/>
      <c r="F195" s="106"/>
      <c r="Q195" s="80"/>
      <c r="R195" s="80"/>
      <c r="S195" s="80"/>
      <c r="AQ195" s="69"/>
    </row>
    <row r="196">
      <c r="A196" s="80"/>
      <c r="B196" s="80"/>
      <c r="C196" s="105"/>
      <c r="D196" s="106"/>
      <c r="E196" s="105"/>
      <c r="F196" s="106"/>
      <c r="Q196" s="80"/>
      <c r="R196" s="80"/>
      <c r="S196" s="80"/>
      <c r="AQ196" s="69"/>
    </row>
    <row r="197">
      <c r="A197" s="80"/>
      <c r="B197" s="80"/>
      <c r="C197" s="105"/>
      <c r="D197" s="106"/>
      <c r="E197" s="105"/>
      <c r="F197" s="106"/>
      <c r="Q197" s="80"/>
      <c r="R197" s="80"/>
      <c r="S197" s="80"/>
      <c r="AQ197" s="69"/>
    </row>
    <row r="198">
      <c r="A198" s="80"/>
      <c r="B198" s="80"/>
      <c r="C198" s="105"/>
      <c r="D198" s="106"/>
      <c r="E198" s="105"/>
      <c r="F198" s="106"/>
      <c r="Q198" s="80"/>
      <c r="R198" s="80"/>
      <c r="S198" s="80"/>
      <c r="AQ198" s="69"/>
    </row>
    <row r="199">
      <c r="A199" s="80"/>
      <c r="B199" s="80"/>
      <c r="C199" s="105"/>
      <c r="D199" s="106"/>
      <c r="E199" s="105"/>
      <c r="F199" s="106"/>
      <c r="Q199" s="80"/>
      <c r="R199" s="80"/>
      <c r="S199" s="80"/>
      <c r="AQ199" s="69"/>
    </row>
    <row r="200">
      <c r="A200" s="80"/>
      <c r="B200" s="80"/>
      <c r="C200" s="105"/>
      <c r="D200" s="106"/>
      <c r="E200" s="105"/>
      <c r="F200" s="106"/>
      <c r="Q200" s="80"/>
      <c r="R200" s="80"/>
      <c r="S200" s="80"/>
      <c r="AQ200" s="69"/>
    </row>
    <row r="201">
      <c r="A201" s="80"/>
      <c r="B201" s="80"/>
      <c r="C201" s="105"/>
      <c r="D201" s="106"/>
      <c r="E201" s="105"/>
      <c r="F201" s="106"/>
      <c r="Q201" s="80"/>
      <c r="R201" s="80"/>
      <c r="S201" s="80"/>
      <c r="AQ201" s="69"/>
    </row>
    <row r="202">
      <c r="A202" s="80"/>
      <c r="B202" s="80"/>
      <c r="C202" s="105"/>
      <c r="D202" s="106"/>
      <c r="E202" s="105"/>
      <c r="F202" s="106"/>
      <c r="Q202" s="80"/>
      <c r="R202" s="80"/>
      <c r="S202" s="80"/>
      <c r="AQ202" s="69"/>
    </row>
    <row r="203">
      <c r="A203" s="80"/>
      <c r="B203" s="80"/>
      <c r="C203" s="105"/>
      <c r="D203" s="106"/>
      <c r="E203" s="105"/>
      <c r="F203" s="106"/>
      <c r="Q203" s="80"/>
      <c r="R203" s="80"/>
      <c r="S203" s="80"/>
      <c r="AQ203" s="69"/>
    </row>
    <row r="204">
      <c r="A204" s="80"/>
      <c r="B204" s="80"/>
      <c r="C204" s="105"/>
      <c r="D204" s="106"/>
      <c r="E204" s="105"/>
      <c r="F204" s="106"/>
      <c r="Q204" s="80"/>
      <c r="R204" s="80"/>
      <c r="S204" s="80"/>
      <c r="AQ204" s="69"/>
    </row>
    <row r="205">
      <c r="A205" s="80"/>
      <c r="B205" s="80"/>
      <c r="C205" s="105"/>
      <c r="D205" s="106"/>
      <c r="E205" s="105"/>
      <c r="F205" s="106"/>
      <c r="Q205" s="80"/>
      <c r="R205" s="80"/>
      <c r="S205" s="80"/>
      <c r="AQ205" s="69"/>
    </row>
    <row r="206">
      <c r="A206" s="80"/>
      <c r="B206" s="80"/>
      <c r="C206" s="105"/>
      <c r="D206" s="106"/>
      <c r="E206" s="105"/>
      <c r="F206" s="106"/>
      <c r="Q206" s="80"/>
      <c r="R206" s="80"/>
      <c r="S206" s="80"/>
      <c r="AQ206" s="69"/>
    </row>
    <row r="207">
      <c r="A207" s="80"/>
      <c r="B207" s="80"/>
      <c r="C207" s="105"/>
      <c r="D207" s="106"/>
      <c r="E207" s="105"/>
      <c r="F207" s="106"/>
      <c r="Q207" s="80"/>
      <c r="R207" s="80"/>
      <c r="S207" s="80"/>
      <c r="AQ207" s="69"/>
    </row>
    <row r="208">
      <c r="A208" s="80"/>
      <c r="B208" s="80"/>
      <c r="C208" s="105"/>
      <c r="D208" s="106"/>
      <c r="E208" s="105"/>
      <c r="F208" s="106"/>
      <c r="Q208" s="80"/>
      <c r="R208" s="80"/>
      <c r="S208" s="80"/>
      <c r="AQ208" s="69"/>
    </row>
    <row r="209">
      <c r="A209" s="80"/>
      <c r="B209" s="80"/>
      <c r="C209" s="105"/>
      <c r="D209" s="106"/>
      <c r="E209" s="105"/>
      <c r="F209" s="106"/>
      <c r="Q209" s="80"/>
      <c r="R209" s="80"/>
      <c r="S209" s="80"/>
      <c r="AQ209" s="69"/>
    </row>
    <row r="210">
      <c r="A210" s="80"/>
      <c r="B210" s="80"/>
      <c r="C210" s="105"/>
      <c r="D210" s="106"/>
      <c r="E210" s="105"/>
      <c r="F210" s="106"/>
      <c r="Q210" s="80"/>
      <c r="R210" s="80"/>
      <c r="S210" s="80"/>
      <c r="AQ210" s="69"/>
    </row>
    <row r="211">
      <c r="A211" s="80"/>
      <c r="B211" s="80"/>
      <c r="C211" s="105"/>
      <c r="D211" s="106"/>
      <c r="E211" s="105"/>
      <c r="F211" s="106"/>
      <c r="Q211" s="80"/>
      <c r="R211" s="80"/>
      <c r="S211" s="80"/>
      <c r="AQ211" s="69"/>
    </row>
    <row r="212">
      <c r="A212" s="80"/>
      <c r="B212" s="80"/>
      <c r="C212" s="105"/>
      <c r="D212" s="106"/>
      <c r="E212" s="105"/>
      <c r="F212" s="106"/>
      <c r="Q212" s="80"/>
      <c r="R212" s="80"/>
      <c r="S212" s="80"/>
      <c r="AQ212" s="69"/>
    </row>
    <row r="213">
      <c r="A213" s="80"/>
      <c r="B213" s="80"/>
      <c r="C213" s="105"/>
      <c r="D213" s="106"/>
      <c r="E213" s="105"/>
      <c r="F213" s="106"/>
      <c r="Q213" s="80"/>
      <c r="R213" s="80"/>
      <c r="S213" s="80"/>
      <c r="AQ213" s="69"/>
    </row>
    <row r="214">
      <c r="A214" s="80"/>
      <c r="B214" s="80"/>
      <c r="C214" s="105"/>
      <c r="D214" s="106"/>
      <c r="E214" s="105"/>
      <c r="F214" s="106"/>
      <c r="Q214" s="80"/>
      <c r="R214" s="80"/>
      <c r="S214" s="80"/>
      <c r="AQ214" s="69"/>
    </row>
    <row r="215">
      <c r="A215" s="80"/>
      <c r="B215" s="80"/>
      <c r="C215" s="105"/>
      <c r="D215" s="106"/>
      <c r="E215" s="105"/>
      <c r="F215" s="106"/>
      <c r="Q215" s="80"/>
      <c r="R215" s="80"/>
      <c r="S215" s="80"/>
      <c r="AQ215" s="69"/>
    </row>
    <row r="216">
      <c r="A216" s="80"/>
      <c r="B216" s="80"/>
      <c r="C216" s="105"/>
      <c r="D216" s="106"/>
      <c r="E216" s="105"/>
      <c r="F216" s="106"/>
      <c r="Q216" s="80"/>
      <c r="R216" s="80"/>
      <c r="S216" s="80"/>
      <c r="AQ216" s="69"/>
    </row>
    <row r="217">
      <c r="A217" s="80"/>
      <c r="B217" s="80"/>
      <c r="C217" s="105"/>
      <c r="D217" s="106"/>
      <c r="E217" s="105"/>
      <c r="F217" s="106"/>
      <c r="Q217" s="80"/>
      <c r="R217" s="80"/>
      <c r="S217" s="80"/>
      <c r="AQ217" s="69"/>
    </row>
    <row r="218">
      <c r="A218" s="80"/>
      <c r="B218" s="80"/>
      <c r="C218" s="105"/>
      <c r="D218" s="106"/>
      <c r="E218" s="105"/>
      <c r="F218" s="106"/>
      <c r="Q218" s="80"/>
      <c r="R218" s="80"/>
      <c r="S218" s="80"/>
      <c r="AQ218" s="69"/>
    </row>
    <row r="219">
      <c r="A219" s="80"/>
      <c r="B219" s="80"/>
      <c r="C219" s="105"/>
      <c r="D219" s="106"/>
      <c r="E219" s="105"/>
      <c r="F219" s="106"/>
      <c r="Q219" s="80"/>
      <c r="R219" s="80"/>
      <c r="S219" s="80"/>
      <c r="AQ219" s="69"/>
    </row>
    <row r="220">
      <c r="A220" s="80"/>
      <c r="B220" s="80"/>
      <c r="C220" s="105"/>
      <c r="D220" s="106"/>
      <c r="E220" s="105"/>
      <c r="F220" s="106"/>
      <c r="Q220" s="80"/>
      <c r="R220" s="80"/>
      <c r="S220" s="80"/>
      <c r="AQ220" s="69"/>
    </row>
    <row r="221">
      <c r="A221" s="80"/>
      <c r="B221" s="80"/>
      <c r="C221" s="105"/>
      <c r="D221" s="106"/>
      <c r="E221" s="105"/>
      <c r="F221" s="106"/>
      <c r="Q221" s="80"/>
      <c r="R221" s="80"/>
      <c r="S221" s="80"/>
      <c r="AQ221" s="69"/>
    </row>
    <row r="222">
      <c r="A222" s="80"/>
      <c r="B222" s="80"/>
      <c r="C222" s="105"/>
      <c r="D222" s="106"/>
      <c r="E222" s="105"/>
      <c r="F222" s="106"/>
      <c r="Q222" s="80"/>
      <c r="R222" s="80"/>
      <c r="S222" s="80"/>
      <c r="AQ222" s="69"/>
    </row>
    <row r="223">
      <c r="A223" s="80"/>
      <c r="B223" s="80"/>
      <c r="C223" s="105"/>
      <c r="D223" s="106"/>
      <c r="E223" s="105"/>
      <c r="F223" s="106"/>
      <c r="Q223" s="80"/>
      <c r="R223" s="80"/>
      <c r="S223" s="80"/>
      <c r="AQ223" s="69"/>
    </row>
    <row r="224">
      <c r="A224" s="80"/>
      <c r="B224" s="80"/>
      <c r="C224" s="105"/>
      <c r="D224" s="106"/>
      <c r="E224" s="105"/>
      <c r="F224" s="106"/>
      <c r="Q224" s="80"/>
      <c r="R224" s="80"/>
      <c r="S224" s="80"/>
      <c r="AQ224" s="69"/>
    </row>
    <row r="225">
      <c r="A225" s="80"/>
      <c r="B225" s="80"/>
      <c r="C225" s="105"/>
      <c r="D225" s="106"/>
      <c r="E225" s="105"/>
      <c r="F225" s="106"/>
      <c r="Q225" s="80"/>
      <c r="R225" s="80"/>
      <c r="S225" s="80"/>
      <c r="AQ225" s="69"/>
    </row>
    <row r="226">
      <c r="A226" s="80"/>
      <c r="B226" s="80"/>
      <c r="C226" s="105"/>
      <c r="D226" s="106"/>
      <c r="E226" s="105"/>
      <c r="F226" s="106"/>
      <c r="Q226" s="80"/>
      <c r="R226" s="80"/>
      <c r="S226" s="80"/>
      <c r="AQ226" s="69"/>
    </row>
    <row r="227">
      <c r="A227" s="80"/>
      <c r="B227" s="80"/>
      <c r="C227" s="105"/>
      <c r="D227" s="106"/>
      <c r="E227" s="105"/>
      <c r="F227" s="106"/>
      <c r="Q227" s="80"/>
      <c r="R227" s="80"/>
      <c r="S227" s="80"/>
      <c r="AQ227" s="69"/>
    </row>
    <row r="228">
      <c r="A228" s="80"/>
      <c r="B228" s="80"/>
      <c r="C228" s="105"/>
      <c r="D228" s="106"/>
      <c r="E228" s="105"/>
      <c r="F228" s="106"/>
      <c r="Q228" s="80"/>
      <c r="R228" s="80"/>
      <c r="S228" s="80"/>
      <c r="AQ228" s="69"/>
    </row>
    <row r="229">
      <c r="A229" s="80"/>
      <c r="B229" s="80"/>
      <c r="C229" s="105"/>
      <c r="D229" s="106"/>
      <c r="E229" s="105"/>
      <c r="F229" s="106"/>
      <c r="Q229" s="80"/>
      <c r="R229" s="80"/>
      <c r="S229" s="80"/>
      <c r="AQ229" s="69"/>
    </row>
    <row r="230">
      <c r="A230" s="80"/>
      <c r="B230" s="80"/>
      <c r="C230" s="105"/>
      <c r="D230" s="106"/>
      <c r="E230" s="105"/>
      <c r="F230" s="106"/>
      <c r="Q230" s="80"/>
      <c r="R230" s="80"/>
      <c r="S230" s="80"/>
      <c r="AQ230" s="69"/>
    </row>
    <row r="231">
      <c r="A231" s="80"/>
      <c r="B231" s="80"/>
      <c r="C231" s="105"/>
      <c r="D231" s="106"/>
      <c r="E231" s="105"/>
      <c r="F231" s="106"/>
      <c r="Q231" s="80"/>
      <c r="R231" s="80"/>
      <c r="S231" s="80"/>
      <c r="AQ231" s="69"/>
    </row>
    <row r="232">
      <c r="A232" s="80"/>
      <c r="B232" s="80"/>
      <c r="C232" s="105"/>
      <c r="D232" s="106"/>
      <c r="E232" s="105"/>
      <c r="F232" s="106"/>
      <c r="Q232" s="80"/>
      <c r="R232" s="80"/>
      <c r="S232" s="80"/>
      <c r="AQ232" s="69"/>
    </row>
    <row r="233">
      <c r="A233" s="80"/>
      <c r="B233" s="80"/>
      <c r="C233" s="105"/>
      <c r="D233" s="106"/>
      <c r="E233" s="105"/>
      <c r="F233" s="106"/>
      <c r="Q233" s="80"/>
      <c r="R233" s="80"/>
      <c r="S233" s="80"/>
      <c r="AQ233" s="69"/>
    </row>
    <row r="234">
      <c r="A234" s="80"/>
      <c r="B234" s="80"/>
      <c r="C234" s="105"/>
      <c r="D234" s="106"/>
      <c r="E234" s="105"/>
      <c r="F234" s="106"/>
      <c r="Q234" s="80"/>
      <c r="R234" s="80"/>
      <c r="S234" s="80"/>
      <c r="AQ234" s="69"/>
    </row>
    <row r="235">
      <c r="A235" s="80"/>
      <c r="B235" s="80"/>
      <c r="C235" s="105"/>
      <c r="D235" s="106"/>
      <c r="E235" s="105"/>
      <c r="F235" s="106"/>
      <c r="Q235" s="80"/>
      <c r="R235" s="80"/>
      <c r="S235" s="80"/>
      <c r="AQ235" s="69"/>
    </row>
    <row r="236">
      <c r="A236" s="80"/>
      <c r="B236" s="80"/>
      <c r="C236" s="105"/>
      <c r="D236" s="106"/>
      <c r="E236" s="105"/>
      <c r="F236" s="106"/>
      <c r="Q236" s="80"/>
      <c r="R236" s="80"/>
      <c r="S236" s="80"/>
      <c r="AQ236" s="69"/>
    </row>
    <row r="237">
      <c r="A237" s="80"/>
      <c r="B237" s="80"/>
      <c r="C237" s="105"/>
      <c r="D237" s="106"/>
      <c r="E237" s="105"/>
      <c r="F237" s="106"/>
      <c r="Q237" s="80"/>
      <c r="R237" s="80"/>
      <c r="S237" s="80"/>
      <c r="AQ237" s="69"/>
    </row>
    <row r="238">
      <c r="A238" s="80"/>
      <c r="B238" s="80"/>
      <c r="C238" s="105"/>
      <c r="D238" s="106"/>
      <c r="E238" s="105"/>
      <c r="F238" s="106"/>
      <c r="Q238" s="80"/>
      <c r="R238" s="80"/>
      <c r="S238" s="80"/>
      <c r="AQ238" s="69"/>
    </row>
    <row r="239">
      <c r="A239" s="80"/>
      <c r="B239" s="80"/>
      <c r="C239" s="105"/>
      <c r="D239" s="106"/>
      <c r="E239" s="105"/>
      <c r="F239" s="106"/>
      <c r="Q239" s="80"/>
      <c r="R239" s="80"/>
      <c r="S239" s="80"/>
      <c r="AQ239" s="69"/>
    </row>
    <row r="240">
      <c r="A240" s="80"/>
      <c r="B240" s="80"/>
      <c r="C240" s="105"/>
      <c r="D240" s="106"/>
      <c r="E240" s="105"/>
      <c r="F240" s="106"/>
      <c r="Q240" s="80"/>
      <c r="R240" s="80"/>
      <c r="S240" s="80"/>
      <c r="AQ240" s="69"/>
    </row>
    <row r="241">
      <c r="A241" s="80"/>
      <c r="B241" s="80"/>
      <c r="C241" s="105"/>
      <c r="D241" s="106"/>
      <c r="E241" s="105"/>
      <c r="F241" s="106"/>
      <c r="Q241" s="80"/>
      <c r="R241" s="80"/>
      <c r="S241" s="80"/>
      <c r="AQ241" s="69"/>
    </row>
    <row r="242">
      <c r="A242" s="80"/>
      <c r="B242" s="80"/>
      <c r="C242" s="105"/>
      <c r="D242" s="106"/>
      <c r="E242" s="105"/>
      <c r="F242" s="106"/>
      <c r="Q242" s="80"/>
      <c r="R242" s="80"/>
      <c r="S242" s="80"/>
      <c r="AQ242" s="69"/>
    </row>
    <row r="243">
      <c r="A243" s="80"/>
      <c r="B243" s="80"/>
      <c r="C243" s="105"/>
      <c r="D243" s="106"/>
      <c r="E243" s="105"/>
      <c r="F243" s="106"/>
      <c r="Q243" s="80"/>
      <c r="R243" s="80"/>
      <c r="S243" s="80"/>
      <c r="AQ243" s="69"/>
    </row>
    <row r="244">
      <c r="A244" s="80"/>
      <c r="B244" s="80"/>
      <c r="C244" s="105"/>
      <c r="D244" s="106"/>
      <c r="E244" s="105"/>
      <c r="F244" s="106"/>
      <c r="Q244" s="80"/>
      <c r="R244" s="80"/>
      <c r="S244" s="80"/>
      <c r="AQ244" s="69"/>
    </row>
    <row r="245">
      <c r="A245" s="80"/>
      <c r="B245" s="80"/>
      <c r="C245" s="105"/>
      <c r="D245" s="106"/>
      <c r="E245" s="105"/>
      <c r="F245" s="106"/>
      <c r="Q245" s="80"/>
      <c r="R245" s="80"/>
      <c r="S245" s="80"/>
      <c r="AQ245" s="69"/>
    </row>
    <row r="246">
      <c r="A246" s="80"/>
      <c r="B246" s="80"/>
      <c r="C246" s="105"/>
      <c r="D246" s="106"/>
      <c r="E246" s="105"/>
      <c r="F246" s="106"/>
      <c r="Q246" s="80"/>
      <c r="R246" s="80"/>
      <c r="S246" s="80"/>
      <c r="AQ246" s="69"/>
    </row>
    <row r="247">
      <c r="A247" s="80"/>
      <c r="B247" s="80"/>
      <c r="C247" s="105"/>
      <c r="D247" s="106"/>
      <c r="E247" s="105"/>
      <c r="F247" s="106"/>
      <c r="Q247" s="80"/>
      <c r="R247" s="80"/>
      <c r="S247" s="80"/>
      <c r="AQ247" s="69"/>
    </row>
    <row r="248">
      <c r="A248" s="80"/>
      <c r="B248" s="80"/>
      <c r="C248" s="105"/>
      <c r="D248" s="106"/>
      <c r="E248" s="105"/>
      <c r="F248" s="106"/>
      <c r="Q248" s="80"/>
      <c r="R248" s="80"/>
      <c r="S248" s="80"/>
      <c r="AQ248" s="69"/>
    </row>
    <row r="249">
      <c r="A249" s="80"/>
      <c r="B249" s="80"/>
      <c r="C249" s="105"/>
      <c r="D249" s="106"/>
      <c r="E249" s="105"/>
      <c r="F249" s="106"/>
      <c r="Q249" s="80"/>
      <c r="R249" s="80"/>
      <c r="S249" s="80"/>
      <c r="AQ249" s="69"/>
    </row>
    <row r="250">
      <c r="A250" s="80"/>
      <c r="B250" s="80"/>
      <c r="C250" s="105"/>
      <c r="D250" s="106"/>
      <c r="E250" s="105"/>
      <c r="F250" s="106"/>
      <c r="Q250" s="80"/>
      <c r="R250" s="80"/>
      <c r="S250" s="80"/>
      <c r="AQ250" s="69"/>
    </row>
    <row r="251">
      <c r="A251" s="109" t="s">
        <v>2</v>
      </c>
      <c r="B251" s="109" t="s">
        <v>3</v>
      </c>
      <c r="C251" s="110" t="s">
        <v>4</v>
      </c>
      <c r="D251" s="106"/>
      <c r="E251" s="110" t="s">
        <v>5</v>
      </c>
      <c r="F251" s="106"/>
      <c r="G251" s="112" t="s">
        <v>6</v>
      </c>
      <c r="Q251" s="80"/>
      <c r="R251" s="109"/>
      <c r="S251" s="109"/>
      <c r="AQ251" s="69"/>
    </row>
    <row r="252">
      <c r="A252" s="71" t="s">
        <v>142</v>
      </c>
      <c r="B252" s="51">
        <v>32.0</v>
      </c>
      <c r="C252" s="111" t="s">
        <v>33</v>
      </c>
      <c r="D252" s="106"/>
      <c r="E252" s="111" t="s">
        <v>34</v>
      </c>
      <c r="F252" s="106"/>
      <c r="G252" s="36" t="s">
        <v>35</v>
      </c>
      <c r="Q252" s="80"/>
      <c r="R252" s="51"/>
      <c r="S252" s="51"/>
      <c r="AQ252" s="69"/>
    </row>
    <row r="253">
      <c r="A253" s="71" t="s">
        <v>138</v>
      </c>
      <c r="B253" s="51">
        <v>23.0</v>
      </c>
      <c r="C253" s="111" t="s">
        <v>33</v>
      </c>
      <c r="D253" s="106"/>
      <c r="E253" s="111" t="s">
        <v>34</v>
      </c>
      <c r="F253" s="106"/>
      <c r="G253" s="36" t="s">
        <v>39</v>
      </c>
      <c r="Q253" s="80"/>
      <c r="R253" s="51"/>
      <c r="S253" s="51"/>
      <c r="AQ253" s="69"/>
    </row>
    <row r="254">
      <c r="A254" s="71" t="s">
        <v>121</v>
      </c>
      <c r="B254" s="51">
        <v>24.0</v>
      </c>
      <c r="C254" s="111" t="s">
        <v>43</v>
      </c>
      <c r="D254" s="106"/>
      <c r="E254" s="111" t="s">
        <v>34</v>
      </c>
      <c r="F254" s="106"/>
      <c r="G254" s="36" t="s">
        <v>44</v>
      </c>
      <c r="Q254" s="80"/>
      <c r="R254" s="51"/>
      <c r="S254" s="51"/>
      <c r="AQ254" s="69"/>
    </row>
    <row r="255">
      <c r="A255" s="71" t="s">
        <v>143</v>
      </c>
      <c r="B255" s="51">
        <v>30.0</v>
      </c>
      <c r="C255" s="111" t="s">
        <v>33</v>
      </c>
      <c r="D255" s="106"/>
      <c r="E255" s="111" t="s">
        <v>34</v>
      </c>
      <c r="F255" s="106"/>
      <c r="G255" s="36" t="s">
        <v>44</v>
      </c>
      <c r="Q255" s="80"/>
      <c r="R255" s="51"/>
      <c r="S255" s="51"/>
      <c r="AQ255" s="69"/>
    </row>
    <row r="256">
      <c r="A256" s="71" t="s">
        <v>122</v>
      </c>
      <c r="B256" s="51">
        <v>24.0</v>
      </c>
      <c r="C256" s="111" t="s">
        <v>43</v>
      </c>
      <c r="D256" s="106"/>
      <c r="E256" s="111" t="s">
        <v>34</v>
      </c>
      <c r="F256" s="106"/>
      <c r="G256" s="36" t="s">
        <v>44</v>
      </c>
      <c r="Q256" s="80"/>
      <c r="R256" s="51"/>
      <c r="S256" s="51"/>
      <c r="AQ256" s="69"/>
    </row>
    <row r="257">
      <c r="A257" s="71" t="s">
        <v>123</v>
      </c>
      <c r="B257" s="51">
        <v>27.0</v>
      </c>
      <c r="C257" s="111" t="s">
        <v>33</v>
      </c>
      <c r="D257" s="106"/>
      <c r="E257" s="111" t="s">
        <v>34</v>
      </c>
      <c r="F257" s="106"/>
      <c r="G257" s="36" t="s">
        <v>44</v>
      </c>
      <c r="Q257" s="80"/>
      <c r="R257" s="51"/>
      <c r="S257" s="51"/>
      <c r="AQ257" s="69"/>
    </row>
    <row r="258">
      <c r="A258" s="71" t="s">
        <v>124</v>
      </c>
      <c r="B258" s="51">
        <v>22.0</v>
      </c>
      <c r="C258" s="111" t="s">
        <v>43</v>
      </c>
      <c r="D258" s="106"/>
      <c r="E258" s="111" t="s">
        <v>34</v>
      </c>
      <c r="F258" s="106"/>
      <c r="G258" s="36" t="s">
        <v>49</v>
      </c>
      <c r="Q258" s="80"/>
      <c r="R258" s="51"/>
      <c r="S258" s="51"/>
      <c r="AQ258" s="69"/>
    </row>
    <row r="259">
      <c r="A259" s="71" t="s">
        <v>125</v>
      </c>
      <c r="B259" s="51">
        <v>23.0</v>
      </c>
      <c r="C259" s="111" t="s">
        <v>33</v>
      </c>
      <c r="D259" s="106"/>
      <c r="E259" s="111" t="s">
        <v>34</v>
      </c>
      <c r="F259" s="106"/>
      <c r="G259" s="36" t="s">
        <v>44</v>
      </c>
      <c r="Q259" s="80"/>
      <c r="R259" s="51"/>
      <c r="S259" s="51"/>
      <c r="AQ259" s="69"/>
    </row>
    <row r="260">
      <c r="A260" s="71" t="s">
        <v>126</v>
      </c>
      <c r="B260" s="51">
        <v>31.0</v>
      </c>
      <c r="C260" s="111" t="s">
        <v>43</v>
      </c>
      <c r="D260" s="106"/>
      <c r="E260" s="111" t="s">
        <v>34</v>
      </c>
      <c r="F260" s="106"/>
      <c r="G260" s="36" t="s">
        <v>44</v>
      </c>
      <c r="Q260" s="80"/>
      <c r="R260" s="51"/>
      <c r="S260" s="51"/>
      <c r="AQ260" s="69"/>
    </row>
    <row r="261">
      <c r="A261" s="71" t="s">
        <v>127</v>
      </c>
      <c r="B261" s="51">
        <v>31.0</v>
      </c>
      <c r="C261" s="111" t="s">
        <v>33</v>
      </c>
      <c r="D261" s="106"/>
      <c r="E261" s="111" t="s">
        <v>34</v>
      </c>
      <c r="F261" s="106"/>
      <c r="G261" s="36" t="s">
        <v>49</v>
      </c>
      <c r="Q261" s="80"/>
      <c r="R261" s="51"/>
      <c r="S261" s="51"/>
      <c r="AQ261" s="69"/>
    </row>
    <row r="262">
      <c r="A262" s="51">
        <v>10.0</v>
      </c>
      <c r="B262" s="51">
        <v>31.0</v>
      </c>
      <c r="C262" s="111" t="s">
        <v>43</v>
      </c>
      <c r="D262" s="106"/>
      <c r="E262" s="111" t="s">
        <v>34</v>
      </c>
      <c r="F262" s="106"/>
      <c r="G262" s="36" t="s">
        <v>35</v>
      </c>
      <c r="Q262" s="80"/>
      <c r="R262" s="51"/>
      <c r="S262" s="51"/>
      <c r="AQ262" s="69"/>
    </row>
    <row r="263">
      <c r="A263" s="51">
        <v>11.0</v>
      </c>
      <c r="B263" s="51">
        <v>24.0</v>
      </c>
      <c r="C263" s="111" t="s">
        <v>43</v>
      </c>
      <c r="D263" s="106"/>
      <c r="E263" s="111" t="s">
        <v>34</v>
      </c>
      <c r="F263" s="106"/>
      <c r="G263" s="36" t="s">
        <v>39</v>
      </c>
      <c r="Q263" s="80"/>
      <c r="R263" s="51"/>
      <c r="S263" s="51"/>
      <c r="AQ263" s="69"/>
    </row>
    <row r="264">
      <c r="A264" s="51">
        <v>12.0</v>
      </c>
      <c r="B264" s="51">
        <v>42.0</v>
      </c>
      <c r="C264" s="111" t="s">
        <v>33</v>
      </c>
      <c r="D264" s="106"/>
      <c r="E264" s="111" t="s">
        <v>34</v>
      </c>
      <c r="F264" s="106"/>
      <c r="G264" s="36" t="s">
        <v>49</v>
      </c>
      <c r="Q264" s="80"/>
      <c r="R264" s="51"/>
      <c r="S264" s="51"/>
      <c r="AQ264" s="69"/>
    </row>
    <row r="265">
      <c r="A265" s="51">
        <v>13.0</v>
      </c>
      <c r="B265" s="51">
        <v>26.0</v>
      </c>
      <c r="C265" s="111" t="s">
        <v>33</v>
      </c>
      <c r="D265" s="106"/>
      <c r="E265" s="111" t="s">
        <v>34</v>
      </c>
      <c r="F265" s="106"/>
      <c r="G265" s="36" t="s">
        <v>39</v>
      </c>
      <c r="Q265" s="80"/>
      <c r="R265" s="51"/>
      <c r="S265" s="51"/>
      <c r="AQ265" s="69"/>
    </row>
    <row r="266">
      <c r="A266" s="51">
        <v>14.0</v>
      </c>
      <c r="B266" s="51">
        <v>25.0</v>
      </c>
      <c r="C266" s="111" t="s">
        <v>33</v>
      </c>
      <c r="D266" s="106"/>
      <c r="E266" s="111" t="s">
        <v>58</v>
      </c>
      <c r="F266" s="106"/>
      <c r="G266" s="36" t="s">
        <v>49</v>
      </c>
      <c r="Q266" s="80"/>
      <c r="R266" s="51"/>
      <c r="S266" s="51"/>
      <c r="AQ266" s="69"/>
    </row>
    <row r="267">
      <c r="A267" s="51">
        <v>15.0</v>
      </c>
      <c r="B267" s="51">
        <v>25.0</v>
      </c>
      <c r="C267" s="111" t="s">
        <v>33</v>
      </c>
      <c r="D267" s="106"/>
      <c r="E267" s="111" t="s">
        <v>34</v>
      </c>
      <c r="F267" s="106"/>
      <c r="G267" s="36" t="s">
        <v>44</v>
      </c>
      <c r="Q267" s="80"/>
      <c r="R267" s="51"/>
      <c r="S267" s="51"/>
      <c r="AQ267" s="69"/>
    </row>
    <row r="268">
      <c r="A268" s="51">
        <v>16.0</v>
      </c>
      <c r="B268" s="51">
        <v>23.0</v>
      </c>
      <c r="C268" s="111" t="s">
        <v>33</v>
      </c>
      <c r="D268" s="106"/>
      <c r="E268" s="111" t="s">
        <v>34</v>
      </c>
      <c r="F268" s="106"/>
      <c r="G268" s="36" t="s">
        <v>44</v>
      </c>
      <c r="Q268" s="80"/>
      <c r="R268" s="51"/>
      <c r="S268" s="51"/>
      <c r="AQ268" s="69"/>
    </row>
    <row r="269">
      <c r="A269" s="51">
        <v>17.0</v>
      </c>
      <c r="B269" s="51">
        <v>35.0</v>
      </c>
      <c r="C269" s="111" t="s">
        <v>33</v>
      </c>
      <c r="D269" s="106"/>
      <c r="E269" s="111" t="s">
        <v>62</v>
      </c>
      <c r="F269" s="106"/>
      <c r="G269" s="36" t="s">
        <v>128</v>
      </c>
      <c r="Q269" s="80"/>
      <c r="R269" s="51"/>
      <c r="S269" s="51"/>
      <c r="AQ269" s="69"/>
    </row>
    <row r="270">
      <c r="A270" s="51">
        <v>18.0</v>
      </c>
      <c r="B270" s="51">
        <v>24.0</v>
      </c>
      <c r="C270" s="111" t="s">
        <v>43</v>
      </c>
      <c r="D270" s="106"/>
      <c r="E270" s="111" t="s">
        <v>58</v>
      </c>
      <c r="F270" s="106"/>
      <c r="G270" s="36" t="s">
        <v>44</v>
      </c>
      <c r="Q270" s="80"/>
      <c r="R270" s="51"/>
      <c r="S270" s="51"/>
      <c r="AQ270" s="69"/>
    </row>
    <row r="271">
      <c r="A271" s="51">
        <v>19.0</v>
      </c>
      <c r="B271" s="51">
        <v>26.0</v>
      </c>
      <c r="C271" s="111" t="s">
        <v>43</v>
      </c>
      <c r="D271" s="106"/>
      <c r="E271" s="111" t="s">
        <v>34</v>
      </c>
      <c r="F271" s="106"/>
      <c r="G271" s="36" t="s">
        <v>39</v>
      </c>
      <c r="Q271" s="80"/>
      <c r="R271" s="51"/>
      <c r="S271" s="51"/>
      <c r="AQ271" s="69"/>
    </row>
    <row r="272">
      <c r="A272" s="51">
        <v>20.0</v>
      </c>
      <c r="B272" s="51">
        <v>34.0</v>
      </c>
      <c r="C272" s="111" t="s">
        <v>33</v>
      </c>
      <c r="D272" s="106"/>
      <c r="E272" s="111" t="s">
        <v>58</v>
      </c>
      <c r="F272" s="106"/>
      <c r="G272" s="36" t="s">
        <v>44</v>
      </c>
      <c r="Q272" s="80"/>
      <c r="R272" s="51"/>
      <c r="S272" s="51"/>
      <c r="AQ272" s="69"/>
    </row>
    <row r="273">
      <c r="A273" s="51">
        <v>21.0</v>
      </c>
      <c r="B273" s="51">
        <v>29.0</v>
      </c>
      <c r="C273" s="111" t="s">
        <v>43</v>
      </c>
      <c r="D273" s="106"/>
      <c r="E273" s="111" t="s">
        <v>34</v>
      </c>
      <c r="F273" s="106"/>
      <c r="G273" s="36" t="s">
        <v>39</v>
      </c>
      <c r="Q273" s="80"/>
      <c r="R273" s="51"/>
      <c r="S273" s="51"/>
      <c r="AQ273" s="69"/>
    </row>
    <row r="274">
      <c r="A274" s="80"/>
      <c r="B274" s="80"/>
      <c r="C274" s="105"/>
      <c r="D274" s="106"/>
      <c r="E274" s="105"/>
      <c r="F274" s="106"/>
      <c r="Q274" s="80"/>
      <c r="R274" s="80"/>
      <c r="S274" s="80"/>
      <c r="AQ274" s="69"/>
    </row>
    <row r="275">
      <c r="A275" s="80"/>
      <c r="B275" s="80"/>
      <c r="C275" s="105"/>
      <c r="D275" s="106"/>
      <c r="E275" s="105"/>
      <c r="F275" s="106"/>
      <c r="Q275" s="80"/>
      <c r="R275" s="80"/>
      <c r="S275" s="80"/>
      <c r="AQ275" s="69"/>
    </row>
    <row r="276">
      <c r="A276" s="80"/>
      <c r="B276" s="80"/>
      <c r="C276" s="105"/>
      <c r="D276" s="106"/>
      <c r="E276" s="105"/>
      <c r="F276" s="106"/>
      <c r="Q276" s="80"/>
      <c r="R276" s="80"/>
      <c r="S276" s="80"/>
      <c r="AQ276" s="69"/>
    </row>
    <row r="277">
      <c r="A277" s="80"/>
      <c r="B277" s="80"/>
      <c r="C277" s="105"/>
      <c r="D277" s="106"/>
      <c r="E277" s="105"/>
      <c r="F277" s="106"/>
      <c r="Q277" s="80"/>
      <c r="R277" s="80"/>
      <c r="S277" s="80"/>
      <c r="AQ277" s="69"/>
    </row>
    <row r="278">
      <c r="A278" s="80"/>
      <c r="B278" s="80"/>
      <c r="C278" s="105"/>
      <c r="D278" s="106"/>
      <c r="E278" s="105"/>
      <c r="F278" s="106"/>
      <c r="Q278" s="80"/>
      <c r="R278" s="80"/>
      <c r="S278" s="80"/>
      <c r="AQ278" s="69"/>
    </row>
    <row r="279">
      <c r="A279" s="80"/>
      <c r="B279" s="80"/>
      <c r="C279" s="105"/>
      <c r="D279" s="106"/>
      <c r="E279" s="105"/>
      <c r="F279" s="106"/>
      <c r="Q279" s="80"/>
      <c r="R279" s="80"/>
      <c r="S279" s="80"/>
      <c r="AQ279" s="69"/>
    </row>
    <row r="280">
      <c r="A280" s="80"/>
      <c r="B280" s="80"/>
      <c r="C280" s="105"/>
      <c r="D280" s="106"/>
      <c r="E280" s="105"/>
      <c r="F280" s="106"/>
      <c r="Q280" s="80"/>
      <c r="R280" s="80"/>
      <c r="S280" s="80"/>
      <c r="AQ280" s="69"/>
    </row>
    <row r="281">
      <c r="A281" s="80"/>
      <c r="B281" s="80"/>
      <c r="C281" s="105"/>
      <c r="D281" s="106"/>
      <c r="E281" s="105"/>
      <c r="F281" s="106"/>
      <c r="Q281" s="80"/>
      <c r="R281" s="80"/>
      <c r="S281" s="80"/>
      <c r="AQ281" s="69"/>
    </row>
    <row r="282">
      <c r="A282" s="80"/>
      <c r="B282" s="80"/>
      <c r="C282" s="105"/>
      <c r="D282" s="106"/>
      <c r="E282" s="105"/>
      <c r="F282" s="106"/>
      <c r="Q282" s="80"/>
      <c r="R282" s="80"/>
      <c r="S282" s="80"/>
      <c r="AQ282" s="69"/>
    </row>
    <row r="283">
      <c r="A283" s="80"/>
      <c r="B283" s="80"/>
      <c r="C283" s="105"/>
      <c r="D283" s="106"/>
      <c r="E283" s="105"/>
      <c r="F283" s="106"/>
      <c r="Q283" s="80"/>
      <c r="R283" s="80"/>
      <c r="S283" s="80"/>
      <c r="AQ283" s="69"/>
    </row>
    <row r="284">
      <c r="A284" s="80"/>
      <c r="B284" s="80"/>
      <c r="C284" s="105"/>
      <c r="D284" s="106"/>
      <c r="E284" s="105"/>
      <c r="F284" s="106"/>
      <c r="Q284" s="80"/>
      <c r="R284" s="80"/>
      <c r="S284" s="80"/>
      <c r="AQ284" s="69"/>
    </row>
    <row r="285">
      <c r="A285" s="80"/>
      <c r="B285" s="80"/>
      <c r="C285" s="105"/>
      <c r="D285" s="106"/>
      <c r="E285" s="105"/>
      <c r="F285" s="106"/>
      <c r="Q285" s="80"/>
      <c r="R285" s="80"/>
      <c r="S285" s="80"/>
      <c r="AQ285" s="69"/>
    </row>
    <row r="286">
      <c r="A286" s="80"/>
      <c r="B286" s="80"/>
      <c r="C286" s="105"/>
      <c r="D286" s="106"/>
      <c r="E286" s="105"/>
      <c r="F286" s="106"/>
      <c r="Q286" s="80"/>
      <c r="R286" s="80"/>
      <c r="S286" s="80"/>
      <c r="AQ286" s="69"/>
    </row>
    <row r="287">
      <c r="A287" s="80"/>
      <c r="B287" s="80"/>
      <c r="C287" s="105"/>
      <c r="D287" s="106"/>
      <c r="E287" s="105"/>
      <c r="F287" s="106"/>
      <c r="Q287" s="80"/>
      <c r="R287" s="80"/>
      <c r="S287" s="80"/>
      <c r="AQ287" s="69"/>
    </row>
    <row r="288">
      <c r="A288" s="80"/>
      <c r="B288" s="80"/>
      <c r="C288" s="105"/>
      <c r="D288" s="106"/>
      <c r="E288" s="105"/>
      <c r="F288" s="106"/>
      <c r="Q288" s="80"/>
      <c r="R288" s="80"/>
      <c r="S288" s="80"/>
      <c r="AQ288" s="69"/>
    </row>
    <row r="289">
      <c r="A289" s="80"/>
      <c r="B289" s="80"/>
      <c r="C289" s="105"/>
      <c r="D289" s="106"/>
      <c r="E289" s="105"/>
      <c r="F289" s="106"/>
      <c r="Q289" s="80"/>
      <c r="R289" s="80"/>
      <c r="S289" s="80"/>
      <c r="AQ289" s="69"/>
    </row>
    <row r="290">
      <c r="A290" s="80"/>
      <c r="B290" s="80"/>
      <c r="C290" s="105"/>
      <c r="D290" s="106"/>
      <c r="E290" s="105"/>
      <c r="F290" s="106"/>
      <c r="Q290" s="80"/>
      <c r="R290" s="80"/>
      <c r="S290" s="80"/>
      <c r="AQ290" s="69"/>
    </row>
    <row r="291">
      <c r="A291" s="80"/>
      <c r="B291" s="80"/>
      <c r="C291" s="105"/>
      <c r="D291" s="106"/>
      <c r="E291" s="105"/>
      <c r="F291" s="106"/>
      <c r="Q291" s="80"/>
      <c r="R291" s="80"/>
      <c r="S291" s="80"/>
      <c r="AQ291" s="69"/>
    </row>
    <row r="292">
      <c r="A292" s="80"/>
      <c r="B292" s="80"/>
      <c r="C292" s="105"/>
      <c r="D292" s="106"/>
      <c r="E292" s="105"/>
      <c r="F292" s="106"/>
      <c r="Q292" s="80"/>
      <c r="R292" s="80"/>
      <c r="S292" s="80"/>
      <c r="AQ292" s="69"/>
    </row>
    <row r="293">
      <c r="A293" s="80"/>
      <c r="B293" s="80"/>
      <c r="C293" s="105"/>
      <c r="D293" s="106"/>
      <c r="E293" s="105"/>
      <c r="F293" s="106"/>
      <c r="Q293" s="80"/>
      <c r="R293" s="80"/>
      <c r="S293" s="80"/>
      <c r="AQ293" s="69"/>
    </row>
    <row r="294">
      <c r="A294" s="80"/>
      <c r="B294" s="80"/>
      <c r="C294" s="105"/>
      <c r="D294" s="106"/>
      <c r="E294" s="105"/>
      <c r="F294" s="106"/>
      <c r="Q294" s="80"/>
      <c r="R294" s="80"/>
      <c r="S294" s="80"/>
      <c r="AQ294" s="69"/>
    </row>
    <row r="295">
      <c r="A295" s="80"/>
      <c r="B295" s="80"/>
      <c r="C295" s="105"/>
      <c r="D295" s="106"/>
      <c r="E295" s="105"/>
      <c r="F295" s="106"/>
      <c r="Q295" s="80"/>
      <c r="R295" s="80"/>
      <c r="S295" s="80"/>
      <c r="AQ295" s="69"/>
    </row>
    <row r="296">
      <c r="A296" s="80"/>
      <c r="B296" s="80"/>
      <c r="C296" s="105"/>
      <c r="D296" s="106"/>
      <c r="E296" s="105"/>
      <c r="F296" s="106"/>
      <c r="Q296" s="80"/>
      <c r="R296" s="80"/>
      <c r="S296" s="80"/>
      <c r="AQ296" s="69"/>
    </row>
    <row r="297">
      <c r="A297" s="80"/>
      <c r="B297" s="80"/>
      <c r="C297" s="105"/>
      <c r="D297" s="106"/>
      <c r="E297" s="105"/>
      <c r="F297" s="106"/>
      <c r="Q297" s="80"/>
      <c r="R297" s="80"/>
      <c r="S297" s="80"/>
      <c r="AQ297" s="69"/>
    </row>
    <row r="298">
      <c r="A298" s="80"/>
      <c r="B298" s="80"/>
      <c r="C298" s="105"/>
      <c r="D298" s="106"/>
      <c r="E298" s="105"/>
      <c r="F298" s="106"/>
      <c r="Q298" s="80"/>
      <c r="R298" s="80"/>
      <c r="S298" s="80"/>
      <c r="AQ298" s="69"/>
    </row>
    <row r="299">
      <c r="A299" s="80"/>
      <c r="B299" s="80"/>
      <c r="C299" s="105"/>
      <c r="D299" s="106"/>
      <c r="E299" s="105"/>
      <c r="F299" s="106"/>
      <c r="Q299" s="80"/>
      <c r="R299" s="80"/>
      <c r="S299" s="80"/>
      <c r="AQ299" s="69"/>
    </row>
    <row r="300">
      <c r="A300" s="80"/>
      <c r="B300" s="80"/>
      <c r="C300" s="105"/>
      <c r="D300" s="106"/>
      <c r="E300" s="105"/>
      <c r="F300" s="106"/>
      <c r="Q300" s="80"/>
      <c r="R300" s="80"/>
      <c r="S300" s="80"/>
      <c r="AQ300" s="69"/>
    </row>
    <row r="301">
      <c r="A301" s="80"/>
      <c r="B301" s="80"/>
      <c r="C301" s="105"/>
      <c r="D301" s="106"/>
      <c r="E301" s="105"/>
      <c r="F301" s="106"/>
      <c r="Q301" s="80"/>
      <c r="R301" s="80"/>
      <c r="S301" s="80"/>
      <c r="AQ301" s="69"/>
    </row>
    <row r="302">
      <c r="A302" s="80"/>
      <c r="B302" s="80"/>
      <c r="C302" s="105"/>
      <c r="D302" s="106"/>
      <c r="E302" s="105"/>
      <c r="F302" s="106"/>
      <c r="Q302" s="80"/>
      <c r="R302" s="80"/>
      <c r="S302" s="80"/>
      <c r="AQ302" s="69"/>
    </row>
    <row r="303">
      <c r="A303" s="80"/>
      <c r="B303" s="80"/>
      <c r="C303" s="105"/>
      <c r="D303" s="106"/>
      <c r="E303" s="105"/>
      <c r="F303" s="106"/>
      <c r="Q303" s="80"/>
      <c r="R303" s="80"/>
      <c r="S303" s="80"/>
      <c r="AQ303" s="69"/>
    </row>
    <row r="304">
      <c r="A304" s="80"/>
      <c r="B304" s="80"/>
      <c r="C304" s="105"/>
      <c r="D304" s="106"/>
      <c r="E304" s="105"/>
      <c r="F304" s="106"/>
      <c r="Q304" s="80"/>
      <c r="R304" s="80"/>
      <c r="S304" s="80"/>
      <c r="AQ304" s="69"/>
    </row>
    <row r="305">
      <c r="A305" s="80"/>
      <c r="B305" s="80"/>
      <c r="C305" s="105"/>
      <c r="D305" s="106"/>
      <c r="E305" s="105"/>
      <c r="F305" s="106"/>
      <c r="Q305" s="80"/>
      <c r="R305" s="80"/>
      <c r="S305" s="80"/>
      <c r="AQ305" s="69"/>
    </row>
    <row r="306">
      <c r="A306" s="80"/>
      <c r="B306" s="80"/>
      <c r="C306" s="105"/>
      <c r="D306" s="106"/>
      <c r="E306" s="105"/>
      <c r="F306" s="106"/>
      <c r="Q306" s="80"/>
      <c r="R306" s="80"/>
      <c r="S306" s="80"/>
      <c r="AQ306" s="69"/>
    </row>
    <row r="307">
      <c r="A307" s="80"/>
      <c r="B307" s="80"/>
      <c r="C307" s="105"/>
      <c r="D307" s="106"/>
      <c r="E307" s="105"/>
      <c r="F307" s="106"/>
      <c r="Q307" s="80"/>
      <c r="R307" s="80"/>
      <c r="S307" s="80"/>
      <c r="AQ307" s="69"/>
    </row>
    <row r="308">
      <c r="A308" s="80"/>
      <c r="B308" s="80"/>
      <c r="C308" s="105"/>
      <c r="D308" s="106"/>
      <c r="E308" s="105"/>
      <c r="F308" s="106"/>
      <c r="Q308" s="80"/>
      <c r="R308" s="80"/>
      <c r="S308" s="80"/>
      <c r="AQ308" s="69"/>
    </row>
    <row r="309">
      <c r="A309" s="80"/>
      <c r="B309" s="80"/>
      <c r="C309" s="105"/>
      <c r="D309" s="106"/>
      <c r="E309" s="105"/>
      <c r="F309" s="106"/>
      <c r="Q309" s="80"/>
      <c r="R309" s="80"/>
      <c r="S309" s="80"/>
      <c r="AQ309" s="69"/>
    </row>
    <row r="310">
      <c r="A310" s="80"/>
      <c r="B310" s="80"/>
      <c r="C310" s="105"/>
      <c r="D310" s="106"/>
      <c r="E310" s="105"/>
      <c r="F310" s="106"/>
      <c r="Q310" s="80"/>
      <c r="R310" s="80"/>
      <c r="S310" s="80"/>
      <c r="AQ310" s="69"/>
    </row>
    <row r="311">
      <c r="A311" s="80"/>
      <c r="B311" s="80"/>
      <c r="C311" s="105"/>
      <c r="D311" s="106"/>
      <c r="E311" s="105"/>
      <c r="F311" s="106"/>
      <c r="Q311" s="80"/>
      <c r="R311" s="80"/>
      <c r="S311" s="80"/>
      <c r="AQ311" s="69"/>
    </row>
    <row r="312">
      <c r="A312" s="80"/>
      <c r="B312" s="80"/>
      <c r="C312" s="105"/>
      <c r="D312" s="106"/>
      <c r="E312" s="105"/>
      <c r="F312" s="106"/>
      <c r="Q312" s="80"/>
      <c r="R312" s="80"/>
      <c r="S312" s="80"/>
      <c r="AQ312" s="69"/>
    </row>
    <row r="313">
      <c r="A313" s="80"/>
      <c r="B313" s="80"/>
      <c r="C313" s="105"/>
      <c r="D313" s="106"/>
      <c r="E313" s="105"/>
      <c r="F313" s="106"/>
      <c r="Q313" s="80"/>
      <c r="R313" s="80"/>
      <c r="S313" s="80"/>
      <c r="AQ313" s="69"/>
    </row>
    <row r="314">
      <c r="A314" s="80"/>
      <c r="B314" s="80"/>
      <c r="C314" s="105"/>
      <c r="D314" s="106"/>
      <c r="E314" s="105"/>
      <c r="F314" s="106"/>
      <c r="Q314" s="80"/>
      <c r="R314" s="80"/>
      <c r="S314" s="80"/>
      <c r="AQ314" s="69"/>
    </row>
    <row r="315">
      <c r="A315" s="80"/>
      <c r="B315" s="80"/>
      <c r="C315" s="105"/>
      <c r="D315" s="106"/>
      <c r="E315" s="105"/>
      <c r="F315" s="106"/>
      <c r="Q315" s="80"/>
      <c r="R315" s="80"/>
      <c r="S315" s="80"/>
      <c r="AQ315" s="69"/>
    </row>
    <row r="316">
      <c r="A316" s="80"/>
      <c r="B316" s="80"/>
      <c r="C316" s="105"/>
      <c r="D316" s="106"/>
      <c r="E316" s="105"/>
      <c r="F316" s="106"/>
      <c r="Q316" s="80"/>
      <c r="R316" s="80"/>
      <c r="S316" s="80"/>
      <c r="AQ316" s="69"/>
    </row>
    <row r="317">
      <c r="A317" s="80"/>
      <c r="B317" s="80"/>
      <c r="C317" s="105"/>
      <c r="D317" s="106"/>
      <c r="E317" s="105"/>
      <c r="F317" s="106"/>
      <c r="Q317" s="80"/>
      <c r="R317" s="80"/>
      <c r="S317" s="80"/>
      <c r="AQ317" s="69"/>
    </row>
    <row r="318">
      <c r="A318" s="80"/>
      <c r="B318" s="80"/>
      <c r="C318" s="105"/>
      <c r="D318" s="106"/>
      <c r="E318" s="105"/>
      <c r="F318" s="106"/>
      <c r="Q318" s="80"/>
      <c r="R318" s="80"/>
      <c r="S318" s="80"/>
      <c r="AQ318" s="69"/>
    </row>
    <row r="319">
      <c r="A319" s="80"/>
      <c r="B319" s="80"/>
      <c r="C319" s="105"/>
      <c r="D319" s="106"/>
      <c r="E319" s="105"/>
      <c r="F319" s="106"/>
      <c r="Q319" s="80"/>
      <c r="R319" s="80"/>
      <c r="S319" s="80"/>
      <c r="AQ319" s="69"/>
    </row>
    <row r="320">
      <c r="A320" s="80"/>
      <c r="B320" s="80"/>
      <c r="C320" s="105"/>
      <c r="D320" s="106"/>
      <c r="E320" s="105"/>
      <c r="F320" s="106"/>
      <c r="Q320" s="80"/>
      <c r="R320" s="80"/>
      <c r="S320" s="80"/>
      <c r="AQ320" s="69"/>
    </row>
    <row r="321">
      <c r="A321" s="80"/>
      <c r="B321" s="80"/>
      <c r="C321" s="105"/>
      <c r="D321" s="106"/>
      <c r="E321" s="105"/>
      <c r="F321" s="106"/>
      <c r="Q321" s="80"/>
      <c r="R321" s="80"/>
      <c r="S321" s="80"/>
      <c r="AQ321" s="69"/>
    </row>
    <row r="322">
      <c r="A322" s="80"/>
      <c r="B322" s="80"/>
      <c r="C322" s="105"/>
      <c r="D322" s="106"/>
      <c r="E322" s="105"/>
      <c r="F322" s="106"/>
      <c r="Q322" s="80"/>
      <c r="R322" s="80"/>
      <c r="S322" s="80"/>
      <c r="AQ322" s="69"/>
    </row>
    <row r="323">
      <c r="A323" s="80"/>
      <c r="B323" s="80"/>
      <c r="C323" s="105"/>
      <c r="D323" s="106"/>
      <c r="E323" s="105"/>
      <c r="F323" s="106"/>
      <c r="Q323" s="80"/>
      <c r="R323" s="80"/>
      <c r="S323" s="80"/>
      <c r="AQ323" s="69"/>
    </row>
    <row r="324">
      <c r="A324" s="80"/>
      <c r="B324" s="80"/>
      <c r="C324" s="105"/>
      <c r="D324" s="106"/>
      <c r="E324" s="105"/>
      <c r="F324" s="106"/>
      <c r="Q324" s="80"/>
      <c r="R324" s="80"/>
      <c r="S324" s="80"/>
      <c r="AQ324" s="69"/>
    </row>
    <row r="325">
      <c r="A325" s="80"/>
      <c r="B325" s="80"/>
      <c r="C325" s="105"/>
      <c r="D325" s="106"/>
      <c r="E325" s="105"/>
      <c r="F325" s="106"/>
      <c r="Q325" s="80"/>
      <c r="R325" s="80"/>
      <c r="S325" s="80"/>
      <c r="AQ325" s="69"/>
    </row>
    <row r="326">
      <c r="A326" s="80"/>
      <c r="B326" s="80"/>
      <c r="C326" s="105"/>
      <c r="D326" s="106"/>
      <c r="E326" s="105"/>
      <c r="F326" s="106"/>
      <c r="Q326" s="80"/>
      <c r="R326" s="80"/>
      <c r="S326" s="80"/>
      <c r="AQ326" s="69"/>
    </row>
    <row r="327">
      <c r="A327" s="80"/>
      <c r="B327" s="80"/>
      <c r="C327" s="105"/>
      <c r="D327" s="106"/>
      <c r="E327" s="105"/>
      <c r="F327" s="106"/>
      <c r="Q327" s="80"/>
      <c r="R327" s="80"/>
      <c r="S327" s="80"/>
      <c r="AQ327" s="69"/>
    </row>
    <row r="328">
      <c r="A328" s="80"/>
      <c r="B328" s="80"/>
      <c r="C328" s="105"/>
      <c r="D328" s="106"/>
      <c r="E328" s="105"/>
      <c r="F328" s="106"/>
      <c r="Q328" s="80"/>
      <c r="R328" s="80"/>
      <c r="S328" s="80"/>
      <c r="AQ328" s="69"/>
    </row>
    <row r="329">
      <c r="A329" s="80"/>
      <c r="B329" s="80"/>
      <c r="C329" s="105"/>
      <c r="D329" s="106"/>
      <c r="E329" s="105"/>
      <c r="F329" s="106"/>
      <c r="Q329" s="80"/>
      <c r="R329" s="80"/>
      <c r="S329" s="80"/>
      <c r="AQ329" s="69"/>
    </row>
    <row r="330">
      <c r="A330" s="80"/>
      <c r="B330" s="80"/>
      <c r="C330" s="105"/>
      <c r="D330" s="106"/>
      <c r="E330" s="105"/>
      <c r="F330" s="106"/>
      <c r="Q330" s="80"/>
      <c r="R330" s="80"/>
      <c r="S330" s="80"/>
      <c r="AQ330" s="69"/>
    </row>
    <row r="331">
      <c r="A331" s="80"/>
      <c r="B331" s="80"/>
      <c r="C331" s="105"/>
      <c r="D331" s="106"/>
      <c r="E331" s="105"/>
      <c r="F331" s="106"/>
      <c r="Q331" s="80"/>
      <c r="R331" s="80"/>
      <c r="S331" s="80"/>
      <c r="AQ331" s="69"/>
    </row>
    <row r="332">
      <c r="A332" s="80"/>
      <c r="B332" s="80"/>
      <c r="C332" s="105"/>
      <c r="D332" s="106"/>
      <c r="E332" s="105"/>
      <c r="F332" s="106"/>
      <c r="Q332" s="80"/>
      <c r="R332" s="80"/>
      <c r="S332" s="80"/>
      <c r="AQ332" s="69"/>
    </row>
    <row r="333">
      <c r="A333" s="80"/>
      <c r="B333" s="80"/>
      <c r="C333" s="105"/>
      <c r="D333" s="106"/>
      <c r="E333" s="105"/>
      <c r="F333" s="106"/>
      <c r="Q333" s="80"/>
      <c r="R333" s="80"/>
      <c r="S333" s="80"/>
      <c r="AQ333" s="69"/>
    </row>
    <row r="334">
      <c r="A334" s="80"/>
      <c r="B334" s="80"/>
      <c r="C334" s="105"/>
      <c r="D334" s="106"/>
      <c r="E334" s="105"/>
      <c r="F334" s="106"/>
      <c r="Q334" s="80"/>
      <c r="R334" s="80"/>
      <c r="S334" s="80"/>
      <c r="AQ334" s="69"/>
    </row>
    <row r="335">
      <c r="A335" s="80"/>
      <c r="B335" s="80"/>
      <c r="C335" s="105"/>
      <c r="D335" s="106"/>
      <c r="E335" s="105"/>
      <c r="F335" s="106"/>
      <c r="Q335" s="80"/>
      <c r="R335" s="80"/>
      <c r="S335" s="80"/>
      <c r="AQ335" s="69"/>
    </row>
    <row r="336">
      <c r="A336" s="80"/>
      <c r="B336" s="80"/>
      <c r="C336" s="105"/>
      <c r="D336" s="106"/>
      <c r="E336" s="105"/>
      <c r="F336" s="106"/>
      <c r="Q336" s="80"/>
      <c r="R336" s="80"/>
      <c r="S336" s="80"/>
      <c r="AQ336" s="69"/>
    </row>
    <row r="337">
      <c r="A337" s="80"/>
      <c r="B337" s="80"/>
      <c r="C337" s="105"/>
      <c r="D337" s="106"/>
      <c r="E337" s="105"/>
      <c r="F337" s="106"/>
      <c r="Q337" s="80"/>
      <c r="R337" s="80"/>
      <c r="S337" s="80"/>
      <c r="AQ337" s="69"/>
    </row>
    <row r="338">
      <c r="A338" s="80"/>
      <c r="B338" s="80"/>
      <c r="C338" s="105"/>
      <c r="D338" s="106"/>
      <c r="E338" s="105"/>
      <c r="F338" s="106"/>
      <c r="Q338" s="80"/>
      <c r="R338" s="80"/>
      <c r="S338" s="80"/>
      <c r="AQ338" s="69"/>
    </row>
    <row r="339">
      <c r="A339" s="80"/>
      <c r="B339" s="80"/>
      <c r="C339" s="105"/>
      <c r="D339" s="106"/>
      <c r="E339" s="105"/>
      <c r="F339" s="106"/>
      <c r="Q339" s="80"/>
      <c r="R339" s="80"/>
      <c r="S339" s="80"/>
      <c r="AQ339" s="69"/>
    </row>
    <row r="340">
      <c r="A340" s="80"/>
      <c r="B340" s="80"/>
      <c r="C340" s="105"/>
      <c r="D340" s="106"/>
      <c r="E340" s="105"/>
      <c r="F340" s="106"/>
      <c r="Q340" s="80"/>
      <c r="R340" s="80"/>
      <c r="S340" s="80"/>
      <c r="AQ340" s="69"/>
    </row>
    <row r="341">
      <c r="A341" s="80"/>
      <c r="B341" s="80"/>
      <c r="C341" s="105"/>
      <c r="D341" s="106"/>
      <c r="E341" s="105"/>
      <c r="F341" s="106"/>
      <c r="Q341" s="80"/>
      <c r="R341" s="80"/>
      <c r="S341" s="80"/>
      <c r="AQ341" s="69"/>
    </row>
    <row r="342">
      <c r="A342" s="80"/>
      <c r="B342" s="80"/>
      <c r="C342" s="105"/>
      <c r="D342" s="106"/>
      <c r="E342" s="105"/>
      <c r="F342" s="106"/>
      <c r="Q342" s="80"/>
      <c r="R342" s="80"/>
      <c r="S342" s="80"/>
      <c r="AQ342" s="69"/>
    </row>
    <row r="343">
      <c r="A343" s="80"/>
      <c r="B343" s="80"/>
      <c r="C343" s="105"/>
      <c r="D343" s="106"/>
      <c r="E343" s="105"/>
      <c r="F343" s="106"/>
      <c r="Q343" s="80"/>
      <c r="R343" s="80"/>
      <c r="S343" s="80"/>
      <c r="AQ343" s="69"/>
    </row>
    <row r="344">
      <c r="A344" s="80"/>
      <c r="B344" s="80"/>
      <c r="C344" s="105"/>
      <c r="D344" s="106"/>
      <c r="E344" s="105"/>
      <c r="F344" s="106"/>
      <c r="Q344" s="80"/>
      <c r="R344" s="80"/>
      <c r="S344" s="80"/>
      <c r="AQ344" s="69"/>
    </row>
    <row r="345">
      <c r="A345" s="80"/>
      <c r="B345" s="80"/>
      <c r="C345" s="105"/>
      <c r="D345" s="106"/>
      <c r="E345" s="105"/>
      <c r="F345" s="106"/>
      <c r="Q345" s="80"/>
      <c r="R345" s="80"/>
      <c r="S345" s="80"/>
      <c r="AQ345" s="69"/>
    </row>
    <row r="346">
      <c r="A346" s="80"/>
      <c r="B346" s="80"/>
      <c r="C346" s="105"/>
      <c r="D346" s="106"/>
      <c r="E346" s="105"/>
      <c r="F346" s="106"/>
      <c r="Q346" s="80"/>
      <c r="R346" s="80"/>
      <c r="S346" s="80"/>
      <c r="AQ346" s="69"/>
    </row>
    <row r="347">
      <c r="A347" s="80"/>
      <c r="B347" s="80"/>
      <c r="C347" s="105"/>
      <c r="D347" s="106"/>
      <c r="E347" s="105"/>
      <c r="F347" s="106"/>
      <c r="Q347" s="80"/>
      <c r="R347" s="80"/>
      <c r="S347" s="80"/>
      <c r="AQ347" s="69"/>
    </row>
    <row r="348">
      <c r="A348" s="80"/>
      <c r="B348" s="80"/>
      <c r="C348" s="105"/>
      <c r="D348" s="106"/>
      <c r="E348" s="105"/>
      <c r="F348" s="106"/>
      <c r="Q348" s="80"/>
      <c r="R348" s="80"/>
      <c r="S348" s="80"/>
      <c r="AQ348" s="69"/>
    </row>
    <row r="349">
      <c r="A349" s="80"/>
      <c r="B349" s="80"/>
      <c r="C349" s="105"/>
      <c r="D349" s="106"/>
      <c r="E349" s="105"/>
      <c r="F349" s="106"/>
      <c r="Q349" s="80"/>
      <c r="R349" s="80"/>
      <c r="S349" s="80"/>
      <c r="AQ349" s="69"/>
    </row>
    <row r="350">
      <c r="A350" s="80"/>
      <c r="B350" s="80"/>
      <c r="C350" s="105"/>
      <c r="D350" s="106"/>
      <c r="E350" s="105"/>
      <c r="F350" s="106"/>
      <c r="Q350" s="80"/>
      <c r="R350" s="80"/>
      <c r="S350" s="80"/>
      <c r="AQ350" s="69"/>
    </row>
    <row r="351">
      <c r="A351" s="80"/>
      <c r="B351" s="80"/>
      <c r="C351" s="105"/>
      <c r="D351" s="106"/>
      <c r="E351" s="105"/>
      <c r="F351" s="106"/>
      <c r="Q351" s="80"/>
      <c r="R351" s="80"/>
      <c r="S351" s="80"/>
      <c r="AQ351" s="69"/>
    </row>
    <row r="352">
      <c r="A352" s="80"/>
      <c r="B352" s="80"/>
      <c r="C352" s="105"/>
      <c r="D352" s="106"/>
      <c r="E352" s="105"/>
      <c r="F352" s="106"/>
      <c r="Q352" s="80"/>
      <c r="R352" s="80"/>
      <c r="S352" s="80"/>
      <c r="AQ352" s="69"/>
    </row>
    <row r="353">
      <c r="A353" s="80"/>
      <c r="B353" s="80"/>
      <c r="C353" s="105"/>
      <c r="D353" s="106"/>
      <c r="E353" s="105"/>
      <c r="F353" s="106"/>
      <c r="Q353" s="80"/>
      <c r="R353" s="80"/>
      <c r="S353" s="80"/>
      <c r="AQ353" s="69"/>
    </row>
    <row r="354">
      <c r="A354" s="80"/>
      <c r="B354" s="80"/>
      <c r="C354" s="105"/>
      <c r="D354" s="106"/>
      <c r="E354" s="105"/>
      <c r="F354" s="106"/>
      <c r="Q354" s="80"/>
      <c r="R354" s="80"/>
      <c r="S354" s="80"/>
      <c r="AQ354" s="69"/>
    </row>
    <row r="355">
      <c r="A355" s="80"/>
      <c r="B355" s="80"/>
      <c r="C355" s="105"/>
      <c r="D355" s="106"/>
      <c r="E355" s="105"/>
      <c r="F355" s="106"/>
      <c r="Q355" s="80"/>
      <c r="R355" s="80"/>
      <c r="S355" s="80"/>
      <c r="AQ355" s="69"/>
    </row>
    <row r="356">
      <c r="A356" s="80"/>
      <c r="B356" s="80"/>
      <c r="C356" s="105"/>
      <c r="D356" s="106"/>
      <c r="E356" s="105"/>
      <c r="F356" s="106"/>
      <c r="Q356" s="80"/>
      <c r="R356" s="80"/>
      <c r="S356" s="80"/>
      <c r="AQ356" s="69"/>
    </row>
    <row r="357">
      <c r="A357" s="80"/>
      <c r="B357" s="80"/>
      <c r="C357" s="105"/>
      <c r="D357" s="106"/>
      <c r="E357" s="105"/>
      <c r="F357" s="106"/>
      <c r="Q357" s="80"/>
      <c r="R357" s="80"/>
      <c r="S357" s="80"/>
      <c r="AQ357" s="69"/>
    </row>
    <row r="358">
      <c r="A358" s="80"/>
      <c r="B358" s="80"/>
      <c r="C358" s="105"/>
      <c r="D358" s="106"/>
      <c r="E358" s="105"/>
      <c r="F358" s="106"/>
      <c r="Q358" s="80"/>
      <c r="R358" s="80"/>
      <c r="S358" s="80"/>
      <c r="AQ358" s="69"/>
    </row>
    <row r="359">
      <c r="A359" s="80"/>
      <c r="B359" s="80"/>
      <c r="C359" s="105"/>
      <c r="D359" s="106"/>
      <c r="E359" s="105"/>
      <c r="F359" s="106"/>
      <c r="Q359" s="80"/>
      <c r="R359" s="80"/>
      <c r="S359" s="80"/>
      <c r="AQ359" s="69"/>
    </row>
    <row r="360">
      <c r="A360" s="80"/>
      <c r="B360" s="80"/>
      <c r="C360" s="105"/>
      <c r="D360" s="106"/>
      <c r="E360" s="105"/>
      <c r="F360" s="106"/>
      <c r="Q360" s="80"/>
      <c r="R360" s="80"/>
      <c r="S360" s="80"/>
      <c r="AQ360" s="69"/>
    </row>
    <row r="361">
      <c r="A361" s="80"/>
      <c r="B361" s="80"/>
      <c r="C361" s="105"/>
      <c r="D361" s="106"/>
      <c r="E361" s="105"/>
      <c r="F361" s="106"/>
      <c r="Q361" s="80"/>
      <c r="R361" s="80"/>
      <c r="S361" s="80"/>
      <c r="AQ361" s="69"/>
    </row>
    <row r="362">
      <c r="A362" s="80"/>
      <c r="B362" s="80"/>
      <c r="C362" s="105"/>
      <c r="D362" s="106"/>
      <c r="E362" s="105"/>
      <c r="F362" s="106"/>
      <c r="Q362" s="80"/>
      <c r="R362" s="80"/>
      <c r="S362" s="80"/>
      <c r="AQ362" s="69"/>
    </row>
    <row r="363">
      <c r="A363" s="80"/>
      <c r="B363" s="80"/>
      <c r="C363" s="105"/>
      <c r="D363" s="106"/>
      <c r="E363" s="105"/>
      <c r="F363" s="106"/>
      <c r="Q363" s="80"/>
      <c r="R363" s="80"/>
      <c r="S363" s="80"/>
      <c r="AQ363" s="69"/>
    </row>
    <row r="364">
      <c r="A364" s="80"/>
      <c r="B364" s="80"/>
      <c r="C364" s="105"/>
      <c r="D364" s="106"/>
      <c r="E364" s="105"/>
      <c r="F364" s="106"/>
      <c r="Q364" s="80"/>
      <c r="R364" s="80"/>
      <c r="S364" s="80"/>
      <c r="AQ364" s="69"/>
    </row>
    <row r="365">
      <c r="A365" s="80"/>
      <c r="B365" s="80"/>
      <c r="C365" s="105"/>
      <c r="D365" s="106"/>
      <c r="E365" s="105"/>
      <c r="F365" s="106"/>
      <c r="Q365" s="80"/>
      <c r="R365" s="80"/>
      <c r="S365" s="80"/>
      <c r="AQ365" s="69"/>
    </row>
    <row r="366">
      <c r="A366" s="80"/>
      <c r="B366" s="80"/>
      <c r="C366" s="105"/>
      <c r="D366" s="106"/>
      <c r="E366" s="105"/>
      <c r="F366" s="106"/>
      <c r="Q366" s="80"/>
      <c r="R366" s="80"/>
      <c r="S366" s="80"/>
      <c r="AQ366" s="69"/>
    </row>
    <row r="367">
      <c r="A367" s="80"/>
      <c r="B367" s="80"/>
      <c r="C367" s="105"/>
      <c r="D367" s="106"/>
      <c r="E367" s="105"/>
      <c r="F367" s="106"/>
      <c r="Q367" s="80"/>
      <c r="R367" s="80"/>
      <c r="S367" s="80"/>
      <c r="AQ367" s="69"/>
    </row>
    <row r="368">
      <c r="A368" s="80"/>
      <c r="B368" s="80"/>
      <c r="C368" s="105"/>
      <c r="D368" s="106"/>
      <c r="E368" s="105"/>
      <c r="F368" s="106"/>
      <c r="Q368" s="80"/>
      <c r="R368" s="80"/>
      <c r="S368" s="80"/>
      <c r="AQ368" s="69"/>
    </row>
    <row r="369">
      <c r="A369" s="80"/>
      <c r="B369" s="80"/>
      <c r="C369" s="105"/>
      <c r="D369" s="106"/>
      <c r="E369" s="105"/>
      <c r="F369" s="106"/>
      <c r="Q369" s="80"/>
      <c r="R369" s="80"/>
      <c r="S369" s="80"/>
      <c r="AQ369" s="69"/>
    </row>
    <row r="370">
      <c r="A370" s="80"/>
      <c r="B370" s="80"/>
      <c r="C370" s="105"/>
      <c r="D370" s="106"/>
      <c r="E370" s="105"/>
      <c r="F370" s="106"/>
      <c r="Q370" s="80"/>
      <c r="R370" s="80"/>
      <c r="S370" s="80"/>
      <c r="AQ370" s="69"/>
    </row>
    <row r="371">
      <c r="A371" s="80"/>
      <c r="B371" s="80"/>
      <c r="C371" s="105"/>
      <c r="D371" s="106"/>
      <c r="E371" s="105"/>
      <c r="F371" s="106"/>
      <c r="Q371" s="80"/>
      <c r="R371" s="80"/>
      <c r="S371" s="80"/>
      <c r="AQ371" s="69"/>
    </row>
    <row r="372">
      <c r="A372" s="80"/>
      <c r="B372" s="80"/>
      <c r="C372" s="105"/>
      <c r="D372" s="106"/>
      <c r="E372" s="105"/>
      <c r="F372" s="106"/>
      <c r="Q372" s="80"/>
      <c r="R372" s="80"/>
      <c r="S372" s="80"/>
      <c r="AQ372" s="69"/>
    </row>
    <row r="373">
      <c r="A373" s="80"/>
      <c r="B373" s="80"/>
      <c r="C373" s="105"/>
      <c r="D373" s="106"/>
      <c r="E373" s="105"/>
      <c r="F373" s="106"/>
      <c r="Q373" s="80"/>
      <c r="R373" s="80"/>
      <c r="S373" s="80"/>
      <c r="AQ373" s="69"/>
    </row>
    <row r="374">
      <c r="A374" s="109" t="s">
        <v>2</v>
      </c>
      <c r="B374" s="109" t="s">
        <v>3</v>
      </c>
      <c r="C374" s="110" t="s">
        <v>4</v>
      </c>
      <c r="D374" s="106"/>
      <c r="E374" s="110" t="s">
        <v>5</v>
      </c>
      <c r="F374" s="106"/>
      <c r="G374" s="112" t="s">
        <v>6</v>
      </c>
      <c r="Q374" s="80"/>
      <c r="R374" s="109"/>
      <c r="S374" s="109"/>
      <c r="AQ374" s="69"/>
    </row>
    <row r="375">
      <c r="A375" s="71" t="s">
        <v>142</v>
      </c>
      <c r="B375" s="51">
        <v>32.0</v>
      </c>
      <c r="C375" s="111" t="s">
        <v>33</v>
      </c>
      <c r="D375" s="106"/>
      <c r="E375" s="111" t="s">
        <v>34</v>
      </c>
      <c r="F375" s="106"/>
      <c r="G375" s="36" t="s">
        <v>35</v>
      </c>
      <c r="Q375" s="80"/>
      <c r="R375" s="51"/>
      <c r="S375" s="51"/>
      <c r="AQ375" s="69"/>
    </row>
    <row r="376">
      <c r="A376" s="71" t="s">
        <v>138</v>
      </c>
      <c r="B376" s="51">
        <v>23.0</v>
      </c>
      <c r="C376" s="111" t="s">
        <v>33</v>
      </c>
      <c r="D376" s="106"/>
      <c r="E376" s="111" t="s">
        <v>34</v>
      </c>
      <c r="F376" s="106"/>
      <c r="G376" s="36" t="s">
        <v>39</v>
      </c>
      <c r="Q376" s="80"/>
      <c r="R376" s="51"/>
      <c r="S376" s="51"/>
      <c r="AQ376" s="69"/>
    </row>
    <row r="377">
      <c r="A377" s="71" t="s">
        <v>121</v>
      </c>
      <c r="B377" s="51">
        <v>24.0</v>
      </c>
      <c r="C377" s="111" t="s">
        <v>43</v>
      </c>
      <c r="D377" s="106"/>
      <c r="E377" s="111" t="s">
        <v>34</v>
      </c>
      <c r="F377" s="106"/>
      <c r="G377" s="36" t="s">
        <v>44</v>
      </c>
      <c r="Q377" s="80"/>
      <c r="R377" s="51"/>
      <c r="S377" s="51"/>
      <c r="AQ377" s="69"/>
    </row>
    <row r="378">
      <c r="A378" s="71" t="s">
        <v>143</v>
      </c>
      <c r="B378" s="51">
        <v>30.0</v>
      </c>
      <c r="C378" s="111" t="s">
        <v>33</v>
      </c>
      <c r="D378" s="106"/>
      <c r="E378" s="111" t="s">
        <v>34</v>
      </c>
      <c r="F378" s="106"/>
      <c r="G378" s="36" t="s">
        <v>44</v>
      </c>
      <c r="Q378" s="80"/>
      <c r="R378" s="51"/>
      <c r="S378" s="51"/>
      <c r="AQ378" s="69"/>
    </row>
    <row r="379">
      <c r="A379" s="71" t="s">
        <v>122</v>
      </c>
      <c r="B379" s="51">
        <v>24.0</v>
      </c>
      <c r="C379" s="111" t="s">
        <v>43</v>
      </c>
      <c r="D379" s="106"/>
      <c r="E379" s="111" t="s">
        <v>34</v>
      </c>
      <c r="F379" s="106"/>
      <c r="G379" s="36" t="s">
        <v>44</v>
      </c>
      <c r="Q379" s="80"/>
      <c r="R379" s="51"/>
      <c r="S379" s="51"/>
      <c r="AQ379" s="69"/>
    </row>
    <row r="380">
      <c r="A380" s="71" t="s">
        <v>123</v>
      </c>
      <c r="B380" s="51">
        <v>27.0</v>
      </c>
      <c r="C380" s="111" t="s">
        <v>33</v>
      </c>
      <c r="D380" s="106"/>
      <c r="E380" s="111" t="s">
        <v>34</v>
      </c>
      <c r="F380" s="106"/>
      <c r="G380" s="36" t="s">
        <v>44</v>
      </c>
      <c r="Q380" s="80"/>
      <c r="R380" s="51"/>
      <c r="S380" s="51"/>
      <c r="AQ380" s="69"/>
    </row>
    <row r="381">
      <c r="A381" s="71" t="s">
        <v>124</v>
      </c>
      <c r="B381" s="51">
        <v>22.0</v>
      </c>
      <c r="C381" s="111" t="s">
        <v>43</v>
      </c>
      <c r="D381" s="106"/>
      <c r="E381" s="111" t="s">
        <v>34</v>
      </c>
      <c r="F381" s="106"/>
      <c r="G381" s="36" t="s">
        <v>49</v>
      </c>
      <c r="Q381" s="80"/>
      <c r="R381" s="51"/>
      <c r="S381" s="51"/>
      <c r="AQ381" s="69"/>
    </row>
    <row r="382">
      <c r="A382" s="71" t="s">
        <v>125</v>
      </c>
      <c r="B382" s="51">
        <v>23.0</v>
      </c>
      <c r="C382" s="111" t="s">
        <v>33</v>
      </c>
      <c r="D382" s="106"/>
      <c r="E382" s="111" t="s">
        <v>34</v>
      </c>
      <c r="F382" s="106"/>
      <c r="G382" s="36" t="s">
        <v>44</v>
      </c>
      <c r="Q382" s="80"/>
      <c r="R382" s="51"/>
      <c r="S382" s="51"/>
      <c r="AQ382" s="69"/>
    </row>
    <row r="383">
      <c r="A383" s="71" t="s">
        <v>126</v>
      </c>
      <c r="B383" s="51">
        <v>31.0</v>
      </c>
      <c r="C383" s="111" t="s">
        <v>43</v>
      </c>
      <c r="D383" s="106"/>
      <c r="E383" s="111" t="s">
        <v>34</v>
      </c>
      <c r="F383" s="106"/>
      <c r="G383" s="36" t="s">
        <v>44</v>
      </c>
      <c r="Q383" s="80"/>
      <c r="R383" s="51"/>
      <c r="S383" s="51"/>
      <c r="AQ383" s="69"/>
    </row>
    <row r="384">
      <c r="A384" s="71" t="s">
        <v>127</v>
      </c>
      <c r="B384" s="51">
        <v>31.0</v>
      </c>
      <c r="C384" s="111" t="s">
        <v>33</v>
      </c>
      <c r="D384" s="106"/>
      <c r="E384" s="111" t="s">
        <v>34</v>
      </c>
      <c r="F384" s="106"/>
      <c r="G384" s="36" t="s">
        <v>49</v>
      </c>
      <c r="Q384" s="80"/>
      <c r="R384" s="51"/>
      <c r="S384" s="51"/>
      <c r="AQ384" s="69"/>
    </row>
    <row r="385">
      <c r="A385" s="51">
        <v>10.0</v>
      </c>
      <c r="B385" s="51">
        <v>31.0</v>
      </c>
      <c r="C385" s="111" t="s">
        <v>43</v>
      </c>
      <c r="D385" s="106"/>
      <c r="E385" s="111" t="s">
        <v>34</v>
      </c>
      <c r="F385" s="106"/>
      <c r="G385" s="36" t="s">
        <v>35</v>
      </c>
      <c r="Q385" s="80"/>
      <c r="R385" s="51"/>
      <c r="S385" s="51"/>
      <c r="AQ385" s="69"/>
    </row>
    <row r="386">
      <c r="A386" s="51">
        <v>11.0</v>
      </c>
      <c r="B386" s="51">
        <v>24.0</v>
      </c>
      <c r="C386" s="111" t="s">
        <v>43</v>
      </c>
      <c r="D386" s="106"/>
      <c r="E386" s="111" t="s">
        <v>34</v>
      </c>
      <c r="F386" s="106"/>
      <c r="G386" s="36" t="s">
        <v>39</v>
      </c>
      <c r="Q386" s="80"/>
      <c r="R386" s="51"/>
      <c r="S386" s="51"/>
      <c r="AQ386" s="69"/>
    </row>
    <row r="387">
      <c r="A387" s="51">
        <v>12.0</v>
      </c>
      <c r="B387" s="51">
        <v>42.0</v>
      </c>
      <c r="C387" s="111" t="s">
        <v>33</v>
      </c>
      <c r="D387" s="106"/>
      <c r="E387" s="111" t="s">
        <v>34</v>
      </c>
      <c r="F387" s="106"/>
      <c r="G387" s="36" t="s">
        <v>49</v>
      </c>
      <c r="Q387" s="80"/>
      <c r="R387" s="51"/>
      <c r="S387" s="51"/>
      <c r="AQ387" s="69"/>
    </row>
    <row r="388">
      <c r="A388" s="51">
        <v>13.0</v>
      </c>
      <c r="B388" s="51">
        <v>26.0</v>
      </c>
      <c r="C388" s="111" t="s">
        <v>33</v>
      </c>
      <c r="D388" s="106"/>
      <c r="E388" s="111" t="s">
        <v>34</v>
      </c>
      <c r="F388" s="106"/>
      <c r="G388" s="36" t="s">
        <v>39</v>
      </c>
      <c r="Q388" s="80"/>
      <c r="R388" s="51"/>
      <c r="S388" s="51"/>
      <c r="AQ388" s="69"/>
    </row>
    <row r="389">
      <c r="A389" s="51">
        <v>14.0</v>
      </c>
      <c r="B389" s="51">
        <v>25.0</v>
      </c>
      <c r="C389" s="111" t="s">
        <v>33</v>
      </c>
      <c r="D389" s="106"/>
      <c r="E389" s="111" t="s">
        <v>58</v>
      </c>
      <c r="F389" s="106"/>
      <c r="G389" s="36" t="s">
        <v>49</v>
      </c>
      <c r="Q389" s="80"/>
      <c r="R389" s="51"/>
      <c r="S389" s="51"/>
      <c r="AQ389" s="69"/>
    </row>
    <row r="390">
      <c r="A390" s="51">
        <v>15.0</v>
      </c>
      <c r="B390" s="51">
        <v>25.0</v>
      </c>
      <c r="C390" s="111" t="s">
        <v>33</v>
      </c>
      <c r="D390" s="106"/>
      <c r="E390" s="111" t="s">
        <v>34</v>
      </c>
      <c r="F390" s="106"/>
      <c r="G390" s="36" t="s">
        <v>44</v>
      </c>
      <c r="Q390" s="80"/>
      <c r="R390" s="51"/>
      <c r="S390" s="51"/>
      <c r="AQ390" s="69"/>
    </row>
    <row r="391">
      <c r="A391" s="51">
        <v>16.0</v>
      </c>
      <c r="B391" s="51">
        <v>23.0</v>
      </c>
      <c r="C391" s="111" t="s">
        <v>33</v>
      </c>
      <c r="D391" s="106"/>
      <c r="E391" s="111" t="s">
        <v>34</v>
      </c>
      <c r="F391" s="106"/>
      <c r="G391" s="36" t="s">
        <v>44</v>
      </c>
      <c r="Q391" s="80"/>
      <c r="R391" s="51"/>
      <c r="S391" s="51"/>
      <c r="AQ391" s="69"/>
    </row>
    <row r="392">
      <c r="A392" s="51">
        <v>17.0</v>
      </c>
      <c r="B392" s="51">
        <v>35.0</v>
      </c>
      <c r="C392" s="111" t="s">
        <v>33</v>
      </c>
      <c r="D392" s="106"/>
      <c r="E392" s="111" t="s">
        <v>62</v>
      </c>
      <c r="F392" s="106"/>
      <c r="G392" s="36" t="s">
        <v>128</v>
      </c>
      <c r="Q392" s="80"/>
      <c r="R392" s="51"/>
      <c r="S392" s="51"/>
      <c r="AQ392" s="69"/>
    </row>
    <row r="393">
      <c r="A393" s="51">
        <v>18.0</v>
      </c>
      <c r="B393" s="51">
        <v>24.0</v>
      </c>
      <c r="C393" s="111" t="s">
        <v>43</v>
      </c>
      <c r="D393" s="106"/>
      <c r="E393" s="111" t="s">
        <v>58</v>
      </c>
      <c r="F393" s="106"/>
      <c r="G393" s="36" t="s">
        <v>44</v>
      </c>
      <c r="Q393" s="80"/>
      <c r="R393" s="51"/>
      <c r="S393" s="51"/>
      <c r="AQ393" s="69"/>
    </row>
    <row r="394">
      <c r="A394" s="51">
        <v>19.0</v>
      </c>
      <c r="B394" s="51">
        <v>26.0</v>
      </c>
      <c r="C394" s="111" t="s">
        <v>43</v>
      </c>
      <c r="D394" s="106"/>
      <c r="E394" s="111" t="s">
        <v>34</v>
      </c>
      <c r="F394" s="106"/>
      <c r="G394" s="36" t="s">
        <v>39</v>
      </c>
      <c r="Q394" s="80"/>
      <c r="R394" s="51"/>
      <c r="S394" s="51"/>
      <c r="AQ394" s="69"/>
    </row>
    <row r="395">
      <c r="A395" s="51">
        <v>20.0</v>
      </c>
      <c r="B395" s="51">
        <v>34.0</v>
      </c>
      <c r="C395" s="111" t="s">
        <v>33</v>
      </c>
      <c r="D395" s="106"/>
      <c r="E395" s="111" t="s">
        <v>58</v>
      </c>
      <c r="F395" s="106"/>
      <c r="G395" s="36" t="s">
        <v>44</v>
      </c>
      <c r="Q395" s="80"/>
      <c r="R395" s="51"/>
      <c r="S395" s="51"/>
      <c r="AQ395" s="69"/>
    </row>
    <row r="396">
      <c r="A396" s="51">
        <v>21.0</v>
      </c>
      <c r="B396" s="51">
        <v>29.0</v>
      </c>
      <c r="C396" s="111" t="s">
        <v>43</v>
      </c>
      <c r="D396" s="106"/>
      <c r="E396" s="111" t="s">
        <v>34</v>
      </c>
      <c r="F396" s="106"/>
      <c r="G396" s="36" t="s">
        <v>39</v>
      </c>
      <c r="Q396" s="80"/>
      <c r="R396" s="51"/>
      <c r="S396" s="51"/>
      <c r="AQ396" s="69"/>
    </row>
    <row r="397">
      <c r="A397" s="80"/>
      <c r="B397" s="80"/>
      <c r="C397" s="105"/>
      <c r="D397" s="106"/>
      <c r="E397" s="105"/>
      <c r="F397" s="106"/>
      <c r="Q397" s="80"/>
      <c r="R397" s="80"/>
      <c r="S397" s="80"/>
      <c r="AQ397" s="69"/>
    </row>
    <row r="398">
      <c r="A398" s="80"/>
      <c r="B398" s="80"/>
      <c r="C398" s="105"/>
      <c r="D398" s="106"/>
      <c r="E398" s="105"/>
      <c r="F398" s="106"/>
      <c r="Q398" s="80"/>
      <c r="R398" s="80"/>
      <c r="S398" s="80"/>
      <c r="AQ398" s="69"/>
    </row>
    <row r="399">
      <c r="A399" s="80"/>
      <c r="B399" s="80"/>
      <c r="C399" s="105"/>
      <c r="D399" s="106"/>
      <c r="E399" s="105"/>
      <c r="F399" s="106"/>
      <c r="Q399" s="80"/>
      <c r="R399" s="80"/>
      <c r="S399" s="80"/>
      <c r="AQ399" s="69"/>
    </row>
    <row r="400">
      <c r="A400" s="80"/>
      <c r="B400" s="80"/>
      <c r="C400" s="105"/>
      <c r="D400" s="106"/>
      <c r="E400" s="105"/>
      <c r="F400" s="106"/>
      <c r="Q400" s="80"/>
      <c r="R400" s="80"/>
      <c r="S400" s="80"/>
      <c r="AQ400" s="69"/>
    </row>
    <row r="401">
      <c r="A401" s="80"/>
      <c r="B401" s="80"/>
      <c r="C401" s="105"/>
      <c r="D401" s="106"/>
      <c r="E401" s="105"/>
      <c r="F401" s="106"/>
      <c r="Q401" s="80"/>
      <c r="R401" s="80"/>
      <c r="S401" s="80"/>
      <c r="AQ401" s="69"/>
    </row>
    <row r="402">
      <c r="A402" s="80"/>
      <c r="B402" s="80"/>
      <c r="C402" s="105"/>
      <c r="D402" s="106"/>
      <c r="E402" s="105"/>
      <c r="F402" s="106"/>
      <c r="Q402" s="80"/>
      <c r="R402" s="80"/>
      <c r="S402" s="80"/>
      <c r="AQ402" s="69"/>
    </row>
    <row r="403">
      <c r="A403" s="80"/>
      <c r="B403" s="80"/>
      <c r="C403" s="105"/>
      <c r="D403" s="106"/>
      <c r="E403" s="105"/>
      <c r="F403" s="106"/>
      <c r="Q403" s="80"/>
      <c r="R403" s="80"/>
      <c r="S403" s="80"/>
      <c r="AQ403" s="69"/>
    </row>
    <row r="404">
      <c r="A404" s="80"/>
      <c r="B404" s="80"/>
      <c r="C404" s="105"/>
      <c r="D404" s="106"/>
      <c r="E404" s="105"/>
      <c r="F404" s="106"/>
      <c r="Q404" s="80"/>
      <c r="R404" s="80"/>
      <c r="S404" s="80"/>
      <c r="AQ404" s="69"/>
    </row>
    <row r="405">
      <c r="A405" s="80"/>
      <c r="B405" s="80"/>
      <c r="C405" s="105"/>
      <c r="D405" s="106"/>
      <c r="E405" s="105"/>
      <c r="F405" s="106"/>
      <c r="Q405" s="80"/>
      <c r="R405" s="80"/>
      <c r="S405" s="80"/>
      <c r="AQ405" s="69"/>
    </row>
    <row r="406">
      <c r="A406" s="80"/>
      <c r="B406" s="80"/>
      <c r="C406" s="105"/>
      <c r="D406" s="106"/>
      <c r="E406" s="105"/>
      <c r="F406" s="106"/>
      <c r="Q406" s="80"/>
      <c r="R406" s="80"/>
      <c r="S406" s="80"/>
      <c r="AQ406" s="69"/>
    </row>
    <row r="407">
      <c r="A407" s="80"/>
      <c r="B407" s="80"/>
      <c r="C407" s="105"/>
      <c r="D407" s="106"/>
      <c r="E407" s="105"/>
      <c r="F407" s="106"/>
      <c r="Q407" s="80"/>
      <c r="R407" s="80"/>
      <c r="S407" s="80"/>
      <c r="AQ407" s="69"/>
    </row>
    <row r="408">
      <c r="A408" s="80"/>
      <c r="B408" s="80"/>
      <c r="C408" s="105"/>
      <c r="D408" s="106"/>
      <c r="E408" s="105"/>
      <c r="F408" s="106"/>
      <c r="Q408" s="80"/>
      <c r="R408" s="80"/>
      <c r="S408" s="80"/>
      <c r="AQ408" s="69"/>
    </row>
    <row r="409">
      <c r="A409" s="80"/>
      <c r="B409" s="80"/>
      <c r="C409" s="105"/>
      <c r="D409" s="106"/>
      <c r="E409" s="105"/>
      <c r="F409" s="106"/>
      <c r="Q409" s="80"/>
      <c r="R409" s="80"/>
      <c r="S409" s="80"/>
      <c r="AQ409" s="69"/>
    </row>
    <row r="410">
      <c r="A410" s="80"/>
      <c r="B410" s="80"/>
      <c r="C410" s="105"/>
      <c r="D410" s="106"/>
      <c r="E410" s="105"/>
      <c r="F410" s="106"/>
      <c r="Q410" s="80"/>
      <c r="R410" s="80"/>
      <c r="S410" s="80"/>
      <c r="AQ410" s="69"/>
    </row>
    <row r="411">
      <c r="A411" s="80"/>
      <c r="B411" s="80"/>
      <c r="C411" s="105"/>
      <c r="D411" s="106"/>
      <c r="E411" s="105"/>
      <c r="F411" s="106"/>
      <c r="Q411" s="80"/>
      <c r="R411" s="80"/>
      <c r="S411" s="80"/>
      <c r="AQ411" s="69"/>
    </row>
    <row r="412">
      <c r="A412" s="80"/>
      <c r="B412" s="80"/>
      <c r="C412" s="105"/>
      <c r="D412" s="106"/>
      <c r="E412" s="105"/>
      <c r="F412" s="106"/>
      <c r="Q412" s="80"/>
      <c r="R412" s="80"/>
      <c r="S412" s="80"/>
      <c r="AQ412" s="69"/>
    </row>
    <row r="413">
      <c r="A413" s="80"/>
      <c r="B413" s="80"/>
      <c r="C413" s="105"/>
      <c r="D413" s="106"/>
      <c r="E413" s="105"/>
      <c r="F413" s="106"/>
      <c r="Q413" s="80"/>
      <c r="R413" s="80"/>
      <c r="S413" s="80"/>
      <c r="AQ413" s="69"/>
    </row>
    <row r="414">
      <c r="A414" s="80"/>
      <c r="B414" s="80"/>
      <c r="C414" s="105"/>
      <c r="D414" s="106"/>
      <c r="E414" s="105"/>
      <c r="F414" s="106"/>
      <c r="Q414" s="80"/>
      <c r="R414" s="80"/>
      <c r="S414" s="80"/>
      <c r="AQ414" s="69"/>
    </row>
    <row r="415">
      <c r="A415" s="80"/>
      <c r="B415" s="80"/>
      <c r="C415" s="105"/>
      <c r="D415" s="106"/>
      <c r="E415" s="105"/>
      <c r="F415" s="106"/>
      <c r="Q415" s="80"/>
      <c r="R415" s="80"/>
      <c r="S415" s="80"/>
      <c r="AQ415" s="69"/>
    </row>
    <row r="416">
      <c r="A416" s="80"/>
      <c r="B416" s="80"/>
      <c r="C416" s="105"/>
      <c r="D416" s="106"/>
      <c r="E416" s="105"/>
      <c r="F416" s="106"/>
      <c r="Q416" s="80"/>
      <c r="R416" s="80"/>
      <c r="S416" s="80"/>
      <c r="AQ416" s="69"/>
    </row>
    <row r="417">
      <c r="A417" s="80"/>
      <c r="B417" s="80"/>
      <c r="C417" s="105"/>
      <c r="D417" s="106"/>
      <c r="E417" s="105"/>
      <c r="F417" s="106"/>
      <c r="Q417" s="80"/>
      <c r="R417" s="80"/>
      <c r="S417" s="80"/>
      <c r="AQ417" s="69"/>
    </row>
    <row r="418">
      <c r="A418" s="80"/>
      <c r="B418" s="80"/>
      <c r="C418" s="105"/>
      <c r="D418" s="106"/>
      <c r="E418" s="105"/>
      <c r="F418" s="106"/>
      <c r="Q418" s="80"/>
      <c r="R418" s="80"/>
      <c r="S418" s="80"/>
      <c r="AQ418" s="69"/>
    </row>
    <row r="419">
      <c r="A419" s="80"/>
      <c r="B419" s="80"/>
      <c r="C419" s="105"/>
      <c r="D419" s="106"/>
      <c r="E419" s="105"/>
      <c r="F419" s="106"/>
      <c r="Q419" s="80"/>
      <c r="R419" s="80"/>
      <c r="S419" s="80"/>
      <c r="AQ419" s="69"/>
    </row>
    <row r="420">
      <c r="A420" s="80"/>
      <c r="B420" s="80"/>
      <c r="C420" s="105"/>
      <c r="D420" s="106"/>
      <c r="E420" s="105"/>
      <c r="F420" s="106"/>
      <c r="Q420" s="80"/>
      <c r="R420" s="80"/>
      <c r="S420" s="80"/>
      <c r="AQ420" s="69"/>
    </row>
    <row r="421">
      <c r="A421" s="80"/>
      <c r="B421" s="80"/>
      <c r="C421" s="105"/>
      <c r="D421" s="106"/>
      <c r="E421" s="105"/>
      <c r="F421" s="106"/>
      <c r="Q421" s="80"/>
      <c r="R421" s="80"/>
      <c r="S421" s="80"/>
      <c r="AQ421" s="69"/>
    </row>
    <row r="422">
      <c r="A422" s="80"/>
      <c r="B422" s="80"/>
      <c r="C422" s="105"/>
      <c r="D422" s="106"/>
      <c r="E422" s="105"/>
      <c r="F422" s="106"/>
      <c r="Q422" s="80"/>
      <c r="R422" s="80"/>
      <c r="S422" s="80"/>
      <c r="AQ422" s="69"/>
    </row>
    <row r="423">
      <c r="A423" s="80"/>
      <c r="B423" s="80"/>
      <c r="C423" s="105"/>
      <c r="D423" s="106"/>
      <c r="E423" s="105"/>
      <c r="F423" s="106"/>
      <c r="Q423" s="80"/>
      <c r="R423" s="80"/>
      <c r="S423" s="80"/>
      <c r="AQ423" s="69"/>
    </row>
    <row r="424">
      <c r="A424" s="80"/>
      <c r="B424" s="80"/>
      <c r="C424" s="105"/>
      <c r="D424" s="106"/>
      <c r="E424" s="105"/>
      <c r="F424" s="106"/>
      <c r="Q424" s="80"/>
      <c r="R424" s="80"/>
      <c r="S424" s="80"/>
      <c r="AQ424" s="69"/>
    </row>
    <row r="425">
      <c r="A425" s="80"/>
      <c r="B425" s="80"/>
      <c r="C425" s="105"/>
      <c r="D425" s="106"/>
      <c r="E425" s="105"/>
      <c r="F425" s="106"/>
      <c r="Q425" s="80"/>
      <c r="R425" s="80"/>
      <c r="S425" s="80"/>
      <c r="AQ425" s="69"/>
    </row>
    <row r="426">
      <c r="A426" s="80"/>
      <c r="B426" s="80"/>
      <c r="C426" s="105"/>
      <c r="D426" s="106"/>
      <c r="E426" s="105"/>
      <c r="F426" s="106"/>
      <c r="Q426" s="80"/>
      <c r="R426" s="80"/>
      <c r="S426" s="80"/>
      <c r="AQ426" s="69"/>
    </row>
    <row r="427">
      <c r="A427" s="80"/>
      <c r="B427" s="80"/>
      <c r="C427" s="105"/>
      <c r="D427" s="106"/>
      <c r="E427" s="105"/>
      <c r="F427" s="106"/>
      <c r="Q427" s="80"/>
      <c r="R427" s="80"/>
      <c r="S427" s="80"/>
      <c r="AQ427" s="69"/>
    </row>
    <row r="428">
      <c r="A428" s="80"/>
      <c r="B428" s="80"/>
      <c r="C428" s="105"/>
      <c r="D428" s="106"/>
      <c r="E428" s="105"/>
      <c r="F428" s="106"/>
      <c r="Q428" s="80"/>
      <c r="R428" s="80"/>
      <c r="S428" s="80"/>
      <c r="AQ428" s="69"/>
    </row>
    <row r="429">
      <c r="A429" s="80"/>
      <c r="B429" s="80"/>
      <c r="C429" s="105"/>
      <c r="D429" s="106"/>
      <c r="E429" s="105"/>
      <c r="F429" s="106"/>
      <c r="Q429" s="80"/>
      <c r="R429" s="80"/>
      <c r="S429" s="80"/>
      <c r="AQ429" s="69"/>
    </row>
    <row r="430">
      <c r="A430" s="80"/>
      <c r="B430" s="80"/>
      <c r="C430" s="105"/>
      <c r="D430" s="106"/>
      <c r="E430" s="105"/>
      <c r="F430" s="106"/>
      <c r="Q430" s="80"/>
      <c r="R430" s="80"/>
      <c r="S430" s="80"/>
      <c r="AQ430" s="69"/>
    </row>
    <row r="431">
      <c r="A431" s="80"/>
      <c r="B431" s="80"/>
      <c r="C431" s="105"/>
      <c r="D431" s="106"/>
      <c r="E431" s="105"/>
      <c r="F431" s="106"/>
      <c r="Q431" s="80"/>
      <c r="R431" s="80"/>
      <c r="S431" s="80"/>
      <c r="AQ431" s="69"/>
    </row>
    <row r="432">
      <c r="A432" s="80"/>
      <c r="B432" s="80"/>
      <c r="C432" s="105"/>
      <c r="D432" s="106"/>
      <c r="E432" s="105"/>
      <c r="F432" s="106"/>
      <c r="Q432" s="80"/>
      <c r="R432" s="80"/>
      <c r="S432" s="80"/>
      <c r="AQ432" s="69"/>
    </row>
    <row r="433">
      <c r="A433" s="80"/>
      <c r="B433" s="80"/>
      <c r="C433" s="105"/>
      <c r="D433" s="106"/>
      <c r="E433" s="105"/>
      <c r="F433" s="106"/>
      <c r="Q433" s="80"/>
      <c r="R433" s="80"/>
      <c r="S433" s="80"/>
      <c r="AQ433" s="69"/>
    </row>
    <row r="434">
      <c r="A434" s="80"/>
      <c r="B434" s="80"/>
      <c r="C434" s="105"/>
      <c r="D434" s="106"/>
      <c r="E434" s="105"/>
      <c r="F434" s="106"/>
      <c r="Q434" s="80"/>
      <c r="R434" s="80"/>
      <c r="S434" s="80"/>
      <c r="AQ434" s="69"/>
    </row>
    <row r="435">
      <c r="A435" s="80"/>
      <c r="B435" s="80"/>
      <c r="C435" s="105"/>
      <c r="D435" s="106"/>
      <c r="E435" s="105"/>
      <c r="F435" s="106"/>
      <c r="Q435" s="80"/>
      <c r="R435" s="80"/>
      <c r="S435" s="80"/>
      <c r="AQ435" s="69"/>
    </row>
    <row r="436">
      <c r="A436" s="80"/>
      <c r="B436" s="80"/>
      <c r="C436" s="105"/>
      <c r="D436" s="106"/>
      <c r="E436" s="105"/>
      <c r="F436" s="106"/>
      <c r="Q436" s="80"/>
      <c r="R436" s="80"/>
      <c r="S436" s="80"/>
      <c r="AQ436" s="69"/>
    </row>
    <row r="437">
      <c r="A437" s="80"/>
      <c r="B437" s="80"/>
      <c r="C437" s="105"/>
      <c r="D437" s="106"/>
      <c r="E437" s="105"/>
      <c r="F437" s="106"/>
      <c r="Q437" s="80"/>
      <c r="R437" s="80"/>
      <c r="S437" s="80"/>
      <c r="AQ437" s="69"/>
    </row>
    <row r="438">
      <c r="A438" s="80"/>
      <c r="B438" s="80"/>
      <c r="C438" s="105"/>
      <c r="D438" s="106"/>
      <c r="E438" s="105"/>
      <c r="F438" s="106"/>
      <c r="Q438" s="80"/>
      <c r="R438" s="80"/>
      <c r="S438" s="80"/>
      <c r="AQ438" s="69"/>
    </row>
    <row r="439">
      <c r="A439" s="80"/>
      <c r="B439" s="80"/>
      <c r="C439" s="105"/>
      <c r="D439" s="106"/>
      <c r="E439" s="105"/>
      <c r="F439" s="106"/>
      <c r="Q439" s="80"/>
      <c r="R439" s="80"/>
      <c r="S439" s="80"/>
      <c r="AQ439" s="69"/>
    </row>
    <row r="440">
      <c r="A440" s="80"/>
      <c r="B440" s="80"/>
      <c r="C440" s="105"/>
      <c r="D440" s="106"/>
      <c r="E440" s="105"/>
      <c r="F440" s="106"/>
      <c r="Q440" s="80"/>
      <c r="R440" s="80"/>
      <c r="S440" s="80"/>
      <c r="AQ440" s="69"/>
    </row>
    <row r="441">
      <c r="A441" s="80"/>
      <c r="B441" s="80"/>
      <c r="C441" s="105"/>
      <c r="D441" s="106"/>
      <c r="E441" s="105"/>
      <c r="F441" s="106"/>
      <c r="Q441" s="80"/>
      <c r="R441" s="80"/>
      <c r="S441" s="80"/>
      <c r="AQ441" s="69"/>
    </row>
    <row r="442">
      <c r="A442" s="80"/>
      <c r="B442" s="80"/>
      <c r="C442" s="105"/>
      <c r="D442" s="106"/>
      <c r="E442" s="105"/>
      <c r="F442" s="106"/>
      <c r="Q442" s="80"/>
      <c r="R442" s="80"/>
      <c r="S442" s="80"/>
      <c r="AQ442" s="69"/>
    </row>
    <row r="443">
      <c r="A443" s="80"/>
      <c r="B443" s="80"/>
      <c r="C443" s="105"/>
      <c r="D443" s="106"/>
      <c r="E443" s="105"/>
      <c r="F443" s="106"/>
      <c r="Q443" s="80"/>
      <c r="R443" s="80"/>
      <c r="S443" s="80"/>
      <c r="AQ443" s="69"/>
    </row>
    <row r="444">
      <c r="A444" s="80"/>
      <c r="B444" s="80"/>
      <c r="C444" s="105"/>
      <c r="D444" s="106"/>
      <c r="E444" s="105"/>
      <c r="F444" s="106"/>
      <c r="Q444" s="80"/>
      <c r="R444" s="80"/>
      <c r="S444" s="80"/>
      <c r="AQ444" s="69"/>
    </row>
    <row r="445">
      <c r="A445" s="80"/>
      <c r="B445" s="80"/>
      <c r="C445" s="105"/>
      <c r="D445" s="106"/>
      <c r="E445" s="105"/>
      <c r="F445" s="106"/>
      <c r="Q445" s="80"/>
      <c r="R445" s="80"/>
      <c r="S445" s="80"/>
      <c r="AQ445" s="69"/>
    </row>
    <row r="446">
      <c r="A446" s="80"/>
      <c r="B446" s="80"/>
      <c r="C446" s="105"/>
      <c r="D446" s="106"/>
      <c r="E446" s="105"/>
      <c r="F446" s="106"/>
      <c r="Q446" s="80"/>
      <c r="R446" s="80"/>
      <c r="S446" s="80"/>
      <c r="AQ446" s="69"/>
    </row>
    <row r="447">
      <c r="A447" s="80"/>
      <c r="B447" s="80"/>
      <c r="C447" s="105"/>
      <c r="D447" s="106"/>
      <c r="E447" s="105"/>
      <c r="F447" s="106"/>
      <c r="Q447" s="80"/>
      <c r="R447" s="80"/>
      <c r="S447" s="80"/>
      <c r="AQ447" s="69"/>
    </row>
    <row r="448">
      <c r="A448" s="80"/>
      <c r="B448" s="80"/>
      <c r="C448" s="105"/>
      <c r="D448" s="106"/>
      <c r="E448" s="105"/>
      <c r="F448" s="106"/>
      <c r="Q448" s="80"/>
      <c r="R448" s="80"/>
      <c r="S448" s="80"/>
      <c r="AQ448" s="69"/>
    </row>
    <row r="449">
      <c r="A449" s="80"/>
      <c r="B449" s="80"/>
      <c r="C449" s="105"/>
      <c r="D449" s="106"/>
      <c r="E449" s="105"/>
      <c r="F449" s="106"/>
      <c r="Q449" s="80"/>
      <c r="R449" s="80"/>
      <c r="S449" s="80"/>
      <c r="AQ449" s="69"/>
    </row>
    <row r="450">
      <c r="A450" s="80"/>
      <c r="B450" s="80"/>
      <c r="C450" s="105"/>
      <c r="D450" s="106"/>
      <c r="E450" s="105"/>
      <c r="F450" s="106"/>
      <c r="Q450" s="80"/>
      <c r="R450" s="80"/>
      <c r="S450" s="80"/>
      <c r="AQ450" s="69"/>
    </row>
    <row r="451">
      <c r="A451" s="80"/>
      <c r="B451" s="80"/>
      <c r="C451" s="105"/>
      <c r="D451" s="106"/>
      <c r="E451" s="105"/>
      <c r="F451" s="106"/>
      <c r="Q451" s="80"/>
      <c r="R451" s="80"/>
      <c r="S451" s="80"/>
      <c r="AQ451" s="69"/>
    </row>
    <row r="452">
      <c r="A452" s="80"/>
      <c r="B452" s="80"/>
      <c r="C452" s="105"/>
      <c r="D452" s="106"/>
      <c r="E452" s="105"/>
      <c r="F452" s="106"/>
      <c r="Q452" s="80"/>
      <c r="R452" s="80"/>
      <c r="S452" s="80"/>
      <c r="AQ452" s="69"/>
    </row>
    <row r="453">
      <c r="A453" s="80"/>
      <c r="B453" s="80"/>
      <c r="C453" s="105"/>
      <c r="D453" s="106"/>
      <c r="E453" s="105"/>
      <c r="F453" s="106"/>
      <c r="Q453" s="80"/>
      <c r="R453" s="80"/>
      <c r="S453" s="80"/>
      <c r="AQ453" s="69"/>
    </row>
    <row r="454">
      <c r="A454" s="80"/>
      <c r="B454" s="80"/>
      <c r="C454" s="105"/>
      <c r="D454" s="106"/>
      <c r="E454" s="105"/>
      <c r="F454" s="106"/>
      <c r="Q454" s="80"/>
      <c r="R454" s="80"/>
      <c r="S454" s="80"/>
      <c r="AQ454" s="69"/>
    </row>
    <row r="455">
      <c r="A455" s="80"/>
      <c r="B455" s="80"/>
      <c r="C455" s="105"/>
      <c r="D455" s="106"/>
      <c r="E455" s="105"/>
      <c r="F455" s="106"/>
      <c r="Q455" s="80"/>
      <c r="R455" s="80"/>
      <c r="S455" s="80"/>
      <c r="AQ455" s="69"/>
    </row>
    <row r="456">
      <c r="A456" s="80"/>
      <c r="B456" s="80"/>
      <c r="C456" s="105"/>
      <c r="D456" s="106"/>
      <c r="E456" s="105"/>
      <c r="F456" s="106"/>
      <c r="Q456" s="80"/>
      <c r="R456" s="80"/>
      <c r="S456" s="80"/>
      <c r="AQ456" s="69"/>
    </row>
    <row r="457">
      <c r="A457" s="80"/>
      <c r="B457" s="80"/>
      <c r="C457" s="105"/>
      <c r="D457" s="106"/>
      <c r="E457" s="105"/>
      <c r="F457" s="106"/>
      <c r="Q457" s="80"/>
      <c r="R457" s="80"/>
      <c r="S457" s="80"/>
      <c r="AQ457" s="69"/>
    </row>
    <row r="458">
      <c r="A458" s="80"/>
      <c r="B458" s="80"/>
      <c r="C458" s="105"/>
      <c r="D458" s="106"/>
      <c r="E458" s="105"/>
      <c r="F458" s="106"/>
      <c r="Q458" s="80"/>
      <c r="R458" s="80"/>
      <c r="S458" s="80"/>
      <c r="AQ458" s="69"/>
    </row>
    <row r="459">
      <c r="A459" s="80"/>
      <c r="B459" s="80"/>
      <c r="C459" s="105"/>
      <c r="D459" s="106"/>
      <c r="E459" s="105"/>
      <c r="F459" s="106"/>
      <c r="Q459" s="80"/>
      <c r="R459" s="80"/>
      <c r="S459" s="80"/>
      <c r="AQ459" s="69"/>
    </row>
    <row r="460">
      <c r="A460" s="80"/>
      <c r="B460" s="80"/>
      <c r="C460" s="105"/>
      <c r="D460" s="106"/>
      <c r="E460" s="105"/>
      <c r="F460" s="106"/>
      <c r="Q460" s="80"/>
      <c r="R460" s="80"/>
      <c r="S460" s="80"/>
      <c r="AQ460" s="69"/>
    </row>
    <row r="461">
      <c r="A461" s="80"/>
      <c r="B461" s="80"/>
      <c r="C461" s="105"/>
      <c r="D461" s="106"/>
      <c r="E461" s="105"/>
      <c r="F461" s="106"/>
      <c r="Q461" s="80"/>
      <c r="R461" s="80"/>
      <c r="S461" s="80"/>
      <c r="AQ461" s="69"/>
    </row>
    <row r="462">
      <c r="A462" s="80"/>
      <c r="B462" s="80"/>
      <c r="C462" s="105"/>
      <c r="D462" s="106"/>
      <c r="E462" s="105"/>
      <c r="F462" s="106"/>
      <c r="Q462" s="80"/>
      <c r="R462" s="80"/>
      <c r="S462" s="80"/>
      <c r="AQ462" s="69"/>
    </row>
    <row r="463">
      <c r="A463" s="80"/>
      <c r="B463" s="80"/>
      <c r="C463" s="105"/>
      <c r="D463" s="106"/>
      <c r="E463" s="105"/>
      <c r="F463" s="106"/>
      <c r="Q463" s="80"/>
      <c r="R463" s="80"/>
      <c r="S463" s="80"/>
      <c r="AQ463" s="69"/>
    </row>
    <row r="464">
      <c r="A464" s="80"/>
      <c r="B464" s="80"/>
      <c r="C464" s="105"/>
      <c r="D464" s="106"/>
      <c r="E464" s="105"/>
      <c r="F464" s="106"/>
      <c r="Q464" s="80"/>
      <c r="R464" s="80"/>
      <c r="S464" s="80"/>
      <c r="AQ464" s="69"/>
    </row>
    <row r="465">
      <c r="A465" s="80"/>
      <c r="B465" s="80"/>
      <c r="C465" s="105"/>
      <c r="D465" s="106"/>
      <c r="E465" s="105"/>
      <c r="F465" s="106"/>
      <c r="Q465" s="80"/>
      <c r="R465" s="80"/>
      <c r="S465" s="80"/>
      <c r="AQ465" s="69"/>
    </row>
    <row r="466">
      <c r="A466" s="80"/>
      <c r="B466" s="80"/>
      <c r="C466" s="105"/>
      <c r="D466" s="106"/>
      <c r="E466" s="105"/>
      <c r="F466" s="106"/>
      <c r="Q466" s="80"/>
      <c r="R466" s="80"/>
      <c r="S466" s="80"/>
      <c r="AQ466" s="69"/>
    </row>
    <row r="467">
      <c r="A467" s="80"/>
      <c r="B467" s="80"/>
      <c r="C467" s="105"/>
      <c r="D467" s="106"/>
      <c r="E467" s="105"/>
      <c r="F467" s="106"/>
      <c r="Q467" s="80"/>
      <c r="R467" s="80"/>
      <c r="S467" s="80"/>
      <c r="AQ467" s="69"/>
    </row>
    <row r="468">
      <c r="A468" s="80"/>
      <c r="B468" s="80"/>
      <c r="C468" s="105"/>
      <c r="D468" s="106"/>
      <c r="E468" s="105"/>
      <c r="F468" s="106"/>
      <c r="Q468" s="80"/>
      <c r="R468" s="80"/>
      <c r="S468" s="80"/>
      <c r="AQ468" s="69"/>
    </row>
    <row r="469">
      <c r="A469" s="80"/>
      <c r="B469" s="80"/>
      <c r="C469" s="105"/>
      <c r="D469" s="106"/>
      <c r="E469" s="105"/>
      <c r="F469" s="106"/>
      <c r="Q469" s="80"/>
      <c r="R469" s="80"/>
      <c r="S469" s="80"/>
      <c r="AQ469" s="69"/>
    </row>
    <row r="470">
      <c r="A470" s="80"/>
      <c r="B470" s="80"/>
      <c r="C470" s="105"/>
      <c r="D470" s="106"/>
      <c r="E470" s="105"/>
      <c r="F470" s="106"/>
      <c r="Q470" s="80"/>
      <c r="R470" s="80"/>
      <c r="S470" s="80"/>
      <c r="AQ470" s="69"/>
    </row>
    <row r="471">
      <c r="A471" s="80"/>
      <c r="B471" s="80"/>
      <c r="C471" s="105"/>
      <c r="D471" s="106"/>
      <c r="E471" s="105"/>
      <c r="F471" s="106"/>
      <c r="Q471" s="80"/>
      <c r="R471" s="80"/>
      <c r="S471" s="80"/>
      <c r="AQ471" s="69"/>
    </row>
    <row r="472">
      <c r="A472" s="80"/>
      <c r="B472" s="80"/>
      <c r="C472" s="105"/>
      <c r="D472" s="106"/>
      <c r="E472" s="105"/>
      <c r="F472" s="106"/>
      <c r="Q472" s="80"/>
      <c r="R472" s="80"/>
      <c r="S472" s="80"/>
      <c r="AQ472" s="69"/>
    </row>
    <row r="473">
      <c r="A473" s="80"/>
      <c r="B473" s="80"/>
      <c r="C473" s="105"/>
      <c r="D473" s="106"/>
      <c r="E473" s="105"/>
      <c r="F473" s="106"/>
      <c r="Q473" s="80"/>
      <c r="R473" s="80"/>
      <c r="S473" s="80"/>
      <c r="AQ473" s="69"/>
    </row>
    <row r="474">
      <c r="A474" s="80"/>
      <c r="B474" s="80"/>
      <c r="C474" s="105"/>
      <c r="D474" s="106"/>
      <c r="E474" s="105"/>
      <c r="F474" s="106"/>
      <c r="Q474" s="80"/>
      <c r="R474" s="80"/>
      <c r="S474" s="80"/>
      <c r="AQ474" s="69"/>
    </row>
    <row r="475">
      <c r="A475" s="80"/>
      <c r="B475" s="80"/>
      <c r="C475" s="105"/>
      <c r="D475" s="106"/>
      <c r="E475" s="105"/>
      <c r="F475" s="106"/>
      <c r="Q475" s="80"/>
      <c r="R475" s="80"/>
      <c r="S475" s="80"/>
      <c r="AQ475" s="69"/>
    </row>
    <row r="476">
      <c r="A476" s="80"/>
      <c r="B476" s="80"/>
      <c r="C476" s="105"/>
      <c r="D476" s="106"/>
      <c r="E476" s="105"/>
      <c r="F476" s="106"/>
      <c r="Q476" s="80"/>
      <c r="R476" s="80"/>
      <c r="S476" s="80"/>
      <c r="AQ476" s="69"/>
    </row>
    <row r="477">
      <c r="A477" s="80"/>
      <c r="B477" s="80"/>
      <c r="C477" s="105"/>
      <c r="D477" s="106"/>
      <c r="E477" s="105"/>
      <c r="F477" s="106"/>
      <c r="Q477" s="80"/>
      <c r="R477" s="80"/>
      <c r="S477" s="80"/>
      <c r="AQ477" s="69"/>
    </row>
    <row r="478">
      <c r="A478" s="80"/>
      <c r="B478" s="80"/>
      <c r="C478" s="105"/>
      <c r="D478" s="106"/>
      <c r="E478" s="105"/>
      <c r="F478" s="106"/>
      <c r="Q478" s="80"/>
      <c r="R478" s="80"/>
      <c r="S478" s="80"/>
      <c r="AQ478" s="69"/>
    </row>
    <row r="479">
      <c r="A479" s="80"/>
      <c r="B479" s="80"/>
      <c r="C479" s="105"/>
      <c r="D479" s="106"/>
      <c r="E479" s="105"/>
      <c r="F479" s="106"/>
      <c r="Q479" s="80"/>
      <c r="R479" s="80"/>
      <c r="S479" s="80"/>
      <c r="AQ479" s="69"/>
    </row>
    <row r="480">
      <c r="A480" s="80"/>
      <c r="B480" s="80"/>
      <c r="C480" s="105"/>
      <c r="D480" s="106"/>
      <c r="E480" s="105"/>
      <c r="F480" s="106"/>
      <c r="Q480" s="80"/>
      <c r="R480" s="80"/>
      <c r="S480" s="80"/>
      <c r="AQ480" s="69"/>
    </row>
    <row r="481">
      <c r="A481" s="80"/>
      <c r="B481" s="80"/>
      <c r="C481" s="105"/>
      <c r="D481" s="106"/>
      <c r="E481" s="105"/>
      <c r="F481" s="106"/>
      <c r="Q481" s="80"/>
      <c r="R481" s="80"/>
      <c r="S481" s="80"/>
      <c r="AQ481" s="69"/>
    </row>
    <row r="482">
      <c r="A482" s="80"/>
      <c r="B482" s="80"/>
      <c r="C482" s="105"/>
      <c r="D482" s="106"/>
      <c r="E482" s="105"/>
      <c r="F482" s="106"/>
      <c r="Q482" s="80"/>
      <c r="R482" s="80"/>
      <c r="S482" s="80"/>
      <c r="AQ482" s="69"/>
    </row>
    <row r="483">
      <c r="A483" s="80"/>
      <c r="B483" s="80"/>
      <c r="C483" s="105"/>
      <c r="D483" s="106"/>
      <c r="E483" s="105"/>
      <c r="F483" s="106"/>
      <c r="Q483" s="80"/>
      <c r="R483" s="80"/>
      <c r="S483" s="80"/>
      <c r="AQ483" s="69"/>
    </row>
    <row r="484">
      <c r="A484" s="80"/>
      <c r="B484" s="80"/>
      <c r="C484" s="105"/>
      <c r="D484" s="106"/>
      <c r="E484" s="105"/>
      <c r="F484" s="106"/>
      <c r="Q484" s="80"/>
      <c r="R484" s="80"/>
      <c r="S484" s="80"/>
      <c r="AQ484" s="69"/>
    </row>
    <row r="485">
      <c r="A485" s="80"/>
      <c r="B485" s="80"/>
      <c r="C485" s="105"/>
      <c r="D485" s="106"/>
      <c r="E485" s="105"/>
      <c r="F485" s="106"/>
      <c r="Q485" s="80"/>
      <c r="R485" s="80"/>
      <c r="S485" s="80"/>
      <c r="AQ485" s="69"/>
    </row>
    <row r="486">
      <c r="A486" s="80"/>
      <c r="B486" s="80"/>
      <c r="C486" s="105"/>
      <c r="D486" s="106"/>
      <c r="E486" s="105"/>
      <c r="F486" s="106"/>
      <c r="Q486" s="80"/>
      <c r="R486" s="80"/>
      <c r="S486" s="80"/>
      <c r="AQ486" s="69"/>
    </row>
    <row r="487">
      <c r="A487" s="80"/>
      <c r="B487" s="80"/>
      <c r="C487" s="105"/>
      <c r="D487" s="106"/>
      <c r="E487" s="105"/>
      <c r="F487" s="106"/>
      <c r="Q487" s="80"/>
      <c r="R487" s="80"/>
      <c r="S487" s="80"/>
      <c r="AQ487" s="69"/>
    </row>
    <row r="488">
      <c r="A488" s="80"/>
      <c r="B488" s="80"/>
      <c r="C488" s="105"/>
      <c r="D488" s="106"/>
      <c r="E488" s="105"/>
      <c r="F488" s="106"/>
      <c r="Q488" s="80"/>
      <c r="R488" s="80"/>
      <c r="S488" s="80"/>
      <c r="AQ488" s="69"/>
    </row>
    <row r="489">
      <c r="A489" s="80"/>
      <c r="B489" s="80"/>
      <c r="C489" s="105"/>
      <c r="D489" s="106"/>
      <c r="E489" s="105"/>
      <c r="F489" s="106"/>
      <c r="Q489" s="80"/>
      <c r="R489" s="80"/>
      <c r="S489" s="80"/>
      <c r="AQ489" s="69"/>
    </row>
    <row r="490">
      <c r="A490" s="80"/>
      <c r="B490" s="80"/>
      <c r="C490" s="105"/>
      <c r="D490" s="106"/>
      <c r="E490" s="105"/>
      <c r="F490" s="106"/>
      <c r="Q490" s="80"/>
      <c r="R490" s="80"/>
      <c r="S490" s="80"/>
      <c r="AQ490" s="69"/>
    </row>
    <row r="491">
      <c r="A491" s="80"/>
      <c r="B491" s="80"/>
      <c r="C491" s="105"/>
      <c r="D491" s="106"/>
      <c r="E491" s="105"/>
      <c r="F491" s="106"/>
      <c r="Q491" s="80"/>
      <c r="R491" s="80"/>
      <c r="S491" s="80"/>
      <c r="AQ491" s="69"/>
    </row>
    <row r="492">
      <c r="A492" s="80"/>
      <c r="B492" s="80"/>
      <c r="C492" s="105"/>
      <c r="D492" s="106"/>
      <c r="E492" s="105"/>
      <c r="F492" s="106"/>
      <c r="Q492" s="80"/>
      <c r="R492" s="80"/>
      <c r="S492" s="80"/>
      <c r="AQ492" s="69"/>
    </row>
    <row r="493">
      <c r="A493" s="80"/>
      <c r="B493" s="80"/>
      <c r="C493" s="105"/>
      <c r="D493" s="106"/>
      <c r="E493" s="105"/>
      <c r="F493" s="106"/>
      <c r="Q493" s="80"/>
      <c r="R493" s="80"/>
      <c r="S493" s="80"/>
      <c r="AQ493" s="69"/>
    </row>
    <row r="494">
      <c r="A494" s="80"/>
      <c r="B494" s="80"/>
      <c r="C494" s="105"/>
      <c r="D494" s="106"/>
      <c r="E494" s="105"/>
      <c r="F494" s="106"/>
      <c r="Q494" s="80"/>
      <c r="R494" s="80"/>
      <c r="S494" s="80"/>
      <c r="AQ494" s="69"/>
    </row>
    <row r="495">
      <c r="A495" s="80"/>
      <c r="B495" s="80"/>
      <c r="C495" s="105"/>
      <c r="D495" s="106"/>
      <c r="E495" s="105"/>
      <c r="F495" s="106"/>
      <c r="Q495" s="80"/>
      <c r="R495" s="80"/>
      <c r="S495" s="80"/>
      <c r="AQ495" s="69"/>
    </row>
    <row r="496">
      <c r="A496" s="80"/>
      <c r="B496" s="80"/>
      <c r="C496" s="105"/>
      <c r="D496" s="106"/>
      <c r="E496" s="105"/>
      <c r="F496" s="106"/>
      <c r="Q496" s="80"/>
      <c r="R496" s="80"/>
      <c r="S496" s="80"/>
      <c r="AQ496" s="69"/>
    </row>
    <row r="497">
      <c r="A497" s="109" t="s">
        <v>2</v>
      </c>
      <c r="B497" s="109" t="s">
        <v>3</v>
      </c>
      <c r="C497" s="110" t="s">
        <v>4</v>
      </c>
      <c r="D497" s="106"/>
      <c r="E497" s="110" t="s">
        <v>5</v>
      </c>
      <c r="F497" s="106"/>
      <c r="G497" s="112" t="s">
        <v>6</v>
      </c>
      <c r="Q497" s="80"/>
      <c r="R497" s="109"/>
      <c r="S497" s="109"/>
      <c r="AQ497" s="69"/>
    </row>
    <row r="498">
      <c r="A498" s="71" t="s">
        <v>142</v>
      </c>
      <c r="B498" s="51">
        <v>32.0</v>
      </c>
      <c r="C498" s="111" t="s">
        <v>33</v>
      </c>
      <c r="D498" s="106"/>
      <c r="E498" s="111" t="s">
        <v>34</v>
      </c>
      <c r="F498" s="106"/>
      <c r="G498" s="36" t="s">
        <v>35</v>
      </c>
      <c r="Q498" s="80"/>
      <c r="R498" s="51"/>
      <c r="S498" s="51"/>
      <c r="AQ498" s="69"/>
    </row>
    <row r="499">
      <c r="A499" s="71" t="s">
        <v>138</v>
      </c>
      <c r="B499" s="51">
        <v>23.0</v>
      </c>
      <c r="C499" s="111" t="s">
        <v>33</v>
      </c>
      <c r="D499" s="106"/>
      <c r="E499" s="111" t="s">
        <v>34</v>
      </c>
      <c r="F499" s="106"/>
      <c r="G499" s="36" t="s">
        <v>39</v>
      </c>
      <c r="Q499" s="80"/>
      <c r="R499" s="51"/>
      <c r="S499" s="51"/>
      <c r="AQ499" s="69"/>
    </row>
    <row r="500">
      <c r="A500" s="71" t="s">
        <v>121</v>
      </c>
      <c r="B500" s="51">
        <v>24.0</v>
      </c>
      <c r="C500" s="111" t="s">
        <v>43</v>
      </c>
      <c r="D500" s="106"/>
      <c r="E500" s="111" t="s">
        <v>34</v>
      </c>
      <c r="F500" s="106"/>
      <c r="G500" s="36" t="s">
        <v>44</v>
      </c>
      <c r="Q500" s="80"/>
      <c r="R500" s="51"/>
      <c r="S500" s="51"/>
      <c r="AQ500" s="69"/>
    </row>
    <row r="501">
      <c r="A501" s="71" t="s">
        <v>143</v>
      </c>
      <c r="B501" s="51">
        <v>30.0</v>
      </c>
      <c r="C501" s="111" t="s">
        <v>33</v>
      </c>
      <c r="D501" s="106"/>
      <c r="E501" s="111" t="s">
        <v>34</v>
      </c>
      <c r="F501" s="106"/>
      <c r="G501" s="36" t="s">
        <v>44</v>
      </c>
      <c r="Q501" s="80"/>
      <c r="R501" s="51"/>
      <c r="S501" s="51"/>
      <c r="AQ501" s="69"/>
    </row>
    <row r="502">
      <c r="A502" s="71" t="s">
        <v>122</v>
      </c>
      <c r="B502" s="51">
        <v>24.0</v>
      </c>
      <c r="C502" s="111" t="s">
        <v>43</v>
      </c>
      <c r="D502" s="106"/>
      <c r="E502" s="111" t="s">
        <v>34</v>
      </c>
      <c r="F502" s="106"/>
      <c r="G502" s="36" t="s">
        <v>44</v>
      </c>
      <c r="Q502" s="80"/>
      <c r="R502" s="51"/>
      <c r="S502" s="51"/>
      <c r="AQ502" s="69"/>
    </row>
    <row r="503">
      <c r="A503" s="71" t="s">
        <v>123</v>
      </c>
      <c r="B503" s="51">
        <v>27.0</v>
      </c>
      <c r="C503" s="111" t="s">
        <v>33</v>
      </c>
      <c r="D503" s="106"/>
      <c r="E503" s="111" t="s">
        <v>34</v>
      </c>
      <c r="F503" s="106"/>
      <c r="G503" s="36" t="s">
        <v>44</v>
      </c>
      <c r="Q503" s="80"/>
      <c r="R503" s="51"/>
      <c r="S503" s="51"/>
      <c r="AQ503" s="69"/>
    </row>
    <row r="504">
      <c r="A504" s="71" t="s">
        <v>124</v>
      </c>
      <c r="B504" s="51">
        <v>22.0</v>
      </c>
      <c r="C504" s="111" t="s">
        <v>43</v>
      </c>
      <c r="D504" s="106"/>
      <c r="E504" s="111" t="s">
        <v>34</v>
      </c>
      <c r="F504" s="106"/>
      <c r="G504" s="36" t="s">
        <v>49</v>
      </c>
      <c r="Q504" s="80"/>
      <c r="R504" s="51"/>
      <c r="S504" s="51"/>
      <c r="AQ504" s="69"/>
    </row>
    <row r="505">
      <c r="A505" s="71" t="s">
        <v>125</v>
      </c>
      <c r="B505" s="51">
        <v>23.0</v>
      </c>
      <c r="C505" s="111" t="s">
        <v>33</v>
      </c>
      <c r="D505" s="106"/>
      <c r="E505" s="111" t="s">
        <v>34</v>
      </c>
      <c r="F505" s="106"/>
      <c r="G505" s="36" t="s">
        <v>44</v>
      </c>
      <c r="Q505" s="80"/>
      <c r="R505" s="51"/>
      <c r="S505" s="51"/>
      <c r="AQ505" s="69"/>
    </row>
    <row r="506">
      <c r="A506" s="71" t="s">
        <v>126</v>
      </c>
      <c r="B506" s="51">
        <v>31.0</v>
      </c>
      <c r="C506" s="111" t="s">
        <v>43</v>
      </c>
      <c r="D506" s="106"/>
      <c r="E506" s="111" t="s">
        <v>34</v>
      </c>
      <c r="F506" s="106"/>
      <c r="G506" s="36" t="s">
        <v>44</v>
      </c>
      <c r="Q506" s="80"/>
      <c r="R506" s="51"/>
      <c r="S506" s="51"/>
      <c r="AQ506" s="69"/>
    </row>
    <row r="507">
      <c r="A507" s="71" t="s">
        <v>127</v>
      </c>
      <c r="B507" s="51">
        <v>31.0</v>
      </c>
      <c r="C507" s="111" t="s">
        <v>33</v>
      </c>
      <c r="D507" s="106"/>
      <c r="E507" s="111" t="s">
        <v>34</v>
      </c>
      <c r="F507" s="106"/>
      <c r="G507" s="36" t="s">
        <v>49</v>
      </c>
      <c r="Q507" s="80"/>
      <c r="R507" s="51"/>
      <c r="S507" s="51"/>
      <c r="AQ507" s="69"/>
    </row>
    <row r="508">
      <c r="A508" s="51">
        <v>10.0</v>
      </c>
      <c r="B508" s="51">
        <v>31.0</v>
      </c>
      <c r="C508" s="111" t="s">
        <v>43</v>
      </c>
      <c r="D508" s="106"/>
      <c r="E508" s="111" t="s">
        <v>34</v>
      </c>
      <c r="F508" s="106"/>
      <c r="G508" s="36" t="s">
        <v>35</v>
      </c>
      <c r="Q508" s="80"/>
      <c r="R508" s="51"/>
      <c r="S508" s="51"/>
      <c r="AQ508" s="69"/>
    </row>
    <row r="509">
      <c r="A509" s="51">
        <v>11.0</v>
      </c>
      <c r="B509" s="51">
        <v>24.0</v>
      </c>
      <c r="C509" s="111" t="s">
        <v>43</v>
      </c>
      <c r="D509" s="106"/>
      <c r="E509" s="111" t="s">
        <v>34</v>
      </c>
      <c r="F509" s="106"/>
      <c r="G509" s="36" t="s">
        <v>39</v>
      </c>
      <c r="Q509" s="80"/>
      <c r="R509" s="51"/>
      <c r="S509" s="51"/>
      <c r="AQ509" s="69"/>
    </row>
    <row r="510">
      <c r="A510" s="51">
        <v>12.0</v>
      </c>
      <c r="B510" s="51">
        <v>42.0</v>
      </c>
      <c r="C510" s="111" t="s">
        <v>33</v>
      </c>
      <c r="D510" s="106"/>
      <c r="E510" s="111" t="s">
        <v>34</v>
      </c>
      <c r="F510" s="106"/>
      <c r="G510" s="36" t="s">
        <v>49</v>
      </c>
      <c r="Q510" s="80"/>
      <c r="R510" s="51"/>
      <c r="S510" s="51"/>
      <c r="AQ510" s="69"/>
    </row>
    <row r="511">
      <c r="A511" s="51">
        <v>13.0</v>
      </c>
      <c r="B511" s="51">
        <v>26.0</v>
      </c>
      <c r="C511" s="111" t="s">
        <v>33</v>
      </c>
      <c r="D511" s="106"/>
      <c r="E511" s="111" t="s">
        <v>34</v>
      </c>
      <c r="F511" s="106"/>
      <c r="G511" s="36" t="s">
        <v>39</v>
      </c>
      <c r="Q511" s="80"/>
      <c r="R511" s="51"/>
      <c r="S511" s="51"/>
      <c r="AQ511" s="69"/>
    </row>
    <row r="512">
      <c r="A512" s="51">
        <v>14.0</v>
      </c>
      <c r="B512" s="51">
        <v>25.0</v>
      </c>
      <c r="C512" s="111" t="s">
        <v>33</v>
      </c>
      <c r="D512" s="106"/>
      <c r="E512" s="111" t="s">
        <v>58</v>
      </c>
      <c r="F512" s="106"/>
      <c r="G512" s="36" t="s">
        <v>49</v>
      </c>
      <c r="Q512" s="80"/>
      <c r="R512" s="51"/>
      <c r="S512" s="51"/>
      <c r="AQ512" s="69"/>
    </row>
    <row r="513">
      <c r="A513" s="51">
        <v>15.0</v>
      </c>
      <c r="B513" s="51">
        <v>25.0</v>
      </c>
      <c r="C513" s="111" t="s">
        <v>33</v>
      </c>
      <c r="D513" s="106"/>
      <c r="E513" s="111" t="s">
        <v>34</v>
      </c>
      <c r="F513" s="106"/>
      <c r="G513" s="36" t="s">
        <v>44</v>
      </c>
      <c r="Q513" s="80"/>
      <c r="R513" s="51"/>
      <c r="S513" s="51"/>
      <c r="AQ513" s="69"/>
    </row>
    <row r="514">
      <c r="A514" s="51">
        <v>16.0</v>
      </c>
      <c r="B514" s="51">
        <v>23.0</v>
      </c>
      <c r="C514" s="111" t="s">
        <v>33</v>
      </c>
      <c r="D514" s="106"/>
      <c r="E514" s="111" t="s">
        <v>34</v>
      </c>
      <c r="F514" s="106"/>
      <c r="G514" s="36" t="s">
        <v>44</v>
      </c>
      <c r="Q514" s="80"/>
      <c r="R514" s="51"/>
      <c r="S514" s="51"/>
      <c r="AQ514" s="69"/>
    </row>
    <row r="515">
      <c r="A515" s="51">
        <v>17.0</v>
      </c>
      <c r="B515" s="51">
        <v>35.0</v>
      </c>
      <c r="C515" s="111" t="s">
        <v>33</v>
      </c>
      <c r="D515" s="106"/>
      <c r="E515" s="111" t="s">
        <v>62</v>
      </c>
      <c r="F515" s="106"/>
      <c r="G515" s="36" t="s">
        <v>128</v>
      </c>
      <c r="Q515" s="80"/>
      <c r="R515" s="51"/>
      <c r="S515" s="51"/>
      <c r="AQ515" s="69"/>
    </row>
    <row r="516">
      <c r="A516" s="51">
        <v>18.0</v>
      </c>
      <c r="B516" s="51">
        <v>24.0</v>
      </c>
      <c r="C516" s="111" t="s">
        <v>43</v>
      </c>
      <c r="D516" s="106"/>
      <c r="E516" s="111" t="s">
        <v>58</v>
      </c>
      <c r="F516" s="106"/>
      <c r="G516" s="36" t="s">
        <v>44</v>
      </c>
      <c r="Q516" s="80"/>
      <c r="R516" s="51"/>
      <c r="S516" s="51"/>
      <c r="AQ516" s="69"/>
    </row>
    <row r="517">
      <c r="A517" s="51">
        <v>19.0</v>
      </c>
      <c r="B517" s="51">
        <v>26.0</v>
      </c>
      <c r="C517" s="111" t="s">
        <v>43</v>
      </c>
      <c r="D517" s="106"/>
      <c r="E517" s="111" t="s">
        <v>34</v>
      </c>
      <c r="F517" s="106"/>
      <c r="G517" s="36" t="s">
        <v>39</v>
      </c>
      <c r="Q517" s="80"/>
      <c r="R517" s="51"/>
      <c r="S517" s="51"/>
      <c r="AQ517" s="69"/>
    </row>
    <row r="518">
      <c r="A518" s="51">
        <v>20.0</v>
      </c>
      <c r="B518" s="51">
        <v>34.0</v>
      </c>
      <c r="C518" s="111" t="s">
        <v>33</v>
      </c>
      <c r="D518" s="106"/>
      <c r="E518" s="111" t="s">
        <v>58</v>
      </c>
      <c r="F518" s="106"/>
      <c r="G518" s="36" t="s">
        <v>44</v>
      </c>
      <c r="Q518" s="80"/>
      <c r="R518" s="51"/>
      <c r="S518" s="51"/>
      <c r="AQ518" s="69"/>
    </row>
    <row r="519">
      <c r="A519" s="51">
        <v>21.0</v>
      </c>
      <c r="B519" s="51">
        <v>29.0</v>
      </c>
      <c r="C519" s="111" t="s">
        <v>43</v>
      </c>
      <c r="D519" s="106"/>
      <c r="E519" s="111" t="s">
        <v>34</v>
      </c>
      <c r="F519" s="106"/>
      <c r="G519" s="36" t="s">
        <v>39</v>
      </c>
      <c r="Q519" s="80"/>
      <c r="R519" s="51"/>
      <c r="S519" s="51"/>
      <c r="AQ519" s="69"/>
    </row>
    <row r="520">
      <c r="A520" s="80"/>
      <c r="B520" s="80"/>
      <c r="C520" s="105"/>
      <c r="D520" s="106"/>
      <c r="E520" s="105"/>
      <c r="F520" s="106"/>
      <c r="Q520" s="80"/>
      <c r="R520" s="80"/>
      <c r="S520" s="80"/>
      <c r="AQ520" s="69"/>
    </row>
    <row r="521">
      <c r="A521" s="80"/>
      <c r="B521" s="80"/>
      <c r="C521" s="105"/>
      <c r="D521" s="106"/>
      <c r="E521" s="105"/>
      <c r="F521" s="106"/>
      <c r="Q521" s="80"/>
      <c r="R521" s="80"/>
      <c r="S521" s="80"/>
      <c r="AQ521" s="69"/>
    </row>
    <row r="522">
      <c r="A522" s="80"/>
      <c r="B522" s="80"/>
      <c r="C522" s="105"/>
      <c r="D522" s="106"/>
      <c r="E522" s="105"/>
      <c r="F522" s="106"/>
      <c r="Q522" s="80"/>
      <c r="R522" s="80"/>
      <c r="S522" s="80"/>
      <c r="AQ522" s="69"/>
    </row>
    <row r="523">
      <c r="A523" s="80"/>
      <c r="B523" s="80"/>
      <c r="C523" s="105"/>
      <c r="D523" s="106"/>
      <c r="E523" s="105"/>
      <c r="F523" s="106"/>
      <c r="Q523" s="80"/>
      <c r="R523" s="80"/>
      <c r="S523" s="80"/>
      <c r="AQ523" s="69"/>
    </row>
    <row r="524">
      <c r="A524" s="80"/>
      <c r="B524" s="80"/>
      <c r="C524" s="105"/>
      <c r="D524" s="106"/>
      <c r="E524" s="105"/>
      <c r="F524" s="106"/>
      <c r="Q524" s="80"/>
      <c r="R524" s="80"/>
      <c r="S524" s="80"/>
      <c r="AQ524" s="69"/>
    </row>
    <row r="525">
      <c r="A525" s="80"/>
      <c r="B525" s="80"/>
      <c r="C525" s="105"/>
      <c r="D525" s="106"/>
      <c r="E525" s="105"/>
      <c r="F525" s="106"/>
      <c r="Q525" s="80"/>
      <c r="R525" s="80"/>
      <c r="S525" s="80"/>
      <c r="AQ525" s="69"/>
    </row>
    <row r="526">
      <c r="A526" s="80"/>
      <c r="B526" s="80"/>
      <c r="C526" s="105"/>
      <c r="D526" s="106"/>
      <c r="E526" s="105"/>
      <c r="F526" s="106"/>
      <c r="Q526" s="80"/>
      <c r="R526" s="80"/>
      <c r="S526" s="80"/>
      <c r="AQ526" s="69"/>
    </row>
    <row r="527">
      <c r="A527" s="80"/>
      <c r="B527" s="80"/>
      <c r="C527" s="105"/>
      <c r="D527" s="106"/>
      <c r="E527" s="105"/>
      <c r="F527" s="106"/>
      <c r="Q527" s="80"/>
      <c r="R527" s="80"/>
      <c r="S527" s="80"/>
      <c r="AQ527" s="69"/>
    </row>
    <row r="528">
      <c r="A528" s="80"/>
      <c r="B528" s="80"/>
      <c r="C528" s="105"/>
      <c r="D528" s="106"/>
      <c r="E528" s="105"/>
      <c r="F528" s="106"/>
      <c r="Q528" s="80"/>
      <c r="R528" s="80"/>
      <c r="S528" s="80"/>
      <c r="AQ528" s="69"/>
    </row>
    <row r="529">
      <c r="A529" s="80"/>
      <c r="B529" s="80"/>
      <c r="C529" s="105"/>
      <c r="D529" s="106"/>
      <c r="E529" s="105"/>
      <c r="F529" s="106"/>
      <c r="Q529" s="80"/>
      <c r="R529" s="80"/>
      <c r="S529" s="80"/>
      <c r="AQ529" s="69"/>
    </row>
    <row r="530">
      <c r="A530" s="80"/>
      <c r="B530" s="80"/>
      <c r="C530" s="105"/>
      <c r="D530" s="106"/>
      <c r="E530" s="105"/>
      <c r="F530" s="106"/>
      <c r="Q530" s="80"/>
      <c r="R530" s="80"/>
      <c r="S530" s="80"/>
      <c r="AQ530" s="69"/>
    </row>
    <row r="531">
      <c r="A531" s="80"/>
      <c r="B531" s="80"/>
      <c r="C531" s="105"/>
      <c r="D531" s="106"/>
      <c r="E531" s="105"/>
      <c r="F531" s="106"/>
      <c r="Q531" s="80"/>
      <c r="R531" s="80"/>
      <c r="S531" s="80"/>
      <c r="AQ531" s="69"/>
    </row>
    <row r="532">
      <c r="A532" s="80"/>
      <c r="B532" s="80"/>
      <c r="C532" s="105"/>
      <c r="D532" s="106"/>
      <c r="E532" s="105"/>
      <c r="F532" s="106"/>
      <c r="Q532" s="80"/>
      <c r="R532" s="80"/>
      <c r="S532" s="80"/>
      <c r="AQ532" s="69"/>
    </row>
    <row r="533">
      <c r="A533" s="80"/>
      <c r="B533" s="80"/>
      <c r="C533" s="105"/>
      <c r="D533" s="106"/>
      <c r="E533" s="105"/>
      <c r="F533" s="106"/>
      <c r="Q533" s="80"/>
      <c r="R533" s="80"/>
      <c r="S533" s="80"/>
      <c r="AQ533" s="69"/>
    </row>
    <row r="534">
      <c r="A534" s="80"/>
      <c r="B534" s="80"/>
      <c r="C534" s="105"/>
      <c r="D534" s="106"/>
      <c r="E534" s="105"/>
      <c r="F534" s="106"/>
      <c r="Q534" s="80"/>
      <c r="R534" s="80"/>
      <c r="S534" s="80"/>
      <c r="AQ534" s="69"/>
    </row>
    <row r="535">
      <c r="A535" s="80"/>
      <c r="B535" s="80"/>
      <c r="C535" s="105"/>
      <c r="D535" s="106"/>
      <c r="E535" s="105"/>
      <c r="F535" s="106"/>
      <c r="Q535" s="80"/>
      <c r="R535" s="80"/>
      <c r="S535" s="80"/>
      <c r="AQ535" s="69"/>
    </row>
    <row r="536">
      <c r="A536" s="80"/>
      <c r="B536" s="80"/>
      <c r="C536" s="105"/>
      <c r="D536" s="106"/>
      <c r="E536" s="105"/>
      <c r="F536" s="106"/>
      <c r="Q536" s="80"/>
      <c r="R536" s="80"/>
      <c r="S536" s="80"/>
      <c r="AQ536" s="69"/>
    </row>
    <row r="537">
      <c r="A537" s="80"/>
      <c r="B537" s="80"/>
      <c r="C537" s="105"/>
      <c r="D537" s="106"/>
      <c r="E537" s="105"/>
      <c r="F537" s="106"/>
      <c r="Q537" s="80"/>
      <c r="R537" s="80"/>
      <c r="S537" s="80"/>
      <c r="AQ537" s="69"/>
    </row>
    <row r="538">
      <c r="A538" s="80"/>
      <c r="B538" s="80"/>
      <c r="C538" s="105"/>
      <c r="D538" s="106"/>
      <c r="E538" s="105"/>
      <c r="F538" s="106"/>
      <c r="Q538" s="80"/>
      <c r="R538" s="80"/>
      <c r="S538" s="80"/>
      <c r="AQ538" s="69"/>
    </row>
    <row r="539">
      <c r="A539" s="80"/>
      <c r="B539" s="80"/>
      <c r="C539" s="105"/>
      <c r="D539" s="106"/>
      <c r="E539" s="105"/>
      <c r="F539" s="106"/>
      <c r="Q539" s="80"/>
      <c r="R539" s="80"/>
      <c r="S539" s="80"/>
      <c r="AQ539" s="69"/>
    </row>
    <row r="540">
      <c r="A540" s="80"/>
      <c r="B540" s="80"/>
      <c r="C540" s="105"/>
      <c r="D540" s="106"/>
      <c r="E540" s="105"/>
      <c r="F540" s="106"/>
      <c r="Q540" s="80"/>
      <c r="R540" s="80"/>
      <c r="S540" s="80"/>
      <c r="AQ540" s="69"/>
    </row>
    <row r="541">
      <c r="A541" s="80"/>
      <c r="B541" s="80"/>
      <c r="C541" s="105"/>
      <c r="D541" s="106"/>
      <c r="E541" s="105"/>
      <c r="F541" s="106"/>
      <c r="Q541" s="80"/>
      <c r="R541" s="80"/>
      <c r="S541" s="80"/>
      <c r="AQ541" s="69"/>
    </row>
    <row r="542">
      <c r="A542" s="80"/>
      <c r="B542" s="80"/>
      <c r="C542" s="105"/>
      <c r="D542" s="106"/>
      <c r="E542" s="105"/>
      <c r="F542" s="106"/>
      <c r="Q542" s="80"/>
      <c r="R542" s="80"/>
      <c r="S542" s="80"/>
      <c r="AQ542" s="69"/>
    </row>
    <row r="543">
      <c r="A543" s="80"/>
      <c r="B543" s="80"/>
      <c r="C543" s="105"/>
      <c r="D543" s="106"/>
      <c r="E543" s="105"/>
      <c r="F543" s="106"/>
      <c r="Q543" s="80"/>
      <c r="R543" s="80"/>
      <c r="S543" s="80"/>
      <c r="AQ543" s="69"/>
    </row>
    <row r="544">
      <c r="A544" s="80"/>
      <c r="B544" s="80"/>
      <c r="C544" s="105"/>
      <c r="D544" s="106"/>
      <c r="E544" s="105"/>
      <c r="F544" s="106"/>
      <c r="Q544" s="80"/>
      <c r="R544" s="80"/>
      <c r="S544" s="80"/>
      <c r="AQ544" s="69"/>
    </row>
    <row r="545">
      <c r="A545" s="80"/>
      <c r="B545" s="80"/>
      <c r="C545" s="105"/>
      <c r="D545" s="106"/>
      <c r="E545" s="105"/>
      <c r="F545" s="106"/>
      <c r="Q545" s="80"/>
      <c r="R545" s="80"/>
      <c r="S545" s="80"/>
      <c r="AQ545" s="69"/>
    </row>
    <row r="546">
      <c r="A546" s="80"/>
      <c r="B546" s="80"/>
      <c r="C546" s="105"/>
      <c r="D546" s="106"/>
      <c r="E546" s="105"/>
      <c r="F546" s="106"/>
      <c r="Q546" s="80"/>
      <c r="R546" s="80"/>
      <c r="S546" s="80"/>
      <c r="AQ546" s="69"/>
    </row>
    <row r="547">
      <c r="A547" s="80"/>
      <c r="B547" s="80"/>
      <c r="C547" s="105"/>
      <c r="D547" s="106"/>
      <c r="E547" s="105"/>
      <c r="F547" s="106"/>
      <c r="Q547" s="80"/>
      <c r="R547" s="80"/>
      <c r="S547" s="80"/>
      <c r="AQ547" s="69"/>
    </row>
    <row r="548">
      <c r="A548" s="80"/>
      <c r="B548" s="80"/>
      <c r="C548" s="105"/>
      <c r="D548" s="106"/>
      <c r="E548" s="105"/>
      <c r="F548" s="106"/>
      <c r="Q548" s="80"/>
      <c r="R548" s="80"/>
      <c r="S548" s="80"/>
      <c r="AQ548" s="69"/>
    </row>
    <row r="549">
      <c r="A549" s="80"/>
      <c r="B549" s="80"/>
      <c r="C549" s="105"/>
      <c r="D549" s="106"/>
      <c r="E549" s="105"/>
      <c r="F549" s="106"/>
      <c r="Q549" s="80"/>
      <c r="R549" s="80"/>
      <c r="S549" s="80"/>
      <c r="AQ549" s="69"/>
    </row>
    <row r="550">
      <c r="A550" s="80"/>
      <c r="B550" s="80"/>
      <c r="C550" s="105"/>
      <c r="D550" s="106"/>
      <c r="E550" s="105"/>
      <c r="F550" s="106"/>
      <c r="Q550" s="80"/>
      <c r="R550" s="80"/>
      <c r="S550" s="80"/>
      <c r="AQ550" s="69"/>
    </row>
    <row r="551">
      <c r="A551" s="80"/>
      <c r="B551" s="80"/>
      <c r="C551" s="105"/>
      <c r="D551" s="106"/>
      <c r="E551" s="105"/>
      <c r="F551" s="106"/>
      <c r="Q551" s="80"/>
      <c r="R551" s="80"/>
      <c r="S551" s="80"/>
      <c r="AQ551" s="69"/>
    </row>
    <row r="552">
      <c r="A552" s="80"/>
      <c r="B552" s="80"/>
      <c r="C552" s="105"/>
      <c r="D552" s="106"/>
      <c r="E552" s="105"/>
      <c r="F552" s="106"/>
      <c r="Q552" s="80"/>
      <c r="R552" s="80"/>
      <c r="S552" s="80"/>
      <c r="AQ552" s="69"/>
    </row>
    <row r="553">
      <c r="A553" s="80"/>
      <c r="B553" s="80"/>
      <c r="C553" s="105"/>
      <c r="D553" s="106"/>
      <c r="E553" s="105"/>
      <c r="F553" s="106"/>
      <c r="Q553" s="80"/>
      <c r="R553" s="80"/>
      <c r="S553" s="80"/>
      <c r="AQ553" s="69"/>
    </row>
    <row r="554">
      <c r="A554" s="80"/>
      <c r="B554" s="80"/>
      <c r="C554" s="105"/>
      <c r="D554" s="106"/>
      <c r="E554" s="105"/>
      <c r="F554" s="106"/>
      <c r="Q554" s="80"/>
      <c r="R554" s="80"/>
      <c r="S554" s="80"/>
      <c r="AQ554" s="69"/>
    </row>
    <row r="555">
      <c r="A555" s="80"/>
      <c r="B555" s="80"/>
      <c r="C555" s="105"/>
      <c r="D555" s="106"/>
      <c r="E555" s="105"/>
      <c r="F555" s="106"/>
      <c r="Q555" s="80"/>
      <c r="R555" s="80"/>
      <c r="S555" s="80"/>
      <c r="AQ555" s="69"/>
    </row>
    <row r="556">
      <c r="A556" s="80"/>
      <c r="B556" s="80"/>
      <c r="C556" s="105"/>
      <c r="D556" s="106"/>
      <c r="E556" s="105"/>
      <c r="F556" s="106"/>
      <c r="Q556" s="80"/>
      <c r="R556" s="80"/>
      <c r="S556" s="80"/>
      <c r="AQ556" s="69"/>
    </row>
    <row r="557">
      <c r="A557" s="80"/>
      <c r="B557" s="80"/>
      <c r="C557" s="105"/>
      <c r="D557" s="106"/>
      <c r="E557" s="105"/>
      <c r="F557" s="106"/>
      <c r="Q557" s="80"/>
      <c r="R557" s="80"/>
      <c r="S557" s="80"/>
      <c r="AQ557" s="69"/>
    </row>
    <row r="558">
      <c r="A558" s="80"/>
      <c r="B558" s="80"/>
      <c r="C558" s="105"/>
      <c r="D558" s="106"/>
      <c r="E558" s="105"/>
      <c r="F558" s="106"/>
      <c r="Q558" s="80"/>
      <c r="R558" s="80"/>
      <c r="S558" s="80"/>
      <c r="AQ558" s="69"/>
    </row>
    <row r="559">
      <c r="A559" s="80"/>
      <c r="B559" s="80"/>
      <c r="C559" s="105"/>
      <c r="D559" s="106"/>
      <c r="E559" s="105"/>
      <c r="F559" s="106"/>
      <c r="Q559" s="80"/>
      <c r="R559" s="80"/>
      <c r="S559" s="80"/>
      <c r="AQ559" s="69"/>
    </row>
    <row r="560">
      <c r="A560" s="80"/>
      <c r="B560" s="80"/>
      <c r="C560" s="105"/>
      <c r="D560" s="106"/>
      <c r="E560" s="105"/>
      <c r="F560" s="106"/>
      <c r="Q560" s="80"/>
      <c r="R560" s="80"/>
      <c r="S560" s="80"/>
      <c r="AQ560" s="69"/>
    </row>
    <row r="561">
      <c r="A561" s="80"/>
      <c r="B561" s="80"/>
      <c r="C561" s="105"/>
      <c r="D561" s="106"/>
      <c r="E561" s="105"/>
      <c r="F561" s="106"/>
      <c r="Q561" s="80"/>
      <c r="R561" s="80"/>
      <c r="S561" s="80"/>
      <c r="AQ561" s="69"/>
    </row>
    <row r="562">
      <c r="A562" s="80"/>
      <c r="B562" s="80"/>
      <c r="C562" s="105"/>
      <c r="D562" s="106"/>
      <c r="E562" s="105"/>
      <c r="F562" s="106"/>
      <c r="Q562" s="80"/>
      <c r="R562" s="80"/>
      <c r="S562" s="80"/>
      <c r="AQ562" s="69"/>
    </row>
    <row r="563">
      <c r="A563" s="80"/>
      <c r="B563" s="80"/>
      <c r="C563" s="105"/>
      <c r="D563" s="106"/>
      <c r="E563" s="105"/>
      <c r="F563" s="106"/>
      <c r="Q563" s="80"/>
      <c r="R563" s="80"/>
      <c r="S563" s="80"/>
      <c r="AQ563" s="69"/>
    </row>
    <row r="564">
      <c r="A564" s="80"/>
      <c r="B564" s="80"/>
      <c r="C564" s="105"/>
      <c r="D564" s="106"/>
      <c r="E564" s="105"/>
      <c r="F564" s="106"/>
      <c r="Q564" s="80"/>
      <c r="R564" s="80"/>
      <c r="S564" s="80"/>
      <c r="AQ564" s="69"/>
    </row>
    <row r="565">
      <c r="A565" s="80"/>
      <c r="B565" s="80"/>
      <c r="C565" s="105"/>
      <c r="D565" s="106"/>
      <c r="E565" s="105"/>
      <c r="F565" s="106"/>
      <c r="Q565" s="80"/>
      <c r="R565" s="80"/>
      <c r="S565" s="80"/>
      <c r="AQ565" s="69"/>
    </row>
    <row r="566">
      <c r="A566" s="80"/>
      <c r="B566" s="80"/>
      <c r="C566" s="105"/>
      <c r="D566" s="106"/>
      <c r="E566" s="105"/>
      <c r="F566" s="106"/>
      <c r="Q566" s="80"/>
      <c r="R566" s="80"/>
      <c r="S566" s="80"/>
      <c r="AQ566" s="69"/>
    </row>
    <row r="567">
      <c r="A567" s="80"/>
      <c r="B567" s="80"/>
      <c r="C567" s="105"/>
      <c r="D567" s="106"/>
      <c r="E567" s="105"/>
      <c r="F567" s="106"/>
      <c r="Q567" s="80"/>
      <c r="R567" s="80"/>
      <c r="S567" s="80"/>
      <c r="AQ567" s="69"/>
    </row>
    <row r="568">
      <c r="A568" s="80"/>
      <c r="B568" s="80"/>
      <c r="C568" s="105"/>
      <c r="D568" s="106"/>
      <c r="E568" s="105"/>
      <c r="F568" s="106"/>
      <c r="Q568" s="80"/>
      <c r="R568" s="80"/>
      <c r="S568" s="80"/>
      <c r="AQ568" s="69"/>
    </row>
    <row r="569">
      <c r="A569" s="80"/>
      <c r="B569" s="80"/>
      <c r="C569" s="105"/>
      <c r="D569" s="106"/>
      <c r="E569" s="105"/>
      <c r="F569" s="106"/>
      <c r="Q569" s="80"/>
      <c r="R569" s="80"/>
      <c r="S569" s="80"/>
      <c r="AQ569" s="69"/>
    </row>
    <row r="570">
      <c r="A570" s="80"/>
      <c r="B570" s="80"/>
      <c r="C570" s="105"/>
      <c r="D570" s="106"/>
      <c r="E570" s="105"/>
      <c r="F570" s="106"/>
      <c r="Q570" s="80"/>
      <c r="R570" s="80"/>
      <c r="S570" s="80"/>
      <c r="AQ570" s="69"/>
    </row>
    <row r="571">
      <c r="A571" s="80"/>
      <c r="B571" s="80"/>
      <c r="C571" s="105"/>
      <c r="D571" s="106"/>
      <c r="E571" s="105"/>
      <c r="F571" s="106"/>
      <c r="Q571" s="80"/>
      <c r="R571" s="80"/>
      <c r="S571" s="80"/>
      <c r="AQ571" s="69"/>
    </row>
    <row r="572">
      <c r="A572" s="80"/>
      <c r="B572" s="80"/>
      <c r="C572" s="105"/>
      <c r="D572" s="106"/>
      <c r="E572" s="105"/>
      <c r="F572" s="106"/>
      <c r="Q572" s="80"/>
      <c r="R572" s="80"/>
      <c r="S572" s="80"/>
      <c r="AQ572" s="69"/>
    </row>
    <row r="573">
      <c r="A573" s="80"/>
      <c r="B573" s="80"/>
      <c r="C573" s="105"/>
      <c r="D573" s="106"/>
      <c r="E573" s="105"/>
      <c r="F573" s="106"/>
      <c r="Q573" s="80"/>
      <c r="R573" s="80"/>
      <c r="S573" s="80"/>
      <c r="AQ573" s="69"/>
    </row>
    <row r="574">
      <c r="A574" s="80"/>
      <c r="B574" s="80"/>
      <c r="C574" s="105"/>
      <c r="D574" s="106"/>
      <c r="E574" s="105"/>
      <c r="F574" s="106"/>
      <c r="Q574" s="80"/>
      <c r="R574" s="80"/>
      <c r="S574" s="80"/>
      <c r="AQ574" s="69"/>
    </row>
    <row r="575">
      <c r="A575" s="80"/>
      <c r="B575" s="80"/>
      <c r="C575" s="105"/>
      <c r="D575" s="106"/>
      <c r="E575" s="105"/>
      <c r="F575" s="106"/>
      <c r="Q575" s="80"/>
      <c r="R575" s="80"/>
      <c r="S575" s="80"/>
      <c r="AQ575" s="69"/>
    </row>
    <row r="576">
      <c r="A576" s="80"/>
      <c r="B576" s="80"/>
      <c r="C576" s="105"/>
      <c r="D576" s="106"/>
      <c r="E576" s="105"/>
      <c r="F576" s="106"/>
      <c r="Q576" s="80"/>
      <c r="R576" s="80"/>
      <c r="S576" s="80"/>
      <c r="AQ576" s="69"/>
    </row>
    <row r="577">
      <c r="A577" s="80"/>
      <c r="B577" s="80"/>
      <c r="C577" s="105"/>
      <c r="D577" s="106"/>
      <c r="E577" s="105"/>
      <c r="F577" s="106"/>
      <c r="Q577" s="80"/>
      <c r="R577" s="80"/>
      <c r="S577" s="80"/>
      <c r="AQ577" s="69"/>
    </row>
    <row r="578">
      <c r="A578" s="80"/>
      <c r="B578" s="80"/>
      <c r="C578" s="105"/>
      <c r="D578" s="106"/>
      <c r="E578" s="105"/>
      <c r="F578" s="106"/>
      <c r="Q578" s="80"/>
      <c r="R578" s="80"/>
      <c r="S578" s="80"/>
      <c r="AQ578" s="69"/>
    </row>
    <row r="579">
      <c r="A579" s="80"/>
      <c r="B579" s="80"/>
      <c r="C579" s="105"/>
      <c r="D579" s="106"/>
      <c r="E579" s="105"/>
      <c r="F579" s="106"/>
      <c r="Q579" s="80"/>
      <c r="R579" s="80"/>
      <c r="S579" s="80"/>
      <c r="AQ579" s="69"/>
    </row>
    <row r="580">
      <c r="A580" s="80"/>
      <c r="B580" s="80"/>
      <c r="C580" s="105"/>
      <c r="D580" s="106"/>
      <c r="E580" s="105"/>
      <c r="F580" s="106"/>
      <c r="Q580" s="80"/>
      <c r="R580" s="80"/>
      <c r="S580" s="80"/>
      <c r="AQ580" s="69"/>
    </row>
    <row r="581">
      <c r="A581" s="80"/>
      <c r="B581" s="80"/>
      <c r="C581" s="105"/>
      <c r="D581" s="106"/>
      <c r="E581" s="105"/>
      <c r="F581" s="106"/>
      <c r="Q581" s="80"/>
      <c r="R581" s="80"/>
      <c r="S581" s="80"/>
      <c r="AQ581" s="69"/>
    </row>
    <row r="582">
      <c r="A582" s="80"/>
      <c r="B582" s="80"/>
      <c r="C582" s="105"/>
      <c r="D582" s="106"/>
      <c r="E582" s="105"/>
      <c r="F582" s="106"/>
      <c r="Q582" s="80"/>
      <c r="R582" s="80"/>
      <c r="S582" s="80"/>
      <c r="AQ582" s="69"/>
    </row>
    <row r="583">
      <c r="A583" s="80"/>
      <c r="B583" s="80"/>
      <c r="C583" s="105"/>
      <c r="D583" s="106"/>
      <c r="E583" s="105"/>
      <c r="F583" s="106"/>
      <c r="Q583" s="80"/>
      <c r="R583" s="80"/>
      <c r="S583" s="80"/>
      <c r="AQ583" s="69"/>
    </row>
    <row r="584">
      <c r="A584" s="80"/>
      <c r="B584" s="80"/>
      <c r="C584" s="105"/>
      <c r="D584" s="106"/>
      <c r="E584" s="105"/>
      <c r="F584" s="106"/>
      <c r="Q584" s="80"/>
      <c r="R584" s="80"/>
      <c r="S584" s="80"/>
      <c r="AQ584" s="69"/>
    </row>
    <row r="585">
      <c r="A585" s="80"/>
      <c r="B585" s="80"/>
      <c r="C585" s="105"/>
      <c r="D585" s="106"/>
      <c r="E585" s="105"/>
      <c r="F585" s="106"/>
      <c r="Q585" s="80"/>
      <c r="R585" s="80"/>
      <c r="S585" s="80"/>
      <c r="AQ585" s="69"/>
    </row>
    <row r="586">
      <c r="A586" s="80"/>
      <c r="B586" s="80"/>
      <c r="C586" s="105"/>
      <c r="D586" s="106"/>
      <c r="E586" s="105"/>
      <c r="F586" s="106"/>
      <c r="Q586" s="80"/>
      <c r="R586" s="80"/>
      <c r="S586" s="80"/>
      <c r="AQ586" s="69"/>
    </row>
    <row r="587">
      <c r="A587" s="80"/>
      <c r="B587" s="80"/>
      <c r="C587" s="105"/>
      <c r="D587" s="106"/>
      <c r="E587" s="105"/>
      <c r="F587" s="106"/>
      <c r="Q587" s="80"/>
      <c r="R587" s="80"/>
      <c r="S587" s="80"/>
      <c r="AQ587" s="69"/>
    </row>
    <row r="588">
      <c r="A588" s="80"/>
      <c r="B588" s="80"/>
      <c r="C588" s="105"/>
      <c r="D588" s="106"/>
      <c r="E588" s="105"/>
      <c r="F588" s="106"/>
      <c r="Q588" s="80"/>
      <c r="R588" s="80"/>
      <c r="S588" s="80"/>
      <c r="AQ588" s="69"/>
    </row>
    <row r="589">
      <c r="A589" s="80"/>
      <c r="B589" s="80"/>
      <c r="C589" s="105"/>
      <c r="D589" s="106"/>
      <c r="E589" s="105"/>
      <c r="F589" s="106"/>
      <c r="Q589" s="80"/>
      <c r="R589" s="80"/>
      <c r="S589" s="80"/>
      <c r="AQ589" s="69"/>
    </row>
    <row r="590">
      <c r="A590" s="80"/>
      <c r="B590" s="80"/>
      <c r="C590" s="105"/>
      <c r="D590" s="106"/>
      <c r="E590" s="105"/>
      <c r="F590" s="106"/>
      <c r="Q590" s="80"/>
      <c r="R590" s="80"/>
      <c r="S590" s="80"/>
      <c r="AQ590" s="69"/>
    </row>
    <row r="591">
      <c r="A591" s="80"/>
      <c r="B591" s="80"/>
      <c r="C591" s="105"/>
      <c r="D591" s="106"/>
      <c r="E591" s="105"/>
      <c r="F591" s="106"/>
      <c r="Q591" s="80"/>
      <c r="R591" s="80"/>
      <c r="S591" s="80"/>
      <c r="AQ591" s="69"/>
    </row>
    <row r="592">
      <c r="A592" s="80"/>
      <c r="B592" s="80"/>
      <c r="C592" s="105"/>
      <c r="D592" s="106"/>
      <c r="E592" s="105"/>
      <c r="F592" s="106"/>
      <c r="Q592" s="80"/>
      <c r="R592" s="80"/>
      <c r="S592" s="80"/>
      <c r="AQ592" s="69"/>
    </row>
    <row r="593">
      <c r="A593" s="80"/>
      <c r="B593" s="80"/>
      <c r="C593" s="105"/>
      <c r="D593" s="106"/>
      <c r="E593" s="105"/>
      <c r="F593" s="106"/>
      <c r="Q593" s="80"/>
      <c r="R593" s="80"/>
      <c r="S593" s="80"/>
      <c r="AQ593" s="69"/>
    </row>
    <row r="594">
      <c r="A594" s="80"/>
      <c r="B594" s="80"/>
      <c r="C594" s="105"/>
      <c r="D594" s="106"/>
      <c r="E594" s="105"/>
      <c r="F594" s="106"/>
      <c r="Q594" s="80"/>
      <c r="R594" s="80"/>
      <c r="S594" s="80"/>
      <c r="AQ594" s="69"/>
    </row>
    <row r="595">
      <c r="A595" s="80"/>
      <c r="B595" s="80"/>
      <c r="C595" s="105"/>
      <c r="D595" s="106"/>
      <c r="E595" s="105"/>
      <c r="F595" s="106"/>
      <c r="Q595" s="80"/>
      <c r="R595" s="80"/>
      <c r="S595" s="80"/>
      <c r="AQ595" s="69"/>
    </row>
    <row r="596">
      <c r="A596" s="80"/>
      <c r="B596" s="80"/>
      <c r="C596" s="105"/>
      <c r="D596" s="106"/>
      <c r="E596" s="105"/>
      <c r="F596" s="106"/>
      <c r="Q596" s="80"/>
      <c r="R596" s="80"/>
      <c r="S596" s="80"/>
      <c r="AQ596" s="69"/>
    </row>
    <row r="597">
      <c r="A597" s="80"/>
      <c r="B597" s="80"/>
      <c r="C597" s="105"/>
      <c r="D597" s="106"/>
      <c r="E597" s="105"/>
      <c r="F597" s="106"/>
      <c r="Q597" s="80"/>
      <c r="R597" s="80"/>
      <c r="S597" s="80"/>
      <c r="AQ597" s="69"/>
    </row>
    <row r="598">
      <c r="A598" s="80"/>
      <c r="B598" s="80"/>
      <c r="C598" s="105"/>
      <c r="D598" s="106"/>
      <c r="E598" s="105"/>
      <c r="F598" s="106"/>
      <c r="Q598" s="80"/>
      <c r="R598" s="80"/>
      <c r="S598" s="80"/>
      <c r="AQ598" s="69"/>
    </row>
    <row r="599">
      <c r="A599" s="80"/>
      <c r="B599" s="80"/>
      <c r="C599" s="105"/>
      <c r="D599" s="106"/>
      <c r="E599" s="105"/>
      <c r="F599" s="106"/>
      <c r="Q599" s="80"/>
      <c r="R599" s="80"/>
      <c r="S599" s="80"/>
      <c r="AQ599" s="69"/>
    </row>
    <row r="600">
      <c r="A600" s="80"/>
      <c r="B600" s="80"/>
      <c r="C600" s="105"/>
      <c r="D600" s="106"/>
      <c r="E600" s="105"/>
      <c r="F600" s="106"/>
      <c r="Q600" s="80"/>
      <c r="R600" s="80"/>
      <c r="S600" s="80"/>
      <c r="AQ600" s="69"/>
    </row>
    <row r="601">
      <c r="A601" s="80"/>
      <c r="B601" s="80"/>
      <c r="C601" s="105"/>
      <c r="D601" s="106"/>
      <c r="E601" s="105"/>
      <c r="F601" s="106"/>
      <c r="Q601" s="80"/>
      <c r="R601" s="80"/>
      <c r="S601" s="80"/>
      <c r="AQ601" s="69"/>
    </row>
    <row r="602">
      <c r="A602" s="80"/>
      <c r="B602" s="80"/>
      <c r="C602" s="105"/>
      <c r="D602" s="106"/>
      <c r="E602" s="105"/>
      <c r="F602" s="106"/>
      <c r="Q602" s="80"/>
      <c r="R602" s="80"/>
      <c r="S602" s="80"/>
      <c r="AQ602" s="69"/>
    </row>
    <row r="603">
      <c r="A603" s="80"/>
      <c r="B603" s="80"/>
      <c r="C603" s="105"/>
      <c r="D603" s="106"/>
      <c r="E603" s="105"/>
      <c r="F603" s="106"/>
      <c r="Q603" s="80"/>
      <c r="R603" s="80"/>
      <c r="S603" s="80"/>
      <c r="AQ603" s="69"/>
    </row>
    <row r="604">
      <c r="A604" s="80"/>
      <c r="B604" s="80"/>
      <c r="C604" s="105"/>
      <c r="D604" s="106"/>
      <c r="E604" s="105"/>
      <c r="F604" s="106"/>
      <c r="Q604" s="80"/>
      <c r="R604" s="80"/>
      <c r="S604" s="80"/>
      <c r="AQ604" s="69"/>
    </row>
    <row r="605">
      <c r="A605" s="80"/>
      <c r="B605" s="80"/>
      <c r="C605" s="105"/>
      <c r="D605" s="106"/>
      <c r="E605" s="105"/>
      <c r="F605" s="106"/>
      <c r="Q605" s="80"/>
      <c r="R605" s="80"/>
      <c r="S605" s="80"/>
      <c r="AQ605" s="69"/>
    </row>
    <row r="606">
      <c r="A606" s="80"/>
      <c r="B606" s="80"/>
      <c r="C606" s="105"/>
      <c r="D606" s="106"/>
      <c r="E606" s="105"/>
      <c r="F606" s="106"/>
      <c r="Q606" s="80"/>
      <c r="R606" s="80"/>
      <c r="S606" s="80"/>
      <c r="AQ606" s="69"/>
    </row>
    <row r="607">
      <c r="A607" s="80"/>
      <c r="B607" s="80"/>
      <c r="C607" s="105"/>
      <c r="D607" s="106"/>
      <c r="E607" s="105"/>
      <c r="F607" s="106"/>
      <c r="Q607" s="80"/>
      <c r="R607" s="80"/>
      <c r="S607" s="80"/>
      <c r="AQ607" s="69"/>
    </row>
    <row r="608">
      <c r="A608" s="80"/>
      <c r="B608" s="80"/>
      <c r="C608" s="105"/>
      <c r="D608" s="106"/>
      <c r="E608" s="105"/>
      <c r="F608" s="106"/>
      <c r="Q608" s="80"/>
      <c r="R608" s="80"/>
      <c r="S608" s="80"/>
      <c r="AQ608" s="69"/>
    </row>
    <row r="609">
      <c r="A609" s="80"/>
      <c r="B609" s="80"/>
      <c r="C609" s="105"/>
      <c r="D609" s="106"/>
      <c r="E609" s="105"/>
      <c r="F609" s="106"/>
      <c r="Q609" s="80"/>
      <c r="R609" s="80"/>
      <c r="S609" s="80"/>
      <c r="AQ609" s="69"/>
    </row>
    <row r="610">
      <c r="A610" s="80"/>
      <c r="B610" s="80"/>
      <c r="C610" s="105"/>
      <c r="D610" s="106"/>
      <c r="E610" s="105"/>
      <c r="F610" s="106"/>
      <c r="Q610" s="80"/>
      <c r="R610" s="80"/>
      <c r="S610" s="80"/>
      <c r="AQ610" s="69"/>
    </row>
    <row r="611">
      <c r="A611" s="80"/>
      <c r="B611" s="80"/>
      <c r="C611" s="105"/>
      <c r="D611" s="106"/>
      <c r="E611" s="105"/>
      <c r="F611" s="106"/>
      <c r="Q611" s="80"/>
      <c r="R611" s="80"/>
      <c r="S611" s="80"/>
      <c r="AQ611" s="69"/>
    </row>
    <row r="612">
      <c r="A612" s="80"/>
      <c r="B612" s="80"/>
      <c r="C612" s="105"/>
      <c r="D612" s="106"/>
      <c r="E612" s="105"/>
      <c r="F612" s="106"/>
      <c r="Q612" s="80"/>
      <c r="R612" s="80"/>
      <c r="S612" s="80"/>
      <c r="AQ612" s="69"/>
    </row>
    <row r="613">
      <c r="A613" s="80"/>
      <c r="B613" s="80"/>
      <c r="C613" s="105"/>
      <c r="D613" s="106"/>
      <c r="E613" s="105"/>
      <c r="F613" s="106"/>
      <c r="Q613" s="80"/>
      <c r="R613" s="80"/>
      <c r="S613" s="80"/>
      <c r="AQ613" s="69"/>
    </row>
    <row r="614">
      <c r="A614" s="80"/>
      <c r="B614" s="80"/>
      <c r="C614" s="105"/>
      <c r="D614" s="106"/>
      <c r="E614" s="105"/>
      <c r="F614" s="106"/>
      <c r="Q614" s="80"/>
      <c r="R614" s="80"/>
      <c r="S614" s="80"/>
      <c r="AQ614" s="69"/>
    </row>
    <row r="615">
      <c r="A615" s="80"/>
      <c r="B615" s="80"/>
      <c r="C615" s="105"/>
      <c r="D615" s="106"/>
      <c r="E615" s="105"/>
      <c r="F615" s="106"/>
      <c r="Q615" s="80"/>
      <c r="R615" s="80"/>
      <c r="S615" s="80"/>
      <c r="AQ615" s="69"/>
    </row>
    <row r="616">
      <c r="A616" s="80"/>
      <c r="B616" s="80"/>
      <c r="C616" s="105"/>
      <c r="D616" s="106"/>
      <c r="E616" s="105"/>
      <c r="F616" s="106"/>
      <c r="Q616" s="80"/>
      <c r="R616" s="80"/>
      <c r="S616" s="80"/>
      <c r="AQ616" s="69"/>
    </row>
    <row r="617">
      <c r="A617" s="80"/>
      <c r="B617" s="80"/>
      <c r="C617" s="105"/>
      <c r="D617" s="106"/>
      <c r="E617" s="105"/>
      <c r="F617" s="106"/>
      <c r="Q617" s="80"/>
      <c r="R617" s="80"/>
      <c r="S617" s="80"/>
      <c r="AQ617" s="69"/>
    </row>
    <row r="618">
      <c r="A618" s="80"/>
      <c r="B618" s="80"/>
      <c r="C618" s="105"/>
      <c r="D618" s="106"/>
      <c r="E618" s="105"/>
      <c r="F618" s="106"/>
      <c r="Q618" s="80"/>
      <c r="R618" s="80"/>
      <c r="S618" s="80"/>
      <c r="AQ618" s="69"/>
    </row>
    <row r="619">
      <c r="A619" s="80"/>
      <c r="B619" s="80"/>
      <c r="C619" s="105"/>
      <c r="D619" s="106"/>
      <c r="E619" s="105"/>
      <c r="F619" s="106"/>
      <c r="Q619" s="80"/>
      <c r="R619" s="80"/>
      <c r="S619" s="80"/>
      <c r="AQ619" s="69"/>
    </row>
    <row r="620">
      <c r="A620" s="109" t="s">
        <v>2</v>
      </c>
      <c r="B620" s="109" t="s">
        <v>3</v>
      </c>
      <c r="C620" s="110" t="s">
        <v>4</v>
      </c>
      <c r="D620" s="106"/>
      <c r="E620" s="110" t="s">
        <v>5</v>
      </c>
      <c r="F620" s="106"/>
      <c r="G620" s="112" t="s">
        <v>6</v>
      </c>
      <c r="Q620" s="80"/>
      <c r="R620" s="109"/>
      <c r="S620" s="109"/>
      <c r="AQ620" s="69"/>
    </row>
    <row r="621">
      <c r="A621" s="71" t="s">
        <v>142</v>
      </c>
      <c r="B621" s="51">
        <v>32.0</v>
      </c>
      <c r="C621" s="111" t="s">
        <v>33</v>
      </c>
      <c r="D621" s="106"/>
      <c r="E621" s="111" t="s">
        <v>34</v>
      </c>
      <c r="F621" s="106"/>
      <c r="G621" s="36" t="s">
        <v>35</v>
      </c>
      <c r="Q621" s="80"/>
      <c r="R621" s="51"/>
      <c r="S621" s="51"/>
      <c r="AQ621" s="69"/>
    </row>
    <row r="622">
      <c r="A622" s="71" t="s">
        <v>138</v>
      </c>
      <c r="B622" s="51">
        <v>23.0</v>
      </c>
      <c r="C622" s="111" t="s">
        <v>33</v>
      </c>
      <c r="D622" s="106"/>
      <c r="E622" s="111" t="s">
        <v>34</v>
      </c>
      <c r="F622" s="106"/>
      <c r="G622" s="36" t="s">
        <v>39</v>
      </c>
      <c r="Q622" s="80"/>
      <c r="R622" s="51"/>
      <c r="S622" s="51"/>
      <c r="AQ622" s="69"/>
    </row>
    <row r="623">
      <c r="A623" s="71" t="s">
        <v>121</v>
      </c>
      <c r="B623" s="51">
        <v>24.0</v>
      </c>
      <c r="C623" s="111" t="s">
        <v>43</v>
      </c>
      <c r="D623" s="106"/>
      <c r="E623" s="111" t="s">
        <v>34</v>
      </c>
      <c r="F623" s="106"/>
      <c r="G623" s="36" t="s">
        <v>44</v>
      </c>
      <c r="Q623" s="80"/>
      <c r="R623" s="51"/>
      <c r="S623" s="51"/>
      <c r="AQ623" s="69"/>
    </row>
    <row r="624">
      <c r="A624" s="71" t="s">
        <v>143</v>
      </c>
      <c r="B624" s="51">
        <v>30.0</v>
      </c>
      <c r="C624" s="111" t="s">
        <v>33</v>
      </c>
      <c r="D624" s="106"/>
      <c r="E624" s="111" t="s">
        <v>34</v>
      </c>
      <c r="F624" s="106"/>
      <c r="G624" s="36" t="s">
        <v>44</v>
      </c>
      <c r="Q624" s="80"/>
      <c r="R624" s="51"/>
      <c r="S624" s="51"/>
      <c r="AQ624" s="69"/>
    </row>
    <row r="625">
      <c r="A625" s="71" t="s">
        <v>122</v>
      </c>
      <c r="B625" s="51">
        <v>24.0</v>
      </c>
      <c r="C625" s="111" t="s">
        <v>43</v>
      </c>
      <c r="D625" s="106"/>
      <c r="E625" s="111" t="s">
        <v>34</v>
      </c>
      <c r="F625" s="106"/>
      <c r="G625" s="36" t="s">
        <v>44</v>
      </c>
      <c r="Q625" s="80"/>
      <c r="R625" s="51"/>
      <c r="S625" s="51"/>
      <c r="AQ625" s="69"/>
    </row>
    <row r="626">
      <c r="A626" s="71" t="s">
        <v>123</v>
      </c>
      <c r="B626" s="51">
        <v>27.0</v>
      </c>
      <c r="C626" s="111" t="s">
        <v>33</v>
      </c>
      <c r="D626" s="106"/>
      <c r="E626" s="111" t="s">
        <v>34</v>
      </c>
      <c r="F626" s="106"/>
      <c r="G626" s="36" t="s">
        <v>44</v>
      </c>
      <c r="Q626" s="80"/>
      <c r="R626" s="51"/>
      <c r="S626" s="51"/>
      <c r="AQ626" s="69"/>
    </row>
    <row r="627">
      <c r="A627" s="71" t="s">
        <v>124</v>
      </c>
      <c r="B627" s="51">
        <v>22.0</v>
      </c>
      <c r="C627" s="111" t="s">
        <v>43</v>
      </c>
      <c r="D627" s="106"/>
      <c r="E627" s="111" t="s">
        <v>34</v>
      </c>
      <c r="F627" s="106"/>
      <c r="G627" s="36" t="s">
        <v>49</v>
      </c>
      <c r="Q627" s="80"/>
      <c r="R627" s="51"/>
      <c r="S627" s="51"/>
      <c r="AQ627" s="69"/>
    </row>
    <row r="628">
      <c r="A628" s="71" t="s">
        <v>125</v>
      </c>
      <c r="B628" s="51">
        <v>23.0</v>
      </c>
      <c r="C628" s="111" t="s">
        <v>33</v>
      </c>
      <c r="D628" s="106"/>
      <c r="E628" s="111" t="s">
        <v>34</v>
      </c>
      <c r="F628" s="106"/>
      <c r="G628" s="36" t="s">
        <v>44</v>
      </c>
      <c r="Q628" s="80"/>
      <c r="R628" s="51"/>
      <c r="S628" s="51"/>
      <c r="AQ628" s="69"/>
    </row>
    <row r="629">
      <c r="A629" s="71" t="s">
        <v>126</v>
      </c>
      <c r="B629" s="51">
        <v>31.0</v>
      </c>
      <c r="C629" s="111" t="s">
        <v>43</v>
      </c>
      <c r="D629" s="106"/>
      <c r="E629" s="111" t="s">
        <v>34</v>
      </c>
      <c r="F629" s="106"/>
      <c r="G629" s="36" t="s">
        <v>44</v>
      </c>
      <c r="Q629" s="80"/>
      <c r="R629" s="51"/>
      <c r="S629" s="51"/>
      <c r="AQ629" s="69"/>
    </row>
    <row r="630">
      <c r="A630" s="71" t="s">
        <v>127</v>
      </c>
      <c r="B630" s="51">
        <v>31.0</v>
      </c>
      <c r="C630" s="111" t="s">
        <v>33</v>
      </c>
      <c r="D630" s="106"/>
      <c r="E630" s="111" t="s">
        <v>34</v>
      </c>
      <c r="F630" s="106"/>
      <c r="G630" s="36" t="s">
        <v>49</v>
      </c>
      <c r="Q630" s="80"/>
      <c r="R630" s="51"/>
      <c r="S630" s="51"/>
      <c r="AQ630" s="69"/>
    </row>
    <row r="631">
      <c r="A631" s="51">
        <v>10.0</v>
      </c>
      <c r="B631" s="51">
        <v>31.0</v>
      </c>
      <c r="C631" s="111" t="s">
        <v>43</v>
      </c>
      <c r="D631" s="106"/>
      <c r="E631" s="111" t="s">
        <v>34</v>
      </c>
      <c r="F631" s="106"/>
      <c r="G631" s="36" t="s">
        <v>35</v>
      </c>
      <c r="Q631" s="80"/>
      <c r="R631" s="51"/>
      <c r="S631" s="51"/>
      <c r="AQ631" s="69"/>
    </row>
    <row r="632">
      <c r="A632" s="51">
        <v>11.0</v>
      </c>
      <c r="B632" s="51">
        <v>24.0</v>
      </c>
      <c r="C632" s="111" t="s">
        <v>43</v>
      </c>
      <c r="D632" s="106"/>
      <c r="E632" s="111" t="s">
        <v>34</v>
      </c>
      <c r="F632" s="106"/>
      <c r="G632" s="36" t="s">
        <v>39</v>
      </c>
      <c r="Q632" s="80"/>
      <c r="R632" s="51"/>
      <c r="S632" s="51"/>
      <c r="AQ632" s="69"/>
    </row>
    <row r="633">
      <c r="A633" s="51">
        <v>12.0</v>
      </c>
      <c r="B633" s="51">
        <v>42.0</v>
      </c>
      <c r="C633" s="111" t="s">
        <v>33</v>
      </c>
      <c r="D633" s="106"/>
      <c r="E633" s="111" t="s">
        <v>34</v>
      </c>
      <c r="F633" s="106"/>
      <c r="G633" s="36" t="s">
        <v>49</v>
      </c>
      <c r="Q633" s="80"/>
      <c r="R633" s="51"/>
      <c r="S633" s="51"/>
      <c r="AQ633" s="69"/>
    </row>
    <row r="634">
      <c r="A634" s="51">
        <v>13.0</v>
      </c>
      <c r="B634" s="51">
        <v>26.0</v>
      </c>
      <c r="C634" s="111" t="s">
        <v>33</v>
      </c>
      <c r="D634" s="106"/>
      <c r="E634" s="111" t="s">
        <v>34</v>
      </c>
      <c r="F634" s="106"/>
      <c r="G634" s="36" t="s">
        <v>39</v>
      </c>
      <c r="Q634" s="80"/>
      <c r="R634" s="51"/>
      <c r="S634" s="51"/>
      <c r="AQ634" s="69"/>
    </row>
    <row r="635">
      <c r="A635" s="51">
        <v>14.0</v>
      </c>
      <c r="B635" s="51">
        <v>25.0</v>
      </c>
      <c r="C635" s="111" t="s">
        <v>33</v>
      </c>
      <c r="D635" s="106"/>
      <c r="E635" s="111" t="s">
        <v>58</v>
      </c>
      <c r="F635" s="106"/>
      <c r="G635" s="36" t="s">
        <v>49</v>
      </c>
      <c r="Q635" s="80"/>
      <c r="R635" s="51"/>
      <c r="S635" s="51"/>
      <c r="AQ635" s="69"/>
    </row>
    <row r="636">
      <c r="A636" s="51">
        <v>15.0</v>
      </c>
      <c r="B636" s="51">
        <v>25.0</v>
      </c>
      <c r="C636" s="111" t="s">
        <v>33</v>
      </c>
      <c r="D636" s="106"/>
      <c r="E636" s="111" t="s">
        <v>34</v>
      </c>
      <c r="F636" s="106"/>
      <c r="G636" s="36" t="s">
        <v>44</v>
      </c>
      <c r="Q636" s="80"/>
      <c r="R636" s="51"/>
      <c r="S636" s="51"/>
      <c r="AQ636" s="69"/>
    </row>
    <row r="637">
      <c r="A637" s="51">
        <v>16.0</v>
      </c>
      <c r="B637" s="51">
        <v>23.0</v>
      </c>
      <c r="C637" s="111" t="s">
        <v>33</v>
      </c>
      <c r="D637" s="106"/>
      <c r="E637" s="111" t="s">
        <v>34</v>
      </c>
      <c r="F637" s="106"/>
      <c r="G637" s="36" t="s">
        <v>44</v>
      </c>
      <c r="Q637" s="80"/>
      <c r="R637" s="51"/>
      <c r="S637" s="51"/>
      <c r="AQ637" s="69"/>
    </row>
    <row r="638">
      <c r="A638" s="51">
        <v>17.0</v>
      </c>
      <c r="B638" s="51">
        <v>35.0</v>
      </c>
      <c r="C638" s="111" t="s">
        <v>33</v>
      </c>
      <c r="D638" s="106"/>
      <c r="E638" s="111" t="s">
        <v>62</v>
      </c>
      <c r="F638" s="106"/>
      <c r="G638" s="36" t="s">
        <v>128</v>
      </c>
      <c r="Q638" s="80"/>
      <c r="R638" s="51"/>
      <c r="S638" s="51"/>
      <c r="AQ638" s="69"/>
    </row>
    <row r="639">
      <c r="A639" s="51">
        <v>18.0</v>
      </c>
      <c r="B639" s="51">
        <v>24.0</v>
      </c>
      <c r="C639" s="111" t="s">
        <v>43</v>
      </c>
      <c r="D639" s="106"/>
      <c r="E639" s="111" t="s">
        <v>58</v>
      </c>
      <c r="F639" s="106"/>
      <c r="G639" s="36" t="s">
        <v>44</v>
      </c>
      <c r="Q639" s="80"/>
      <c r="R639" s="51"/>
      <c r="S639" s="51"/>
      <c r="AQ639" s="69"/>
    </row>
    <row r="640">
      <c r="A640" s="51">
        <v>19.0</v>
      </c>
      <c r="B640" s="51">
        <v>26.0</v>
      </c>
      <c r="C640" s="111" t="s">
        <v>43</v>
      </c>
      <c r="D640" s="106"/>
      <c r="E640" s="111" t="s">
        <v>34</v>
      </c>
      <c r="F640" s="106"/>
      <c r="G640" s="36" t="s">
        <v>39</v>
      </c>
      <c r="Q640" s="80"/>
      <c r="R640" s="51"/>
      <c r="S640" s="51"/>
      <c r="AQ640" s="69"/>
    </row>
    <row r="641">
      <c r="A641" s="51">
        <v>20.0</v>
      </c>
      <c r="B641" s="51">
        <v>34.0</v>
      </c>
      <c r="C641" s="111" t="s">
        <v>33</v>
      </c>
      <c r="D641" s="106"/>
      <c r="E641" s="111" t="s">
        <v>58</v>
      </c>
      <c r="F641" s="106"/>
      <c r="G641" s="36" t="s">
        <v>44</v>
      </c>
      <c r="Q641" s="80"/>
      <c r="R641" s="51"/>
      <c r="S641" s="51"/>
      <c r="AQ641" s="69"/>
    </row>
    <row r="642">
      <c r="A642" s="51">
        <v>21.0</v>
      </c>
      <c r="B642" s="51">
        <v>29.0</v>
      </c>
      <c r="C642" s="111" t="s">
        <v>43</v>
      </c>
      <c r="D642" s="106"/>
      <c r="E642" s="111" t="s">
        <v>34</v>
      </c>
      <c r="F642" s="106"/>
      <c r="G642" s="36" t="s">
        <v>39</v>
      </c>
      <c r="Q642" s="80"/>
      <c r="R642" s="51"/>
      <c r="S642" s="51"/>
      <c r="AQ642" s="69"/>
    </row>
    <row r="643">
      <c r="A643" s="80"/>
      <c r="B643" s="80"/>
      <c r="C643" s="105"/>
      <c r="D643" s="106"/>
      <c r="E643" s="105"/>
      <c r="F643" s="106"/>
      <c r="Q643" s="80"/>
      <c r="R643" s="80"/>
      <c r="S643" s="80"/>
      <c r="AQ643" s="69"/>
    </row>
    <row r="644">
      <c r="A644" s="80"/>
      <c r="B644" s="80"/>
      <c r="C644" s="105"/>
      <c r="D644" s="106"/>
      <c r="E644" s="105"/>
      <c r="F644" s="106"/>
      <c r="Q644" s="80"/>
      <c r="R644" s="80"/>
      <c r="S644" s="80"/>
      <c r="AQ644" s="69"/>
    </row>
    <row r="645">
      <c r="A645" s="80"/>
      <c r="B645" s="80"/>
      <c r="C645" s="105"/>
      <c r="D645" s="106"/>
      <c r="E645" s="105"/>
      <c r="F645" s="106"/>
      <c r="Q645" s="80"/>
      <c r="R645" s="80"/>
      <c r="S645" s="80"/>
      <c r="AQ645" s="69"/>
    </row>
    <row r="646">
      <c r="A646" s="80"/>
      <c r="B646" s="80"/>
      <c r="C646" s="105"/>
      <c r="D646" s="106"/>
      <c r="E646" s="105"/>
      <c r="F646" s="106"/>
      <c r="Q646" s="80"/>
      <c r="R646" s="80"/>
      <c r="S646" s="80"/>
      <c r="AQ646" s="69"/>
    </row>
    <row r="647">
      <c r="A647" s="80"/>
      <c r="B647" s="80"/>
      <c r="C647" s="105"/>
      <c r="D647" s="106"/>
      <c r="E647" s="105"/>
      <c r="F647" s="106"/>
      <c r="Q647" s="80"/>
      <c r="R647" s="80"/>
      <c r="S647" s="80"/>
      <c r="AQ647" s="69"/>
    </row>
    <row r="648">
      <c r="A648" s="80"/>
      <c r="B648" s="80"/>
      <c r="C648" s="105"/>
      <c r="D648" s="106"/>
      <c r="E648" s="105"/>
      <c r="F648" s="106"/>
      <c r="Q648" s="80"/>
      <c r="R648" s="80"/>
      <c r="S648" s="80"/>
      <c r="AQ648" s="69"/>
    </row>
    <row r="649">
      <c r="A649" s="80"/>
      <c r="B649" s="80"/>
      <c r="C649" s="105"/>
      <c r="D649" s="106"/>
      <c r="E649" s="105"/>
      <c r="F649" s="106"/>
      <c r="Q649" s="80"/>
      <c r="R649" s="80"/>
      <c r="S649" s="80"/>
      <c r="AQ649" s="69"/>
    </row>
    <row r="650">
      <c r="A650" s="80"/>
      <c r="B650" s="80"/>
      <c r="C650" s="105"/>
      <c r="D650" s="106"/>
      <c r="E650" s="105"/>
      <c r="F650" s="106"/>
      <c r="Q650" s="80"/>
      <c r="R650" s="80"/>
      <c r="S650" s="80"/>
      <c r="AQ650" s="69"/>
    </row>
    <row r="651">
      <c r="A651" s="80"/>
      <c r="B651" s="80"/>
      <c r="C651" s="105"/>
      <c r="D651" s="106"/>
      <c r="E651" s="105"/>
      <c r="F651" s="106"/>
      <c r="Q651" s="80"/>
      <c r="R651" s="80"/>
      <c r="S651" s="80"/>
      <c r="AQ651" s="69"/>
    </row>
    <row r="652">
      <c r="A652" s="80"/>
      <c r="B652" s="80"/>
      <c r="C652" s="105"/>
      <c r="D652" s="106"/>
      <c r="E652" s="105"/>
      <c r="F652" s="106"/>
      <c r="Q652" s="80"/>
      <c r="R652" s="80"/>
      <c r="S652" s="80"/>
      <c r="AQ652" s="69"/>
    </row>
    <row r="653">
      <c r="A653" s="80"/>
      <c r="B653" s="80"/>
      <c r="C653" s="105"/>
      <c r="D653" s="106"/>
      <c r="E653" s="105"/>
      <c r="F653" s="106"/>
      <c r="Q653" s="80"/>
      <c r="R653" s="80"/>
      <c r="S653" s="80"/>
      <c r="AQ653" s="69"/>
    </row>
    <row r="654">
      <c r="A654" s="80"/>
      <c r="B654" s="80"/>
      <c r="C654" s="105"/>
      <c r="D654" s="106"/>
      <c r="E654" s="105"/>
      <c r="F654" s="106"/>
      <c r="Q654" s="80"/>
      <c r="R654" s="80"/>
      <c r="S654" s="80"/>
      <c r="AQ654" s="69"/>
    </row>
    <row r="655">
      <c r="A655" s="80"/>
      <c r="B655" s="80"/>
      <c r="C655" s="105"/>
      <c r="D655" s="106"/>
      <c r="E655" s="105"/>
      <c r="F655" s="106"/>
      <c r="Q655" s="80"/>
      <c r="R655" s="80"/>
      <c r="S655" s="80"/>
      <c r="AQ655" s="69"/>
    </row>
    <row r="656">
      <c r="A656" s="80"/>
      <c r="B656" s="80"/>
      <c r="C656" s="105"/>
      <c r="D656" s="106"/>
      <c r="E656" s="105"/>
      <c r="F656" s="106"/>
      <c r="Q656" s="80"/>
      <c r="R656" s="80"/>
      <c r="S656" s="80"/>
      <c r="AQ656" s="69"/>
    </row>
    <row r="657">
      <c r="A657" s="80"/>
      <c r="B657" s="80"/>
      <c r="C657" s="105"/>
      <c r="D657" s="106"/>
      <c r="E657" s="105"/>
      <c r="F657" s="106"/>
      <c r="Q657" s="80"/>
      <c r="R657" s="80"/>
      <c r="S657" s="80"/>
      <c r="AQ657" s="69"/>
    </row>
    <row r="658">
      <c r="A658" s="80"/>
      <c r="B658" s="80"/>
      <c r="C658" s="105"/>
      <c r="D658" s="106"/>
      <c r="E658" s="105"/>
      <c r="F658" s="106"/>
      <c r="Q658" s="80"/>
      <c r="R658" s="80"/>
      <c r="S658" s="80"/>
      <c r="AQ658" s="69"/>
    </row>
    <row r="659">
      <c r="A659" s="80"/>
      <c r="B659" s="80"/>
      <c r="C659" s="105"/>
      <c r="D659" s="106"/>
      <c r="E659" s="105"/>
      <c r="F659" s="106"/>
      <c r="Q659" s="80"/>
      <c r="R659" s="80"/>
      <c r="S659" s="80"/>
      <c r="AQ659" s="69"/>
    </row>
    <row r="660">
      <c r="A660" s="80"/>
      <c r="B660" s="80"/>
      <c r="C660" s="105"/>
      <c r="D660" s="106"/>
      <c r="E660" s="105"/>
      <c r="F660" s="106"/>
      <c r="Q660" s="80"/>
      <c r="R660" s="80"/>
      <c r="S660" s="80"/>
      <c r="AQ660" s="69"/>
    </row>
    <row r="661">
      <c r="A661" s="80"/>
      <c r="B661" s="80"/>
      <c r="C661" s="105"/>
      <c r="D661" s="106"/>
      <c r="E661" s="105"/>
      <c r="F661" s="106"/>
      <c r="Q661" s="80"/>
      <c r="R661" s="80"/>
      <c r="S661" s="80"/>
      <c r="AQ661" s="69"/>
    </row>
    <row r="662">
      <c r="A662" s="80"/>
      <c r="B662" s="80"/>
      <c r="C662" s="105"/>
      <c r="D662" s="106"/>
      <c r="E662" s="105"/>
      <c r="F662" s="106"/>
      <c r="Q662" s="80"/>
      <c r="R662" s="80"/>
      <c r="S662" s="80"/>
      <c r="AQ662" s="69"/>
    </row>
    <row r="663">
      <c r="A663" s="80"/>
      <c r="B663" s="80"/>
      <c r="C663" s="105"/>
      <c r="D663" s="106"/>
      <c r="E663" s="105"/>
      <c r="F663" s="106"/>
      <c r="Q663" s="80"/>
      <c r="R663" s="80"/>
      <c r="S663" s="80"/>
      <c r="AQ663" s="69"/>
    </row>
    <row r="664">
      <c r="A664" s="80"/>
      <c r="B664" s="80"/>
      <c r="C664" s="105"/>
      <c r="D664" s="106"/>
      <c r="E664" s="105"/>
      <c r="F664" s="106"/>
      <c r="Q664" s="80"/>
      <c r="R664" s="80"/>
      <c r="S664" s="80"/>
      <c r="AQ664" s="69"/>
    </row>
    <row r="665">
      <c r="A665" s="80"/>
      <c r="B665" s="80"/>
      <c r="C665" s="105"/>
      <c r="D665" s="106"/>
      <c r="E665" s="105"/>
      <c r="F665" s="106"/>
      <c r="Q665" s="80"/>
      <c r="R665" s="80"/>
      <c r="S665" s="80"/>
      <c r="AQ665" s="69"/>
    </row>
    <row r="666">
      <c r="A666" s="80"/>
      <c r="B666" s="80"/>
      <c r="C666" s="105"/>
      <c r="D666" s="106"/>
      <c r="E666" s="105"/>
      <c r="F666" s="106"/>
      <c r="Q666" s="80"/>
      <c r="R666" s="80"/>
      <c r="S666" s="80"/>
      <c r="AQ666" s="69"/>
    </row>
    <row r="667">
      <c r="A667" s="80"/>
      <c r="B667" s="80"/>
      <c r="C667" s="105"/>
      <c r="D667" s="106"/>
      <c r="E667" s="105"/>
      <c r="F667" s="106"/>
      <c r="Q667" s="80"/>
      <c r="R667" s="80"/>
      <c r="S667" s="80"/>
      <c r="AQ667" s="69"/>
    </row>
    <row r="668">
      <c r="A668" s="80"/>
      <c r="B668" s="80"/>
      <c r="C668" s="105"/>
      <c r="D668" s="106"/>
      <c r="E668" s="105"/>
      <c r="F668" s="106"/>
      <c r="Q668" s="80"/>
      <c r="R668" s="80"/>
      <c r="S668" s="80"/>
      <c r="AQ668" s="69"/>
    </row>
    <row r="669">
      <c r="A669" s="80"/>
      <c r="B669" s="80"/>
      <c r="C669" s="105"/>
      <c r="D669" s="106"/>
      <c r="E669" s="105"/>
      <c r="F669" s="106"/>
      <c r="Q669" s="80"/>
      <c r="R669" s="80"/>
      <c r="S669" s="80"/>
      <c r="AQ669" s="69"/>
    </row>
    <row r="670">
      <c r="A670" s="80"/>
      <c r="B670" s="80"/>
      <c r="C670" s="105"/>
      <c r="D670" s="106"/>
      <c r="E670" s="105"/>
      <c r="F670" s="106"/>
      <c r="Q670" s="80"/>
      <c r="R670" s="80"/>
      <c r="S670" s="80"/>
      <c r="AQ670" s="69"/>
    </row>
    <row r="671">
      <c r="A671" s="80"/>
      <c r="B671" s="80"/>
      <c r="C671" s="105"/>
      <c r="D671" s="106"/>
      <c r="E671" s="105"/>
      <c r="F671" s="106"/>
      <c r="Q671" s="80"/>
      <c r="R671" s="80"/>
      <c r="S671" s="80"/>
      <c r="AQ671" s="69"/>
    </row>
    <row r="672">
      <c r="A672" s="80"/>
      <c r="B672" s="80"/>
      <c r="C672" s="105"/>
      <c r="D672" s="106"/>
      <c r="E672" s="105"/>
      <c r="F672" s="106"/>
      <c r="Q672" s="80"/>
      <c r="R672" s="80"/>
      <c r="S672" s="80"/>
      <c r="AQ672" s="69"/>
    </row>
    <row r="673">
      <c r="A673" s="80"/>
      <c r="B673" s="80"/>
      <c r="C673" s="105"/>
      <c r="D673" s="106"/>
      <c r="E673" s="105"/>
      <c r="F673" s="106"/>
      <c r="Q673" s="80"/>
      <c r="R673" s="80"/>
      <c r="S673" s="80"/>
      <c r="AQ673" s="69"/>
    </row>
    <row r="674">
      <c r="A674" s="80"/>
      <c r="B674" s="80"/>
      <c r="C674" s="105"/>
      <c r="D674" s="106"/>
      <c r="E674" s="105"/>
      <c r="F674" s="106"/>
      <c r="Q674" s="80"/>
      <c r="R674" s="80"/>
      <c r="S674" s="80"/>
      <c r="AQ674" s="69"/>
    </row>
    <row r="675">
      <c r="A675" s="80"/>
      <c r="B675" s="80"/>
      <c r="C675" s="105"/>
      <c r="D675" s="106"/>
      <c r="E675" s="105"/>
      <c r="F675" s="106"/>
      <c r="Q675" s="80"/>
      <c r="R675" s="80"/>
      <c r="S675" s="80"/>
      <c r="AQ675" s="69"/>
    </row>
    <row r="676">
      <c r="A676" s="80"/>
      <c r="B676" s="80"/>
      <c r="C676" s="105"/>
      <c r="D676" s="106"/>
      <c r="E676" s="105"/>
      <c r="F676" s="106"/>
      <c r="Q676" s="80"/>
      <c r="R676" s="80"/>
      <c r="S676" s="80"/>
      <c r="AQ676" s="69"/>
    </row>
    <row r="677">
      <c r="A677" s="80"/>
      <c r="B677" s="80"/>
      <c r="C677" s="105"/>
      <c r="D677" s="106"/>
      <c r="E677" s="105"/>
      <c r="F677" s="106"/>
      <c r="Q677" s="80"/>
      <c r="R677" s="80"/>
      <c r="S677" s="80"/>
      <c r="AQ677" s="69"/>
    </row>
    <row r="678">
      <c r="A678" s="80"/>
      <c r="B678" s="80"/>
      <c r="C678" s="105"/>
      <c r="D678" s="106"/>
      <c r="E678" s="105"/>
      <c r="F678" s="106"/>
      <c r="Q678" s="80"/>
      <c r="R678" s="80"/>
      <c r="S678" s="80"/>
      <c r="AQ678" s="69"/>
    </row>
    <row r="679">
      <c r="A679" s="80"/>
      <c r="B679" s="80"/>
      <c r="C679" s="105"/>
      <c r="D679" s="106"/>
      <c r="E679" s="105"/>
      <c r="F679" s="106"/>
      <c r="Q679" s="80"/>
      <c r="R679" s="80"/>
      <c r="S679" s="80"/>
      <c r="AQ679" s="69"/>
    </row>
    <row r="680">
      <c r="A680" s="80"/>
      <c r="B680" s="80"/>
      <c r="C680" s="105"/>
      <c r="D680" s="106"/>
      <c r="E680" s="105"/>
      <c r="F680" s="106"/>
      <c r="Q680" s="80"/>
      <c r="R680" s="80"/>
      <c r="S680" s="80"/>
      <c r="AQ680" s="69"/>
    </row>
    <row r="681">
      <c r="A681" s="80"/>
      <c r="B681" s="80"/>
      <c r="C681" s="105"/>
      <c r="D681" s="106"/>
      <c r="E681" s="105"/>
      <c r="F681" s="106"/>
      <c r="Q681" s="80"/>
      <c r="R681" s="80"/>
      <c r="S681" s="80"/>
      <c r="AQ681" s="69"/>
    </row>
    <row r="682">
      <c r="A682" s="80"/>
      <c r="B682" s="80"/>
      <c r="C682" s="105"/>
      <c r="D682" s="106"/>
      <c r="E682" s="105"/>
      <c r="F682" s="106"/>
      <c r="Q682" s="80"/>
      <c r="R682" s="80"/>
      <c r="S682" s="80"/>
      <c r="AQ682" s="69"/>
    </row>
    <row r="683">
      <c r="A683" s="80"/>
      <c r="B683" s="80"/>
      <c r="C683" s="105"/>
      <c r="D683" s="106"/>
      <c r="E683" s="105"/>
      <c r="F683" s="106"/>
      <c r="Q683" s="80"/>
      <c r="R683" s="80"/>
      <c r="S683" s="80"/>
      <c r="AQ683" s="69"/>
    </row>
    <row r="684">
      <c r="A684" s="80"/>
      <c r="B684" s="80"/>
      <c r="C684" s="105"/>
      <c r="D684" s="106"/>
      <c r="E684" s="105"/>
      <c r="F684" s="106"/>
      <c r="Q684" s="80"/>
      <c r="R684" s="80"/>
      <c r="S684" s="80"/>
      <c r="AQ684" s="69"/>
    </row>
    <row r="685">
      <c r="A685" s="80"/>
      <c r="B685" s="80"/>
      <c r="C685" s="105"/>
      <c r="D685" s="106"/>
      <c r="E685" s="105"/>
      <c r="F685" s="106"/>
      <c r="Q685" s="80"/>
      <c r="R685" s="80"/>
      <c r="S685" s="80"/>
      <c r="AQ685" s="69"/>
    </row>
    <row r="686">
      <c r="A686" s="80"/>
      <c r="B686" s="80"/>
      <c r="C686" s="105"/>
      <c r="D686" s="106"/>
      <c r="E686" s="105"/>
      <c r="F686" s="106"/>
      <c r="Q686" s="80"/>
      <c r="R686" s="80"/>
      <c r="S686" s="80"/>
      <c r="AQ686" s="69"/>
    </row>
    <row r="687">
      <c r="A687" s="80"/>
      <c r="B687" s="80"/>
      <c r="C687" s="105"/>
      <c r="D687" s="106"/>
      <c r="E687" s="105"/>
      <c r="F687" s="106"/>
      <c r="Q687" s="80"/>
      <c r="R687" s="80"/>
      <c r="S687" s="80"/>
      <c r="AQ687" s="69"/>
    </row>
    <row r="688">
      <c r="A688" s="80"/>
      <c r="B688" s="80"/>
      <c r="C688" s="105"/>
      <c r="D688" s="106"/>
      <c r="E688" s="105"/>
      <c r="F688" s="106"/>
      <c r="Q688" s="80"/>
      <c r="R688" s="80"/>
      <c r="S688" s="80"/>
      <c r="AQ688" s="69"/>
    </row>
    <row r="689">
      <c r="A689" s="80"/>
      <c r="B689" s="80"/>
      <c r="C689" s="105"/>
      <c r="D689" s="106"/>
      <c r="E689" s="105"/>
      <c r="F689" s="106"/>
      <c r="Q689" s="80"/>
      <c r="R689" s="80"/>
      <c r="S689" s="80"/>
      <c r="AQ689" s="69"/>
    </row>
    <row r="690">
      <c r="A690" s="80"/>
      <c r="B690" s="80"/>
      <c r="C690" s="105"/>
      <c r="D690" s="106"/>
      <c r="E690" s="105"/>
      <c r="F690" s="106"/>
      <c r="Q690" s="80"/>
      <c r="R690" s="80"/>
      <c r="S690" s="80"/>
      <c r="AQ690" s="69"/>
    </row>
    <row r="691">
      <c r="A691" s="80"/>
      <c r="B691" s="80"/>
      <c r="C691" s="105"/>
      <c r="D691" s="106"/>
      <c r="E691" s="105"/>
      <c r="F691" s="106"/>
      <c r="Q691" s="80"/>
      <c r="R691" s="80"/>
      <c r="S691" s="80"/>
      <c r="AQ691" s="69"/>
    </row>
    <row r="692">
      <c r="A692" s="80"/>
      <c r="B692" s="80"/>
      <c r="C692" s="105"/>
      <c r="D692" s="106"/>
      <c r="E692" s="105"/>
      <c r="F692" s="106"/>
      <c r="Q692" s="80"/>
      <c r="R692" s="80"/>
      <c r="S692" s="80"/>
      <c r="AQ692" s="69"/>
    </row>
    <row r="693">
      <c r="A693" s="80"/>
      <c r="B693" s="80"/>
      <c r="C693" s="105"/>
      <c r="D693" s="106"/>
      <c r="E693" s="105"/>
      <c r="F693" s="106"/>
      <c r="Q693" s="80"/>
      <c r="R693" s="80"/>
      <c r="S693" s="80"/>
      <c r="AQ693" s="69"/>
    </row>
    <row r="694">
      <c r="A694" s="80"/>
      <c r="B694" s="80"/>
      <c r="C694" s="105"/>
      <c r="D694" s="106"/>
      <c r="E694" s="105"/>
      <c r="F694" s="106"/>
      <c r="Q694" s="80"/>
      <c r="R694" s="80"/>
      <c r="S694" s="80"/>
      <c r="AQ694" s="69"/>
    </row>
    <row r="695">
      <c r="A695" s="80"/>
      <c r="B695" s="80"/>
      <c r="C695" s="105"/>
      <c r="D695" s="106"/>
      <c r="E695" s="105"/>
      <c r="F695" s="106"/>
      <c r="Q695" s="80"/>
      <c r="R695" s="80"/>
      <c r="S695" s="80"/>
      <c r="AQ695" s="69"/>
    </row>
    <row r="696">
      <c r="A696" s="80"/>
      <c r="B696" s="80"/>
      <c r="C696" s="105"/>
      <c r="D696" s="106"/>
      <c r="E696" s="105"/>
      <c r="F696" s="106"/>
      <c r="Q696" s="80"/>
      <c r="R696" s="80"/>
      <c r="S696" s="80"/>
      <c r="AQ696" s="69"/>
    </row>
    <row r="697">
      <c r="A697" s="80"/>
      <c r="B697" s="80"/>
      <c r="C697" s="105"/>
      <c r="D697" s="106"/>
      <c r="E697" s="105"/>
      <c r="F697" s="106"/>
      <c r="Q697" s="80"/>
      <c r="R697" s="80"/>
      <c r="S697" s="80"/>
      <c r="AQ697" s="69"/>
    </row>
    <row r="698">
      <c r="A698" s="80"/>
      <c r="B698" s="80"/>
      <c r="C698" s="105"/>
      <c r="D698" s="106"/>
      <c r="E698" s="105"/>
      <c r="F698" s="106"/>
      <c r="Q698" s="80"/>
      <c r="R698" s="80"/>
      <c r="S698" s="80"/>
      <c r="AQ698" s="69"/>
    </row>
    <row r="699">
      <c r="A699" s="80"/>
      <c r="B699" s="80"/>
      <c r="C699" s="105"/>
      <c r="D699" s="106"/>
      <c r="E699" s="105"/>
      <c r="F699" s="106"/>
      <c r="Q699" s="80"/>
      <c r="R699" s="80"/>
      <c r="S699" s="80"/>
      <c r="AQ699" s="69"/>
    </row>
    <row r="700">
      <c r="A700" s="80"/>
      <c r="B700" s="80"/>
      <c r="C700" s="105"/>
      <c r="D700" s="106"/>
      <c r="E700" s="105"/>
      <c r="F700" s="106"/>
      <c r="Q700" s="80"/>
      <c r="R700" s="80"/>
      <c r="S700" s="80"/>
      <c r="AQ700" s="69"/>
    </row>
    <row r="701">
      <c r="A701" s="80"/>
      <c r="B701" s="80"/>
      <c r="C701" s="105"/>
      <c r="D701" s="106"/>
      <c r="E701" s="105"/>
      <c r="F701" s="106"/>
      <c r="Q701" s="80"/>
      <c r="R701" s="80"/>
      <c r="S701" s="80"/>
      <c r="AQ701" s="69"/>
    </row>
    <row r="702">
      <c r="A702" s="80"/>
      <c r="B702" s="80"/>
      <c r="C702" s="105"/>
      <c r="D702" s="106"/>
      <c r="E702" s="105"/>
      <c r="F702" s="106"/>
      <c r="Q702" s="80"/>
      <c r="R702" s="80"/>
      <c r="S702" s="80"/>
      <c r="AQ702" s="69"/>
    </row>
    <row r="703">
      <c r="A703" s="80"/>
      <c r="B703" s="80"/>
      <c r="C703" s="105"/>
      <c r="D703" s="106"/>
      <c r="E703" s="105"/>
      <c r="F703" s="106"/>
      <c r="Q703" s="80"/>
      <c r="R703" s="80"/>
      <c r="S703" s="80"/>
      <c r="AQ703" s="69"/>
    </row>
    <row r="704">
      <c r="A704" s="80"/>
      <c r="B704" s="80"/>
      <c r="C704" s="105"/>
      <c r="D704" s="106"/>
      <c r="E704" s="105"/>
      <c r="F704" s="106"/>
      <c r="Q704" s="80"/>
      <c r="R704" s="80"/>
      <c r="S704" s="80"/>
      <c r="AQ704" s="69"/>
    </row>
    <row r="705">
      <c r="A705" s="80"/>
      <c r="B705" s="80"/>
      <c r="C705" s="105"/>
      <c r="D705" s="106"/>
      <c r="E705" s="105"/>
      <c r="F705" s="106"/>
      <c r="Q705" s="80"/>
      <c r="R705" s="80"/>
      <c r="S705" s="80"/>
      <c r="AQ705" s="69"/>
    </row>
    <row r="706">
      <c r="A706" s="80"/>
      <c r="B706" s="80"/>
      <c r="C706" s="105"/>
      <c r="D706" s="106"/>
      <c r="E706" s="105"/>
      <c r="F706" s="106"/>
      <c r="Q706" s="80"/>
      <c r="R706" s="80"/>
      <c r="S706" s="80"/>
      <c r="AQ706" s="69"/>
    </row>
    <row r="707">
      <c r="A707" s="80"/>
      <c r="B707" s="80"/>
      <c r="C707" s="105"/>
      <c r="D707" s="106"/>
      <c r="E707" s="105"/>
      <c r="F707" s="106"/>
      <c r="Q707" s="80"/>
      <c r="R707" s="80"/>
      <c r="S707" s="80"/>
      <c r="AQ707" s="69"/>
    </row>
    <row r="708">
      <c r="A708" s="80"/>
      <c r="B708" s="80"/>
      <c r="C708" s="105"/>
      <c r="D708" s="106"/>
      <c r="E708" s="105"/>
      <c r="F708" s="106"/>
      <c r="Q708" s="80"/>
      <c r="R708" s="80"/>
      <c r="S708" s="80"/>
      <c r="AQ708" s="69"/>
    </row>
    <row r="709">
      <c r="A709" s="80"/>
      <c r="B709" s="80"/>
      <c r="C709" s="105"/>
      <c r="D709" s="106"/>
      <c r="E709" s="105"/>
      <c r="F709" s="106"/>
      <c r="Q709" s="80"/>
      <c r="R709" s="80"/>
      <c r="S709" s="80"/>
      <c r="AQ709" s="69"/>
    </row>
    <row r="710">
      <c r="A710" s="80"/>
      <c r="B710" s="80"/>
      <c r="C710" s="105"/>
      <c r="D710" s="106"/>
      <c r="E710" s="105"/>
      <c r="F710" s="106"/>
      <c r="Q710" s="80"/>
      <c r="R710" s="80"/>
      <c r="S710" s="80"/>
      <c r="AQ710" s="69"/>
    </row>
    <row r="711">
      <c r="A711" s="80"/>
      <c r="B711" s="80"/>
      <c r="C711" s="105"/>
      <c r="D711" s="106"/>
      <c r="E711" s="105"/>
      <c r="F711" s="106"/>
      <c r="Q711" s="80"/>
      <c r="R711" s="80"/>
      <c r="S711" s="80"/>
      <c r="AQ711" s="69"/>
    </row>
    <row r="712">
      <c r="A712" s="80"/>
      <c r="B712" s="80"/>
      <c r="C712" s="105"/>
      <c r="D712" s="106"/>
      <c r="E712" s="105"/>
      <c r="F712" s="106"/>
      <c r="Q712" s="80"/>
      <c r="R712" s="80"/>
      <c r="S712" s="80"/>
      <c r="AQ712" s="69"/>
    </row>
    <row r="713">
      <c r="A713" s="80"/>
      <c r="B713" s="80"/>
      <c r="C713" s="105"/>
      <c r="D713" s="106"/>
      <c r="E713" s="105"/>
      <c r="F713" s="106"/>
      <c r="Q713" s="80"/>
      <c r="R713" s="80"/>
      <c r="S713" s="80"/>
      <c r="AQ713" s="69"/>
    </row>
    <row r="714">
      <c r="A714" s="80"/>
      <c r="B714" s="80"/>
      <c r="C714" s="105"/>
      <c r="D714" s="106"/>
      <c r="E714" s="105"/>
      <c r="F714" s="106"/>
      <c r="Q714" s="80"/>
      <c r="R714" s="80"/>
      <c r="S714" s="80"/>
      <c r="AQ714" s="69"/>
    </row>
    <row r="715">
      <c r="A715" s="80"/>
      <c r="B715" s="80"/>
      <c r="C715" s="105"/>
      <c r="D715" s="106"/>
      <c r="E715" s="105"/>
      <c r="F715" s="106"/>
      <c r="Q715" s="80"/>
      <c r="R715" s="80"/>
      <c r="S715" s="80"/>
      <c r="AQ715" s="69"/>
    </row>
    <row r="716">
      <c r="A716" s="80"/>
      <c r="B716" s="80"/>
      <c r="C716" s="105"/>
      <c r="D716" s="106"/>
      <c r="E716" s="105"/>
      <c r="F716" s="106"/>
      <c r="Q716" s="80"/>
      <c r="R716" s="80"/>
      <c r="S716" s="80"/>
      <c r="AQ716" s="69"/>
    </row>
    <row r="717">
      <c r="A717" s="80"/>
      <c r="B717" s="80"/>
      <c r="C717" s="105"/>
      <c r="D717" s="106"/>
      <c r="E717" s="105"/>
      <c r="F717" s="106"/>
      <c r="Q717" s="80"/>
      <c r="R717" s="80"/>
      <c r="S717" s="80"/>
      <c r="AQ717" s="69"/>
    </row>
    <row r="718">
      <c r="A718" s="80"/>
      <c r="B718" s="80"/>
      <c r="C718" s="105"/>
      <c r="D718" s="106"/>
      <c r="E718" s="105"/>
      <c r="F718" s="106"/>
      <c r="Q718" s="80"/>
      <c r="R718" s="80"/>
      <c r="S718" s="80"/>
      <c r="AQ718" s="69"/>
    </row>
    <row r="719">
      <c r="A719" s="80"/>
      <c r="B719" s="80"/>
      <c r="C719" s="105"/>
      <c r="D719" s="106"/>
      <c r="E719" s="105"/>
      <c r="F719" s="106"/>
      <c r="Q719" s="80"/>
      <c r="R719" s="80"/>
      <c r="S719" s="80"/>
      <c r="AQ719" s="69"/>
    </row>
    <row r="720">
      <c r="A720" s="80"/>
      <c r="B720" s="80"/>
      <c r="C720" s="105"/>
      <c r="D720" s="106"/>
      <c r="E720" s="105"/>
      <c r="F720" s="106"/>
      <c r="Q720" s="80"/>
      <c r="R720" s="80"/>
      <c r="S720" s="80"/>
      <c r="AQ720" s="69"/>
    </row>
    <row r="721">
      <c r="A721" s="80"/>
      <c r="B721" s="80"/>
      <c r="C721" s="105"/>
      <c r="D721" s="106"/>
      <c r="E721" s="105"/>
      <c r="F721" s="106"/>
      <c r="Q721" s="80"/>
      <c r="R721" s="80"/>
      <c r="S721" s="80"/>
      <c r="AQ721" s="69"/>
    </row>
    <row r="722">
      <c r="A722" s="80"/>
      <c r="B722" s="80"/>
      <c r="C722" s="105"/>
      <c r="D722" s="106"/>
      <c r="E722" s="105"/>
      <c r="F722" s="106"/>
      <c r="Q722" s="80"/>
      <c r="R722" s="80"/>
      <c r="S722" s="80"/>
      <c r="AQ722" s="69"/>
    </row>
    <row r="723">
      <c r="A723" s="80"/>
      <c r="B723" s="80"/>
      <c r="C723" s="105"/>
      <c r="D723" s="106"/>
      <c r="E723" s="105"/>
      <c r="F723" s="106"/>
      <c r="Q723" s="80"/>
      <c r="R723" s="80"/>
      <c r="S723" s="80"/>
      <c r="AQ723" s="69"/>
    </row>
    <row r="724">
      <c r="A724" s="80"/>
      <c r="B724" s="80"/>
      <c r="C724" s="105"/>
      <c r="D724" s="106"/>
      <c r="E724" s="105"/>
      <c r="F724" s="106"/>
      <c r="Q724" s="80"/>
      <c r="R724" s="80"/>
      <c r="S724" s="80"/>
      <c r="AQ724" s="69"/>
    </row>
    <row r="725">
      <c r="A725" s="80"/>
      <c r="B725" s="80"/>
      <c r="C725" s="105"/>
      <c r="D725" s="106"/>
      <c r="E725" s="105"/>
      <c r="F725" s="106"/>
      <c r="Q725" s="80"/>
      <c r="R725" s="80"/>
      <c r="S725" s="80"/>
      <c r="AQ725" s="69"/>
    </row>
    <row r="726">
      <c r="A726" s="80"/>
      <c r="B726" s="80"/>
      <c r="C726" s="105"/>
      <c r="D726" s="106"/>
      <c r="E726" s="105"/>
      <c r="F726" s="106"/>
      <c r="Q726" s="80"/>
      <c r="R726" s="80"/>
      <c r="S726" s="80"/>
      <c r="AQ726" s="69"/>
    </row>
    <row r="727">
      <c r="A727" s="80"/>
      <c r="B727" s="80"/>
      <c r="C727" s="105"/>
      <c r="D727" s="106"/>
      <c r="E727" s="105"/>
      <c r="F727" s="106"/>
      <c r="Q727" s="80"/>
      <c r="R727" s="80"/>
      <c r="S727" s="80"/>
      <c r="AQ727" s="69"/>
    </row>
    <row r="728">
      <c r="A728" s="80"/>
      <c r="B728" s="80"/>
      <c r="C728" s="105"/>
      <c r="D728" s="106"/>
      <c r="E728" s="105"/>
      <c r="F728" s="106"/>
      <c r="Q728" s="80"/>
      <c r="R728" s="80"/>
      <c r="S728" s="80"/>
      <c r="AQ728" s="69"/>
    </row>
    <row r="729">
      <c r="A729" s="80"/>
      <c r="B729" s="80"/>
      <c r="C729" s="105"/>
      <c r="D729" s="106"/>
      <c r="E729" s="105"/>
      <c r="F729" s="106"/>
      <c r="Q729" s="80"/>
      <c r="R729" s="80"/>
      <c r="S729" s="80"/>
      <c r="AQ729" s="69"/>
    </row>
    <row r="730">
      <c r="A730" s="80"/>
      <c r="B730" s="80"/>
      <c r="C730" s="105"/>
      <c r="D730" s="106"/>
      <c r="E730" s="105"/>
      <c r="F730" s="106"/>
      <c r="Q730" s="80"/>
      <c r="R730" s="80"/>
      <c r="S730" s="80"/>
      <c r="AQ730" s="69"/>
    </row>
    <row r="731">
      <c r="A731" s="80"/>
      <c r="B731" s="80"/>
      <c r="C731" s="105"/>
      <c r="D731" s="106"/>
      <c r="E731" s="105"/>
      <c r="F731" s="106"/>
      <c r="Q731" s="80"/>
      <c r="R731" s="80"/>
      <c r="S731" s="80"/>
      <c r="AQ731" s="69"/>
    </row>
    <row r="732">
      <c r="A732" s="80"/>
      <c r="B732" s="80"/>
      <c r="C732" s="105"/>
      <c r="D732" s="106"/>
      <c r="E732" s="105"/>
      <c r="F732" s="106"/>
      <c r="Q732" s="80"/>
      <c r="R732" s="80"/>
      <c r="S732" s="80"/>
      <c r="AQ732" s="69"/>
    </row>
    <row r="733">
      <c r="A733" s="80"/>
      <c r="B733" s="80"/>
      <c r="C733" s="105"/>
      <c r="D733" s="106"/>
      <c r="E733" s="105"/>
      <c r="F733" s="106"/>
      <c r="Q733" s="80"/>
      <c r="R733" s="80"/>
      <c r="S733" s="80"/>
      <c r="AQ733" s="69"/>
    </row>
    <row r="734">
      <c r="A734" s="80"/>
      <c r="B734" s="80"/>
      <c r="C734" s="105"/>
      <c r="D734" s="106"/>
      <c r="E734" s="105"/>
      <c r="F734" s="106"/>
      <c r="Q734" s="80"/>
      <c r="R734" s="80"/>
      <c r="S734" s="80"/>
      <c r="AQ734" s="69"/>
    </row>
    <row r="735">
      <c r="A735" s="80"/>
      <c r="B735" s="80"/>
      <c r="C735" s="105"/>
      <c r="D735" s="106"/>
      <c r="E735" s="105"/>
      <c r="F735" s="106"/>
      <c r="Q735" s="80"/>
      <c r="R735" s="80"/>
      <c r="S735" s="80"/>
      <c r="AQ735" s="69"/>
    </row>
    <row r="736">
      <c r="A736" s="80"/>
      <c r="B736" s="80"/>
      <c r="C736" s="105"/>
      <c r="D736" s="106"/>
      <c r="E736" s="105"/>
      <c r="F736" s="106"/>
      <c r="Q736" s="80"/>
      <c r="R736" s="80"/>
      <c r="S736" s="80"/>
      <c r="AQ736" s="69"/>
    </row>
    <row r="737">
      <c r="A737" s="80"/>
      <c r="B737" s="80"/>
      <c r="C737" s="105"/>
      <c r="D737" s="106"/>
      <c r="E737" s="105"/>
      <c r="F737" s="106"/>
      <c r="Q737" s="80"/>
      <c r="R737" s="80"/>
      <c r="S737" s="80"/>
      <c r="AQ737" s="69"/>
    </row>
    <row r="738">
      <c r="A738" s="80"/>
      <c r="B738" s="80"/>
      <c r="C738" s="105"/>
      <c r="D738" s="106"/>
      <c r="E738" s="105"/>
      <c r="F738" s="106"/>
      <c r="Q738" s="80"/>
      <c r="R738" s="80"/>
      <c r="S738" s="80"/>
      <c r="AQ738" s="69"/>
    </row>
    <row r="739">
      <c r="A739" s="80"/>
      <c r="B739" s="80"/>
      <c r="C739" s="105"/>
      <c r="D739" s="106"/>
      <c r="E739" s="105"/>
      <c r="F739" s="106"/>
      <c r="Q739" s="80"/>
      <c r="R739" s="80"/>
      <c r="S739" s="80"/>
      <c r="AQ739" s="69"/>
    </row>
    <row r="740">
      <c r="A740" s="80"/>
      <c r="B740" s="80"/>
      <c r="C740" s="105"/>
      <c r="D740" s="106"/>
      <c r="E740" s="105"/>
      <c r="F740" s="106"/>
      <c r="Q740" s="80"/>
      <c r="R740" s="80"/>
      <c r="S740" s="80"/>
      <c r="AQ740" s="69"/>
    </row>
    <row r="741">
      <c r="A741" s="80"/>
      <c r="B741" s="80"/>
      <c r="C741" s="105"/>
      <c r="D741" s="106"/>
      <c r="E741" s="105"/>
      <c r="F741" s="106"/>
      <c r="Q741" s="80"/>
      <c r="R741" s="80"/>
      <c r="S741" s="80"/>
      <c r="AQ741" s="69"/>
    </row>
    <row r="742">
      <c r="A742" s="80"/>
      <c r="B742" s="80"/>
      <c r="C742" s="105"/>
      <c r="D742" s="106"/>
      <c r="E742" s="105"/>
      <c r="F742" s="106"/>
      <c r="Q742" s="80"/>
      <c r="R742" s="80"/>
      <c r="S742" s="80"/>
      <c r="AQ742" s="69"/>
    </row>
    <row r="743">
      <c r="A743" s="109" t="s">
        <v>2</v>
      </c>
      <c r="B743" s="109" t="s">
        <v>3</v>
      </c>
      <c r="C743" s="110" t="s">
        <v>4</v>
      </c>
      <c r="D743" s="106"/>
      <c r="E743" s="110" t="s">
        <v>5</v>
      </c>
      <c r="F743" s="106"/>
      <c r="G743" s="112" t="s">
        <v>6</v>
      </c>
      <c r="Q743" s="80"/>
      <c r="R743" s="109"/>
      <c r="S743" s="109"/>
      <c r="AQ743" s="69"/>
    </row>
    <row r="744">
      <c r="A744" s="71" t="s">
        <v>142</v>
      </c>
      <c r="B744" s="51">
        <v>32.0</v>
      </c>
      <c r="C744" s="111" t="s">
        <v>33</v>
      </c>
      <c r="D744" s="106"/>
      <c r="E744" s="111" t="s">
        <v>34</v>
      </c>
      <c r="F744" s="106"/>
      <c r="G744" s="36" t="s">
        <v>35</v>
      </c>
      <c r="Q744" s="80"/>
      <c r="R744" s="51"/>
      <c r="S744" s="51"/>
      <c r="AQ744" s="69"/>
    </row>
    <row r="745">
      <c r="A745" s="71" t="s">
        <v>138</v>
      </c>
      <c r="B745" s="51">
        <v>23.0</v>
      </c>
      <c r="C745" s="111" t="s">
        <v>33</v>
      </c>
      <c r="D745" s="106"/>
      <c r="E745" s="111" t="s">
        <v>34</v>
      </c>
      <c r="F745" s="106"/>
      <c r="G745" s="36" t="s">
        <v>39</v>
      </c>
      <c r="Q745" s="80"/>
      <c r="R745" s="51"/>
      <c r="S745" s="51"/>
      <c r="AQ745" s="69"/>
    </row>
    <row r="746">
      <c r="A746" s="71" t="s">
        <v>121</v>
      </c>
      <c r="B746" s="51">
        <v>24.0</v>
      </c>
      <c r="C746" s="111" t="s">
        <v>43</v>
      </c>
      <c r="D746" s="106"/>
      <c r="E746" s="111" t="s">
        <v>34</v>
      </c>
      <c r="F746" s="106"/>
      <c r="G746" s="36" t="s">
        <v>44</v>
      </c>
      <c r="Q746" s="80"/>
      <c r="R746" s="51"/>
      <c r="S746" s="51"/>
      <c r="AQ746" s="69"/>
    </row>
    <row r="747">
      <c r="A747" s="71" t="s">
        <v>143</v>
      </c>
      <c r="B747" s="51">
        <v>30.0</v>
      </c>
      <c r="C747" s="111" t="s">
        <v>33</v>
      </c>
      <c r="D747" s="106"/>
      <c r="E747" s="111" t="s">
        <v>34</v>
      </c>
      <c r="F747" s="106"/>
      <c r="G747" s="36" t="s">
        <v>44</v>
      </c>
      <c r="Q747" s="80"/>
      <c r="R747" s="51"/>
      <c r="S747" s="51"/>
      <c r="AQ747" s="69"/>
    </row>
    <row r="748">
      <c r="A748" s="71" t="s">
        <v>122</v>
      </c>
      <c r="B748" s="51">
        <v>24.0</v>
      </c>
      <c r="C748" s="111" t="s">
        <v>43</v>
      </c>
      <c r="D748" s="106"/>
      <c r="E748" s="111" t="s">
        <v>34</v>
      </c>
      <c r="F748" s="106"/>
      <c r="G748" s="36" t="s">
        <v>44</v>
      </c>
      <c r="Q748" s="80"/>
      <c r="R748" s="51"/>
      <c r="S748" s="51"/>
      <c r="AQ748" s="69"/>
    </row>
    <row r="749">
      <c r="A749" s="71" t="s">
        <v>123</v>
      </c>
      <c r="B749" s="51">
        <v>27.0</v>
      </c>
      <c r="C749" s="111" t="s">
        <v>33</v>
      </c>
      <c r="D749" s="106"/>
      <c r="E749" s="111" t="s">
        <v>34</v>
      </c>
      <c r="F749" s="106"/>
      <c r="G749" s="36" t="s">
        <v>44</v>
      </c>
      <c r="Q749" s="80"/>
      <c r="R749" s="51"/>
      <c r="S749" s="51"/>
      <c r="AQ749" s="69"/>
    </row>
    <row r="750">
      <c r="A750" s="71" t="s">
        <v>124</v>
      </c>
      <c r="B750" s="51">
        <v>22.0</v>
      </c>
      <c r="C750" s="111" t="s">
        <v>43</v>
      </c>
      <c r="D750" s="106"/>
      <c r="E750" s="111" t="s">
        <v>34</v>
      </c>
      <c r="F750" s="106"/>
      <c r="G750" s="36" t="s">
        <v>49</v>
      </c>
      <c r="Q750" s="80"/>
      <c r="R750" s="51"/>
      <c r="S750" s="51"/>
      <c r="AQ750" s="69"/>
    </row>
    <row r="751">
      <c r="A751" s="71" t="s">
        <v>125</v>
      </c>
      <c r="B751" s="51">
        <v>23.0</v>
      </c>
      <c r="C751" s="111" t="s">
        <v>33</v>
      </c>
      <c r="D751" s="106"/>
      <c r="E751" s="111" t="s">
        <v>34</v>
      </c>
      <c r="F751" s="106"/>
      <c r="G751" s="36" t="s">
        <v>44</v>
      </c>
      <c r="Q751" s="80"/>
      <c r="R751" s="51"/>
      <c r="S751" s="51"/>
      <c r="AQ751" s="69"/>
    </row>
    <row r="752">
      <c r="A752" s="71" t="s">
        <v>126</v>
      </c>
      <c r="B752" s="51">
        <v>31.0</v>
      </c>
      <c r="C752" s="111" t="s">
        <v>43</v>
      </c>
      <c r="D752" s="106"/>
      <c r="E752" s="111" t="s">
        <v>34</v>
      </c>
      <c r="F752" s="106"/>
      <c r="G752" s="36" t="s">
        <v>44</v>
      </c>
      <c r="Q752" s="80"/>
      <c r="R752" s="51"/>
      <c r="S752" s="51"/>
      <c r="AQ752" s="69"/>
    </row>
    <row r="753">
      <c r="A753" s="71" t="s">
        <v>127</v>
      </c>
      <c r="B753" s="51">
        <v>31.0</v>
      </c>
      <c r="C753" s="111" t="s">
        <v>33</v>
      </c>
      <c r="D753" s="106"/>
      <c r="E753" s="111" t="s">
        <v>34</v>
      </c>
      <c r="F753" s="106"/>
      <c r="G753" s="36" t="s">
        <v>49</v>
      </c>
      <c r="Q753" s="80"/>
      <c r="R753" s="51"/>
      <c r="S753" s="51"/>
      <c r="AQ753" s="69"/>
    </row>
    <row r="754">
      <c r="A754" s="51">
        <v>10.0</v>
      </c>
      <c r="B754" s="51">
        <v>31.0</v>
      </c>
      <c r="C754" s="111" t="s">
        <v>43</v>
      </c>
      <c r="D754" s="106"/>
      <c r="E754" s="111" t="s">
        <v>34</v>
      </c>
      <c r="F754" s="106"/>
      <c r="G754" s="36" t="s">
        <v>35</v>
      </c>
      <c r="Q754" s="80"/>
      <c r="R754" s="51"/>
      <c r="S754" s="51"/>
      <c r="AQ754" s="69"/>
    </row>
    <row r="755">
      <c r="A755" s="51">
        <v>11.0</v>
      </c>
      <c r="B755" s="51">
        <v>24.0</v>
      </c>
      <c r="C755" s="111" t="s">
        <v>43</v>
      </c>
      <c r="D755" s="106"/>
      <c r="E755" s="111" t="s">
        <v>34</v>
      </c>
      <c r="F755" s="106"/>
      <c r="G755" s="36" t="s">
        <v>39</v>
      </c>
      <c r="Q755" s="80"/>
      <c r="R755" s="51"/>
      <c r="S755" s="51"/>
      <c r="AQ755" s="69"/>
    </row>
    <row r="756">
      <c r="A756" s="51">
        <v>12.0</v>
      </c>
      <c r="B756" s="51">
        <v>42.0</v>
      </c>
      <c r="C756" s="111" t="s">
        <v>33</v>
      </c>
      <c r="D756" s="106"/>
      <c r="E756" s="111" t="s">
        <v>34</v>
      </c>
      <c r="F756" s="106"/>
      <c r="G756" s="36" t="s">
        <v>49</v>
      </c>
      <c r="Q756" s="80"/>
      <c r="R756" s="51"/>
      <c r="S756" s="51"/>
      <c r="AQ756" s="69"/>
    </row>
    <row r="757">
      <c r="A757" s="51">
        <v>13.0</v>
      </c>
      <c r="B757" s="51">
        <v>26.0</v>
      </c>
      <c r="C757" s="111" t="s">
        <v>33</v>
      </c>
      <c r="D757" s="106"/>
      <c r="E757" s="111" t="s">
        <v>34</v>
      </c>
      <c r="F757" s="106"/>
      <c r="G757" s="36" t="s">
        <v>39</v>
      </c>
      <c r="Q757" s="80"/>
      <c r="R757" s="51"/>
      <c r="S757" s="51"/>
      <c r="AQ757" s="69"/>
    </row>
    <row r="758">
      <c r="A758" s="51">
        <v>14.0</v>
      </c>
      <c r="B758" s="51">
        <v>25.0</v>
      </c>
      <c r="C758" s="111" t="s">
        <v>33</v>
      </c>
      <c r="D758" s="106"/>
      <c r="E758" s="111" t="s">
        <v>58</v>
      </c>
      <c r="F758" s="106"/>
      <c r="G758" s="36" t="s">
        <v>49</v>
      </c>
      <c r="Q758" s="80"/>
      <c r="R758" s="51"/>
      <c r="S758" s="51"/>
      <c r="AQ758" s="69"/>
    </row>
    <row r="759">
      <c r="A759" s="51">
        <v>15.0</v>
      </c>
      <c r="B759" s="51">
        <v>25.0</v>
      </c>
      <c r="C759" s="111" t="s">
        <v>33</v>
      </c>
      <c r="D759" s="106"/>
      <c r="E759" s="111" t="s">
        <v>34</v>
      </c>
      <c r="F759" s="106"/>
      <c r="G759" s="36" t="s">
        <v>44</v>
      </c>
      <c r="Q759" s="80"/>
      <c r="R759" s="51"/>
      <c r="S759" s="51"/>
      <c r="AQ759" s="69"/>
    </row>
    <row r="760">
      <c r="A760" s="51">
        <v>16.0</v>
      </c>
      <c r="B760" s="51">
        <v>23.0</v>
      </c>
      <c r="C760" s="111" t="s">
        <v>33</v>
      </c>
      <c r="D760" s="106"/>
      <c r="E760" s="111" t="s">
        <v>34</v>
      </c>
      <c r="F760" s="106"/>
      <c r="G760" s="36" t="s">
        <v>44</v>
      </c>
      <c r="Q760" s="80"/>
      <c r="R760" s="51"/>
      <c r="S760" s="51"/>
      <c r="AQ760" s="69"/>
    </row>
    <row r="761">
      <c r="A761" s="51">
        <v>17.0</v>
      </c>
      <c r="B761" s="51">
        <v>35.0</v>
      </c>
      <c r="C761" s="111" t="s">
        <v>33</v>
      </c>
      <c r="D761" s="106"/>
      <c r="E761" s="111" t="s">
        <v>62</v>
      </c>
      <c r="F761" s="106"/>
      <c r="G761" s="36" t="s">
        <v>128</v>
      </c>
      <c r="Q761" s="80"/>
      <c r="R761" s="51"/>
      <c r="S761" s="51"/>
      <c r="AQ761" s="69"/>
    </row>
    <row r="762">
      <c r="A762" s="51">
        <v>18.0</v>
      </c>
      <c r="B762" s="51">
        <v>24.0</v>
      </c>
      <c r="C762" s="111" t="s">
        <v>43</v>
      </c>
      <c r="D762" s="106"/>
      <c r="E762" s="111" t="s">
        <v>58</v>
      </c>
      <c r="F762" s="106"/>
      <c r="G762" s="36" t="s">
        <v>44</v>
      </c>
      <c r="Q762" s="80"/>
      <c r="R762" s="51"/>
      <c r="S762" s="51"/>
      <c r="AQ762" s="69"/>
    </row>
    <row r="763">
      <c r="A763" s="51">
        <v>19.0</v>
      </c>
      <c r="B763" s="51">
        <v>26.0</v>
      </c>
      <c r="C763" s="111" t="s">
        <v>43</v>
      </c>
      <c r="D763" s="106"/>
      <c r="E763" s="111" t="s">
        <v>34</v>
      </c>
      <c r="F763" s="106"/>
      <c r="G763" s="36" t="s">
        <v>39</v>
      </c>
      <c r="Q763" s="80"/>
      <c r="R763" s="51"/>
      <c r="S763" s="51"/>
      <c r="AQ763" s="69"/>
    </row>
    <row r="764">
      <c r="A764" s="51">
        <v>20.0</v>
      </c>
      <c r="B764" s="51">
        <v>34.0</v>
      </c>
      <c r="C764" s="111" t="s">
        <v>33</v>
      </c>
      <c r="D764" s="106"/>
      <c r="E764" s="111" t="s">
        <v>58</v>
      </c>
      <c r="F764" s="106"/>
      <c r="G764" s="36" t="s">
        <v>44</v>
      </c>
      <c r="Q764" s="80"/>
      <c r="R764" s="51"/>
      <c r="S764" s="51"/>
      <c r="AQ764" s="69"/>
    </row>
    <row r="765">
      <c r="A765" s="51">
        <v>21.0</v>
      </c>
      <c r="B765" s="51">
        <v>29.0</v>
      </c>
      <c r="C765" s="111" t="s">
        <v>43</v>
      </c>
      <c r="D765" s="106"/>
      <c r="E765" s="111" t="s">
        <v>34</v>
      </c>
      <c r="F765" s="106"/>
      <c r="G765" s="36" t="s">
        <v>39</v>
      </c>
      <c r="Q765" s="80"/>
      <c r="R765" s="51"/>
      <c r="S765" s="51"/>
      <c r="AQ765" s="69"/>
    </row>
    <row r="766">
      <c r="A766" s="80"/>
      <c r="B766" s="80"/>
      <c r="C766" s="105"/>
      <c r="D766" s="106"/>
      <c r="E766" s="105"/>
      <c r="F766" s="106"/>
      <c r="Q766" s="80"/>
      <c r="R766" s="80"/>
      <c r="S766" s="80"/>
      <c r="AQ766" s="69"/>
    </row>
    <row r="767">
      <c r="A767" s="80"/>
      <c r="B767" s="80"/>
      <c r="C767" s="105"/>
      <c r="D767" s="106"/>
      <c r="E767" s="105"/>
      <c r="F767" s="106"/>
      <c r="Q767" s="80"/>
      <c r="R767" s="80"/>
      <c r="S767" s="80"/>
      <c r="AQ767" s="69"/>
    </row>
    <row r="768">
      <c r="A768" s="80"/>
      <c r="B768" s="80"/>
      <c r="C768" s="105"/>
      <c r="D768" s="106"/>
      <c r="E768" s="105"/>
      <c r="F768" s="106"/>
      <c r="Q768" s="80"/>
      <c r="R768" s="80"/>
      <c r="S768" s="80"/>
      <c r="AQ768" s="69"/>
    </row>
    <row r="769">
      <c r="A769" s="80"/>
      <c r="B769" s="80"/>
      <c r="C769" s="105"/>
      <c r="D769" s="106"/>
      <c r="E769" s="105"/>
      <c r="F769" s="106"/>
      <c r="Q769" s="80"/>
      <c r="R769" s="80"/>
      <c r="S769" s="80"/>
      <c r="AQ769" s="69"/>
    </row>
    <row r="770">
      <c r="A770" s="80"/>
      <c r="B770" s="80"/>
      <c r="C770" s="105"/>
      <c r="D770" s="106"/>
      <c r="E770" s="105"/>
      <c r="F770" s="106"/>
      <c r="Q770" s="80"/>
      <c r="R770" s="80"/>
      <c r="S770" s="80"/>
      <c r="AQ770" s="69"/>
    </row>
    <row r="771">
      <c r="A771" s="80"/>
      <c r="B771" s="80"/>
      <c r="C771" s="105"/>
      <c r="D771" s="106"/>
      <c r="E771" s="105"/>
      <c r="F771" s="106"/>
      <c r="Q771" s="80"/>
      <c r="R771" s="80"/>
      <c r="S771" s="80"/>
      <c r="AQ771" s="69"/>
    </row>
    <row r="772">
      <c r="A772" s="80"/>
      <c r="B772" s="80"/>
      <c r="C772" s="105"/>
      <c r="D772" s="106"/>
      <c r="E772" s="105"/>
      <c r="F772" s="106"/>
      <c r="Q772" s="80"/>
      <c r="R772" s="80"/>
      <c r="S772" s="80"/>
      <c r="AQ772" s="69"/>
    </row>
    <row r="773">
      <c r="A773" s="80"/>
      <c r="B773" s="80"/>
      <c r="C773" s="105"/>
      <c r="D773" s="106"/>
      <c r="E773" s="105"/>
      <c r="F773" s="106"/>
      <c r="Q773" s="80"/>
      <c r="R773" s="80"/>
      <c r="S773" s="80"/>
      <c r="AQ773" s="69"/>
    </row>
    <row r="774">
      <c r="A774" s="80"/>
      <c r="B774" s="80"/>
      <c r="C774" s="105"/>
      <c r="D774" s="106"/>
      <c r="E774" s="105"/>
      <c r="F774" s="106"/>
      <c r="Q774" s="80"/>
      <c r="R774" s="80"/>
      <c r="S774" s="80"/>
      <c r="AQ774" s="69"/>
    </row>
    <row r="775">
      <c r="A775" s="80"/>
      <c r="B775" s="80"/>
      <c r="C775" s="105"/>
      <c r="D775" s="106"/>
      <c r="E775" s="105"/>
      <c r="F775" s="106"/>
      <c r="Q775" s="80"/>
      <c r="R775" s="80"/>
      <c r="S775" s="80"/>
      <c r="AQ775" s="69"/>
    </row>
    <row r="776">
      <c r="A776" s="80"/>
      <c r="B776" s="80"/>
      <c r="C776" s="105"/>
      <c r="D776" s="106"/>
      <c r="E776" s="105"/>
      <c r="F776" s="106"/>
      <c r="Q776" s="80"/>
      <c r="R776" s="80"/>
      <c r="S776" s="80"/>
      <c r="AQ776" s="69"/>
    </row>
    <row r="777">
      <c r="A777" s="80"/>
      <c r="B777" s="80"/>
      <c r="C777" s="105"/>
      <c r="D777" s="106"/>
      <c r="E777" s="105"/>
      <c r="F777" s="106"/>
      <c r="Q777" s="80"/>
      <c r="R777" s="80"/>
      <c r="S777" s="80"/>
      <c r="AQ777" s="69"/>
    </row>
    <row r="778">
      <c r="A778" s="80"/>
      <c r="B778" s="80"/>
      <c r="C778" s="105"/>
      <c r="D778" s="106"/>
      <c r="E778" s="105"/>
      <c r="F778" s="106"/>
      <c r="Q778" s="80"/>
      <c r="R778" s="80"/>
      <c r="S778" s="80"/>
      <c r="AQ778" s="69"/>
    </row>
    <row r="779">
      <c r="A779" s="80"/>
      <c r="B779" s="80"/>
      <c r="C779" s="105"/>
      <c r="D779" s="106"/>
      <c r="E779" s="105"/>
      <c r="F779" s="106"/>
      <c r="Q779" s="80"/>
      <c r="R779" s="80"/>
      <c r="S779" s="80"/>
      <c r="AQ779" s="69"/>
    </row>
    <row r="780">
      <c r="A780" s="80"/>
      <c r="B780" s="80"/>
      <c r="C780" s="105"/>
      <c r="D780" s="106"/>
      <c r="E780" s="105"/>
      <c r="F780" s="106"/>
      <c r="Q780" s="80"/>
      <c r="R780" s="80"/>
      <c r="S780" s="80"/>
      <c r="AQ780" s="69"/>
    </row>
    <row r="781">
      <c r="A781" s="80"/>
      <c r="B781" s="80"/>
      <c r="C781" s="105"/>
      <c r="D781" s="106"/>
      <c r="E781" s="105"/>
      <c r="F781" s="106"/>
      <c r="Q781" s="80"/>
      <c r="R781" s="80"/>
      <c r="S781" s="80"/>
      <c r="AQ781" s="69"/>
    </row>
    <row r="782">
      <c r="A782" s="80"/>
      <c r="B782" s="80"/>
      <c r="C782" s="105"/>
      <c r="D782" s="106"/>
      <c r="E782" s="105"/>
      <c r="F782" s="106"/>
      <c r="Q782" s="80"/>
      <c r="R782" s="80"/>
      <c r="S782" s="80"/>
      <c r="AQ782" s="69"/>
    </row>
    <row r="783">
      <c r="A783" s="80"/>
      <c r="B783" s="80"/>
      <c r="C783" s="105"/>
      <c r="D783" s="106"/>
      <c r="E783" s="105"/>
      <c r="F783" s="106"/>
      <c r="Q783" s="80"/>
      <c r="R783" s="80"/>
      <c r="S783" s="80"/>
      <c r="AQ783" s="69"/>
    </row>
    <row r="784">
      <c r="A784" s="80"/>
      <c r="B784" s="80"/>
      <c r="C784" s="105"/>
      <c r="D784" s="106"/>
      <c r="E784" s="105"/>
      <c r="F784" s="106"/>
      <c r="Q784" s="80"/>
      <c r="R784" s="80"/>
      <c r="S784" s="80"/>
      <c r="AQ784" s="69"/>
    </row>
    <row r="785">
      <c r="A785" s="80"/>
      <c r="B785" s="80"/>
      <c r="C785" s="105"/>
      <c r="D785" s="106"/>
      <c r="E785" s="105"/>
      <c r="F785" s="106"/>
      <c r="Q785" s="80"/>
      <c r="R785" s="80"/>
      <c r="S785" s="80"/>
      <c r="AQ785" s="69"/>
    </row>
    <row r="786">
      <c r="A786" s="80"/>
      <c r="B786" s="80"/>
      <c r="C786" s="105"/>
      <c r="D786" s="106"/>
      <c r="E786" s="105"/>
      <c r="F786" s="106"/>
      <c r="Q786" s="80"/>
      <c r="R786" s="80"/>
      <c r="S786" s="80"/>
      <c r="AQ786" s="69"/>
    </row>
    <row r="787">
      <c r="A787" s="80"/>
      <c r="B787" s="80"/>
      <c r="C787" s="105"/>
      <c r="D787" s="106"/>
      <c r="E787" s="105"/>
      <c r="F787" s="106"/>
      <c r="Q787" s="80"/>
      <c r="R787" s="80"/>
      <c r="S787" s="80"/>
      <c r="AQ787" s="69"/>
    </row>
    <row r="788">
      <c r="A788" s="80"/>
      <c r="B788" s="80"/>
      <c r="C788" s="105"/>
      <c r="D788" s="106"/>
      <c r="E788" s="105"/>
      <c r="F788" s="106"/>
      <c r="Q788" s="80"/>
      <c r="R788" s="80"/>
      <c r="S788" s="80"/>
      <c r="AQ788" s="69"/>
    </row>
    <row r="789">
      <c r="A789" s="80"/>
      <c r="B789" s="80"/>
      <c r="C789" s="105"/>
      <c r="D789" s="106"/>
      <c r="E789" s="105"/>
      <c r="F789" s="106"/>
      <c r="Q789" s="80"/>
      <c r="R789" s="80"/>
      <c r="S789" s="80"/>
      <c r="AQ789" s="69"/>
    </row>
    <row r="790">
      <c r="A790" s="80"/>
      <c r="B790" s="80"/>
      <c r="C790" s="105"/>
      <c r="D790" s="106"/>
      <c r="E790" s="105"/>
      <c r="F790" s="106"/>
      <c r="Q790" s="80"/>
      <c r="R790" s="80"/>
      <c r="S790" s="80"/>
      <c r="AQ790" s="69"/>
    </row>
    <row r="791">
      <c r="A791" s="80"/>
      <c r="B791" s="80"/>
      <c r="C791" s="105"/>
      <c r="D791" s="106"/>
      <c r="E791" s="105"/>
      <c r="F791" s="106"/>
      <c r="Q791" s="80"/>
      <c r="R791" s="80"/>
      <c r="S791" s="80"/>
      <c r="AQ791" s="69"/>
    </row>
    <row r="792">
      <c r="A792" s="80"/>
      <c r="B792" s="80"/>
      <c r="C792" s="105"/>
      <c r="D792" s="106"/>
      <c r="E792" s="105"/>
      <c r="F792" s="106"/>
      <c r="Q792" s="80"/>
      <c r="R792" s="80"/>
      <c r="S792" s="80"/>
      <c r="AQ792" s="69"/>
    </row>
    <row r="793">
      <c r="A793" s="80"/>
      <c r="B793" s="80"/>
      <c r="C793" s="105"/>
      <c r="D793" s="106"/>
      <c r="E793" s="105"/>
      <c r="F793" s="106"/>
      <c r="Q793" s="80"/>
      <c r="R793" s="80"/>
      <c r="S793" s="80"/>
      <c r="AQ793" s="69"/>
    </row>
    <row r="794">
      <c r="A794" s="80"/>
      <c r="B794" s="80"/>
      <c r="C794" s="105"/>
      <c r="D794" s="106"/>
      <c r="E794" s="105"/>
      <c r="F794" s="106"/>
      <c r="Q794" s="80"/>
      <c r="R794" s="80"/>
      <c r="S794" s="80"/>
      <c r="AQ794" s="69"/>
    </row>
    <row r="795">
      <c r="A795" s="80"/>
      <c r="B795" s="80"/>
      <c r="C795" s="105"/>
      <c r="D795" s="106"/>
      <c r="E795" s="105"/>
      <c r="F795" s="106"/>
      <c r="Q795" s="80"/>
      <c r="R795" s="80"/>
      <c r="S795" s="80"/>
      <c r="AQ795" s="69"/>
    </row>
    <row r="796">
      <c r="A796" s="80"/>
      <c r="B796" s="80"/>
      <c r="C796" s="105"/>
      <c r="D796" s="106"/>
      <c r="E796" s="105"/>
      <c r="F796" s="106"/>
      <c r="Q796" s="80"/>
      <c r="R796" s="80"/>
      <c r="S796" s="80"/>
      <c r="AQ796" s="69"/>
    </row>
    <row r="797">
      <c r="A797" s="80"/>
      <c r="B797" s="80"/>
      <c r="C797" s="105"/>
      <c r="D797" s="106"/>
      <c r="E797" s="105"/>
      <c r="F797" s="106"/>
      <c r="Q797" s="80"/>
      <c r="R797" s="80"/>
      <c r="S797" s="80"/>
      <c r="AQ797" s="69"/>
    </row>
    <row r="798">
      <c r="A798" s="80"/>
      <c r="B798" s="80"/>
      <c r="C798" s="105"/>
      <c r="D798" s="106"/>
      <c r="E798" s="105"/>
      <c r="F798" s="106"/>
      <c r="Q798" s="80"/>
      <c r="R798" s="80"/>
      <c r="S798" s="80"/>
      <c r="AQ798" s="69"/>
    </row>
    <row r="799">
      <c r="A799" s="80"/>
      <c r="B799" s="80"/>
      <c r="C799" s="105"/>
      <c r="D799" s="106"/>
      <c r="E799" s="105"/>
      <c r="F799" s="106"/>
      <c r="Q799" s="80"/>
      <c r="R799" s="80"/>
      <c r="S799" s="80"/>
      <c r="AQ799" s="69"/>
    </row>
    <row r="800">
      <c r="A800" s="80"/>
      <c r="B800" s="80"/>
      <c r="C800" s="105"/>
      <c r="D800" s="106"/>
      <c r="E800" s="105"/>
      <c r="F800" s="106"/>
      <c r="Q800" s="80"/>
      <c r="R800" s="80"/>
      <c r="S800" s="80"/>
      <c r="AQ800" s="69"/>
    </row>
    <row r="801">
      <c r="A801" s="80"/>
      <c r="B801" s="80"/>
      <c r="C801" s="105"/>
      <c r="D801" s="106"/>
      <c r="E801" s="105"/>
      <c r="F801" s="106"/>
      <c r="Q801" s="80"/>
      <c r="R801" s="80"/>
      <c r="S801" s="80"/>
      <c r="AQ801" s="69"/>
    </row>
    <row r="802">
      <c r="A802" s="80"/>
      <c r="B802" s="80"/>
      <c r="C802" s="105"/>
      <c r="D802" s="106"/>
      <c r="E802" s="105"/>
      <c r="F802" s="106"/>
      <c r="Q802" s="80"/>
      <c r="R802" s="80"/>
      <c r="S802" s="80"/>
      <c r="AQ802" s="69"/>
    </row>
    <row r="803">
      <c r="A803" s="80"/>
      <c r="B803" s="80"/>
      <c r="C803" s="105"/>
      <c r="D803" s="106"/>
      <c r="E803" s="105"/>
      <c r="F803" s="106"/>
      <c r="Q803" s="80"/>
      <c r="R803" s="80"/>
      <c r="S803" s="80"/>
      <c r="AQ803" s="69"/>
    </row>
    <row r="804">
      <c r="A804" s="80"/>
      <c r="B804" s="80"/>
      <c r="C804" s="105"/>
      <c r="D804" s="106"/>
      <c r="E804" s="105"/>
      <c r="F804" s="106"/>
      <c r="Q804" s="80"/>
      <c r="R804" s="80"/>
      <c r="S804" s="80"/>
      <c r="AQ804" s="69"/>
    </row>
    <row r="805">
      <c r="A805" s="80"/>
      <c r="B805" s="80"/>
      <c r="C805" s="105"/>
      <c r="D805" s="106"/>
      <c r="E805" s="105"/>
      <c r="F805" s="106"/>
      <c r="Q805" s="80"/>
      <c r="R805" s="80"/>
      <c r="S805" s="80"/>
      <c r="AQ805" s="69"/>
    </row>
    <row r="806">
      <c r="A806" s="80"/>
      <c r="B806" s="80"/>
      <c r="C806" s="105"/>
      <c r="D806" s="106"/>
      <c r="E806" s="105"/>
      <c r="F806" s="106"/>
      <c r="Q806" s="80"/>
      <c r="R806" s="80"/>
      <c r="S806" s="80"/>
      <c r="AQ806" s="69"/>
    </row>
    <row r="807">
      <c r="A807" s="80"/>
      <c r="B807" s="80"/>
      <c r="C807" s="105"/>
      <c r="D807" s="106"/>
      <c r="E807" s="105"/>
      <c r="F807" s="106"/>
      <c r="Q807" s="80"/>
      <c r="R807" s="80"/>
      <c r="S807" s="80"/>
      <c r="AQ807" s="69"/>
    </row>
    <row r="808">
      <c r="A808" s="80"/>
      <c r="B808" s="80"/>
      <c r="C808" s="105"/>
      <c r="D808" s="106"/>
      <c r="E808" s="105"/>
      <c r="F808" s="106"/>
      <c r="Q808" s="80"/>
      <c r="R808" s="80"/>
      <c r="S808" s="80"/>
      <c r="AQ808" s="69"/>
    </row>
    <row r="809">
      <c r="A809" s="80"/>
      <c r="B809" s="80"/>
      <c r="C809" s="105"/>
      <c r="D809" s="106"/>
      <c r="E809" s="105"/>
      <c r="F809" s="106"/>
      <c r="Q809" s="80"/>
      <c r="R809" s="80"/>
      <c r="S809" s="80"/>
      <c r="AQ809" s="69"/>
    </row>
    <row r="810">
      <c r="A810" s="80"/>
      <c r="B810" s="80"/>
      <c r="C810" s="105"/>
      <c r="D810" s="106"/>
      <c r="E810" s="105"/>
      <c r="F810" s="106"/>
      <c r="Q810" s="80"/>
      <c r="R810" s="80"/>
      <c r="S810" s="80"/>
      <c r="AQ810" s="69"/>
    </row>
    <row r="811">
      <c r="A811" s="80"/>
      <c r="B811" s="80"/>
      <c r="C811" s="105"/>
      <c r="D811" s="106"/>
      <c r="E811" s="105"/>
      <c r="F811" s="106"/>
      <c r="Q811" s="80"/>
      <c r="R811" s="80"/>
      <c r="S811" s="80"/>
      <c r="AQ811" s="69"/>
    </row>
    <row r="812">
      <c r="A812" s="80"/>
      <c r="B812" s="80"/>
      <c r="C812" s="105"/>
      <c r="D812" s="106"/>
      <c r="E812" s="105"/>
      <c r="F812" s="106"/>
      <c r="Q812" s="80"/>
      <c r="R812" s="80"/>
      <c r="S812" s="80"/>
      <c r="AQ812" s="69"/>
    </row>
    <row r="813">
      <c r="A813" s="80"/>
      <c r="B813" s="80"/>
      <c r="C813" s="105"/>
      <c r="D813" s="106"/>
      <c r="E813" s="105"/>
      <c r="F813" s="106"/>
      <c r="Q813" s="80"/>
      <c r="R813" s="80"/>
      <c r="S813" s="80"/>
      <c r="AQ813" s="69"/>
    </row>
    <row r="814">
      <c r="A814" s="80"/>
      <c r="B814" s="80"/>
      <c r="C814" s="105"/>
      <c r="D814" s="106"/>
      <c r="E814" s="105"/>
      <c r="F814" s="106"/>
      <c r="Q814" s="80"/>
      <c r="R814" s="80"/>
      <c r="S814" s="80"/>
      <c r="AQ814" s="69"/>
    </row>
    <row r="815">
      <c r="A815" s="80"/>
      <c r="B815" s="80"/>
      <c r="C815" s="105"/>
      <c r="D815" s="106"/>
      <c r="E815" s="105"/>
      <c r="F815" s="106"/>
      <c r="Q815" s="80"/>
      <c r="R815" s="80"/>
      <c r="S815" s="80"/>
      <c r="AQ815" s="69"/>
    </row>
    <row r="816">
      <c r="A816" s="80"/>
      <c r="B816" s="80"/>
      <c r="C816" s="105"/>
      <c r="D816" s="106"/>
      <c r="E816" s="105"/>
      <c r="F816" s="106"/>
      <c r="Q816" s="80"/>
      <c r="R816" s="80"/>
      <c r="S816" s="80"/>
      <c r="AQ816" s="69"/>
    </row>
    <row r="817">
      <c r="A817" s="80"/>
      <c r="B817" s="80"/>
      <c r="C817" s="105"/>
      <c r="D817" s="106"/>
      <c r="E817" s="105"/>
      <c r="F817" s="106"/>
      <c r="Q817" s="80"/>
      <c r="R817" s="80"/>
      <c r="S817" s="80"/>
      <c r="AQ817" s="69"/>
    </row>
    <row r="818">
      <c r="A818" s="80"/>
      <c r="B818" s="80"/>
      <c r="C818" s="105"/>
      <c r="D818" s="106"/>
      <c r="E818" s="105"/>
      <c r="F818" s="106"/>
      <c r="Q818" s="80"/>
      <c r="R818" s="80"/>
      <c r="S818" s="80"/>
      <c r="AQ818" s="69"/>
    </row>
    <row r="819">
      <c r="A819" s="80"/>
      <c r="B819" s="80"/>
      <c r="C819" s="105"/>
      <c r="D819" s="106"/>
      <c r="E819" s="105"/>
      <c r="F819" s="106"/>
      <c r="Q819" s="80"/>
      <c r="R819" s="80"/>
      <c r="S819" s="80"/>
      <c r="AQ819" s="69"/>
    </row>
    <row r="820">
      <c r="A820" s="80"/>
      <c r="B820" s="80"/>
      <c r="C820" s="105"/>
      <c r="D820" s="106"/>
      <c r="E820" s="105"/>
      <c r="F820" s="106"/>
      <c r="Q820" s="80"/>
      <c r="R820" s="80"/>
      <c r="S820" s="80"/>
      <c r="AQ820" s="69"/>
    </row>
    <row r="821">
      <c r="A821" s="80"/>
      <c r="B821" s="80"/>
      <c r="C821" s="105"/>
      <c r="D821" s="106"/>
      <c r="E821" s="105"/>
      <c r="F821" s="106"/>
      <c r="Q821" s="80"/>
      <c r="R821" s="80"/>
      <c r="S821" s="80"/>
      <c r="AQ821" s="69"/>
    </row>
    <row r="822">
      <c r="A822" s="80"/>
      <c r="B822" s="80"/>
      <c r="C822" s="105"/>
      <c r="D822" s="106"/>
      <c r="E822" s="105"/>
      <c r="F822" s="106"/>
      <c r="Q822" s="80"/>
      <c r="R822" s="80"/>
      <c r="S822" s="80"/>
      <c r="AQ822" s="69"/>
    </row>
    <row r="823">
      <c r="A823" s="80"/>
      <c r="B823" s="80"/>
      <c r="C823" s="105"/>
      <c r="D823" s="106"/>
      <c r="E823" s="105"/>
      <c r="F823" s="106"/>
      <c r="Q823" s="80"/>
      <c r="R823" s="80"/>
      <c r="S823" s="80"/>
      <c r="AQ823" s="69"/>
    </row>
    <row r="824">
      <c r="A824" s="80"/>
      <c r="B824" s="80"/>
      <c r="C824" s="105"/>
      <c r="D824" s="106"/>
      <c r="E824" s="105"/>
      <c r="F824" s="106"/>
      <c r="Q824" s="80"/>
      <c r="R824" s="80"/>
      <c r="S824" s="80"/>
      <c r="AQ824" s="69"/>
    </row>
    <row r="825">
      <c r="A825" s="80"/>
      <c r="B825" s="80"/>
      <c r="C825" s="105"/>
      <c r="D825" s="106"/>
      <c r="E825" s="105"/>
      <c r="F825" s="106"/>
      <c r="Q825" s="80"/>
      <c r="R825" s="80"/>
      <c r="S825" s="80"/>
      <c r="AQ825" s="69"/>
    </row>
    <row r="826">
      <c r="A826" s="80"/>
      <c r="B826" s="80"/>
      <c r="C826" s="105"/>
      <c r="D826" s="106"/>
      <c r="E826" s="105"/>
      <c r="F826" s="106"/>
      <c r="Q826" s="80"/>
      <c r="R826" s="80"/>
      <c r="S826" s="80"/>
      <c r="AQ826" s="69"/>
    </row>
    <row r="827">
      <c r="A827" s="80"/>
      <c r="B827" s="80"/>
      <c r="C827" s="105"/>
      <c r="D827" s="106"/>
      <c r="E827" s="105"/>
      <c r="F827" s="106"/>
      <c r="Q827" s="80"/>
      <c r="R827" s="80"/>
      <c r="S827" s="80"/>
      <c r="AQ827" s="69"/>
    </row>
    <row r="828">
      <c r="A828" s="80"/>
      <c r="B828" s="80"/>
      <c r="C828" s="105"/>
      <c r="D828" s="106"/>
      <c r="E828" s="105"/>
      <c r="F828" s="106"/>
      <c r="Q828" s="80"/>
      <c r="R828" s="80"/>
      <c r="S828" s="80"/>
      <c r="AQ828" s="69"/>
    </row>
    <row r="829">
      <c r="A829" s="80"/>
      <c r="B829" s="80"/>
      <c r="C829" s="105"/>
      <c r="D829" s="106"/>
      <c r="E829" s="105"/>
      <c r="F829" s="106"/>
      <c r="Q829" s="80"/>
      <c r="R829" s="80"/>
      <c r="S829" s="80"/>
      <c r="AQ829" s="69"/>
    </row>
    <row r="830">
      <c r="A830" s="80"/>
      <c r="B830" s="80"/>
      <c r="C830" s="105"/>
      <c r="D830" s="106"/>
      <c r="E830" s="105"/>
      <c r="F830" s="106"/>
      <c r="Q830" s="80"/>
      <c r="R830" s="80"/>
      <c r="S830" s="80"/>
      <c r="AQ830" s="69"/>
    </row>
    <row r="831">
      <c r="A831" s="80"/>
      <c r="B831" s="80"/>
      <c r="C831" s="105"/>
      <c r="D831" s="106"/>
      <c r="E831" s="105"/>
      <c r="F831" s="106"/>
      <c r="Q831" s="80"/>
      <c r="R831" s="80"/>
      <c r="S831" s="80"/>
      <c r="AQ831" s="69"/>
    </row>
    <row r="832">
      <c r="A832" s="80"/>
      <c r="B832" s="80"/>
      <c r="C832" s="105"/>
      <c r="D832" s="106"/>
      <c r="E832" s="105"/>
      <c r="F832" s="106"/>
      <c r="Q832" s="80"/>
      <c r="R832" s="80"/>
      <c r="S832" s="80"/>
      <c r="AQ832" s="69"/>
    </row>
    <row r="833">
      <c r="A833" s="80"/>
      <c r="B833" s="80"/>
      <c r="C833" s="105"/>
      <c r="D833" s="106"/>
      <c r="E833" s="105"/>
      <c r="F833" s="106"/>
      <c r="Q833" s="80"/>
      <c r="R833" s="80"/>
      <c r="S833" s="80"/>
      <c r="AQ833" s="69"/>
    </row>
    <row r="834">
      <c r="A834" s="80"/>
      <c r="B834" s="80"/>
      <c r="C834" s="105"/>
      <c r="D834" s="106"/>
      <c r="E834" s="105"/>
      <c r="F834" s="106"/>
      <c r="Q834" s="80"/>
      <c r="R834" s="80"/>
      <c r="S834" s="80"/>
      <c r="AQ834" s="69"/>
    </row>
    <row r="835">
      <c r="A835" s="80"/>
      <c r="B835" s="80"/>
      <c r="C835" s="105"/>
      <c r="D835" s="106"/>
      <c r="E835" s="105"/>
      <c r="F835" s="106"/>
      <c r="Q835" s="80"/>
      <c r="R835" s="80"/>
      <c r="S835" s="80"/>
      <c r="AQ835" s="69"/>
    </row>
    <row r="836">
      <c r="A836" s="80"/>
      <c r="B836" s="80"/>
      <c r="C836" s="105"/>
      <c r="D836" s="106"/>
      <c r="E836" s="105"/>
      <c r="F836" s="106"/>
      <c r="Q836" s="80"/>
      <c r="R836" s="80"/>
      <c r="S836" s="80"/>
      <c r="AQ836" s="69"/>
    </row>
    <row r="837">
      <c r="A837" s="80"/>
      <c r="B837" s="80"/>
      <c r="C837" s="105"/>
      <c r="D837" s="106"/>
      <c r="E837" s="105"/>
      <c r="F837" s="106"/>
      <c r="Q837" s="80"/>
      <c r="R837" s="80"/>
      <c r="S837" s="80"/>
      <c r="AQ837" s="69"/>
    </row>
    <row r="838">
      <c r="A838" s="80"/>
      <c r="B838" s="80"/>
      <c r="C838" s="105"/>
      <c r="D838" s="106"/>
      <c r="E838" s="105"/>
      <c r="F838" s="106"/>
      <c r="Q838" s="80"/>
      <c r="R838" s="80"/>
      <c r="S838" s="80"/>
      <c r="AQ838" s="69"/>
    </row>
    <row r="839">
      <c r="A839" s="80"/>
      <c r="B839" s="80"/>
      <c r="C839" s="105"/>
      <c r="D839" s="106"/>
      <c r="E839" s="105"/>
      <c r="F839" s="106"/>
      <c r="Q839" s="80"/>
      <c r="R839" s="80"/>
      <c r="S839" s="80"/>
      <c r="AQ839" s="69"/>
    </row>
    <row r="840">
      <c r="A840" s="80"/>
      <c r="B840" s="80"/>
      <c r="C840" s="105"/>
      <c r="D840" s="106"/>
      <c r="E840" s="105"/>
      <c r="F840" s="106"/>
      <c r="Q840" s="80"/>
      <c r="R840" s="80"/>
      <c r="S840" s="80"/>
      <c r="AQ840" s="69"/>
    </row>
    <row r="841">
      <c r="A841" s="80"/>
      <c r="B841" s="80"/>
      <c r="C841" s="105"/>
      <c r="D841" s="106"/>
      <c r="E841" s="105"/>
      <c r="F841" s="106"/>
      <c r="Q841" s="80"/>
      <c r="R841" s="80"/>
      <c r="S841" s="80"/>
      <c r="AQ841" s="69"/>
    </row>
    <row r="842">
      <c r="A842" s="80"/>
      <c r="B842" s="80"/>
      <c r="C842" s="105"/>
      <c r="D842" s="106"/>
      <c r="E842" s="105"/>
      <c r="F842" s="106"/>
      <c r="Q842" s="80"/>
      <c r="R842" s="80"/>
      <c r="S842" s="80"/>
      <c r="AQ842" s="69"/>
    </row>
    <row r="843">
      <c r="A843" s="80"/>
      <c r="B843" s="80"/>
      <c r="C843" s="105"/>
      <c r="D843" s="106"/>
      <c r="E843" s="105"/>
      <c r="F843" s="106"/>
      <c r="Q843" s="80"/>
      <c r="R843" s="80"/>
      <c r="S843" s="80"/>
      <c r="AQ843" s="69"/>
    </row>
    <row r="844">
      <c r="A844" s="80"/>
      <c r="B844" s="80"/>
      <c r="C844" s="105"/>
      <c r="D844" s="106"/>
      <c r="E844" s="105"/>
      <c r="F844" s="106"/>
      <c r="Q844" s="80"/>
      <c r="R844" s="80"/>
      <c r="S844" s="80"/>
      <c r="AQ844" s="69"/>
    </row>
    <row r="845">
      <c r="A845" s="80"/>
      <c r="B845" s="80"/>
      <c r="C845" s="105"/>
      <c r="D845" s="106"/>
      <c r="E845" s="105"/>
      <c r="F845" s="106"/>
      <c r="Q845" s="80"/>
      <c r="R845" s="80"/>
      <c r="S845" s="80"/>
      <c r="AQ845" s="69"/>
    </row>
    <row r="846">
      <c r="A846" s="80"/>
      <c r="B846" s="80"/>
      <c r="C846" s="105"/>
      <c r="D846" s="106"/>
      <c r="E846" s="105"/>
      <c r="F846" s="106"/>
      <c r="Q846" s="80"/>
      <c r="R846" s="80"/>
      <c r="S846" s="80"/>
      <c r="AQ846" s="69"/>
    </row>
    <row r="847">
      <c r="A847" s="80"/>
      <c r="B847" s="80"/>
      <c r="C847" s="105"/>
      <c r="D847" s="106"/>
      <c r="E847" s="105"/>
      <c r="F847" s="106"/>
      <c r="Q847" s="80"/>
      <c r="R847" s="80"/>
      <c r="S847" s="80"/>
      <c r="AQ847" s="69"/>
    </row>
    <row r="848">
      <c r="A848" s="80"/>
      <c r="B848" s="80"/>
      <c r="C848" s="105"/>
      <c r="D848" s="106"/>
      <c r="E848" s="105"/>
      <c r="F848" s="106"/>
      <c r="Q848" s="80"/>
      <c r="R848" s="80"/>
      <c r="S848" s="80"/>
      <c r="AQ848" s="69"/>
    </row>
    <row r="849">
      <c r="A849" s="80"/>
      <c r="B849" s="80"/>
      <c r="C849" s="105"/>
      <c r="D849" s="106"/>
      <c r="E849" s="105"/>
      <c r="F849" s="106"/>
      <c r="Q849" s="80"/>
      <c r="R849" s="80"/>
      <c r="S849" s="80"/>
      <c r="AQ849" s="69"/>
    </row>
    <row r="850">
      <c r="A850" s="80"/>
      <c r="B850" s="80"/>
      <c r="C850" s="105"/>
      <c r="D850" s="106"/>
      <c r="E850" s="105"/>
      <c r="F850" s="106"/>
      <c r="Q850" s="80"/>
      <c r="R850" s="80"/>
      <c r="S850" s="80"/>
      <c r="AQ850" s="69"/>
    </row>
    <row r="851">
      <c r="A851" s="80"/>
      <c r="B851" s="80"/>
      <c r="C851" s="105"/>
      <c r="D851" s="106"/>
      <c r="E851" s="105"/>
      <c r="F851" s="106"/>
      <c r="Q851" s="80"/>
      <c r="R851" s="80"/>
      <c r="S851" s="80"/>
      <c r="AQ851" s="69"/>
    </row>
    <row r="852">
      <c r="A852" s="80"/>
      <c r="B852" s="80"/>
      <c r="C852" s="105"/>
      <c r="D852" s="106"/>
      <c r="E852" s="105"/>
      <c r="F852" s="106"/>
      <c r="Q852" s="80"/>
      <c r="R852" s="80"/>
      <c r="S852" s="80"/>
      <c r="AQ852" s="69"/>
    </row>
    <row r="853">
      <c r="A853" s="80"/>
      <c r="B853" s="80"/>
      <c r="C853" s="105"/>
      <c r="D853" s="106"/>
      <c r="E853" s="105"/>
      <c r="F853" s="106"/>
      <c r="Q853" s="80"/>
      <c r="R853" s="80"/>
      <c r="S853" s="80"/>
      <c r="AQ853" s="69"/>
    </row>
    <row r="854">
      <c r="A854" s="80"/>
      <c r="B854" s="80"/>
      <c r="C854" s="105"/>
      <c r="D854" s="106"/>
      <c r="E854" s="105"/>
      <c r="F854" s="106"/>
      <c r="Q854" s="80"/>
      <c r="R854" s="80"/>
      <c r="S854" s="80"/>
      <c r="AQ854" s="69"/>
    </row>
    <row r="855">
      <c r="A855" s="80"/>
      <c r="B855" s="80"/>
      <c r="C855" s="105"/>
      <c r="D855" s="106"/>
      <c r="E855" s="105"/>
      <c r="F855" s="106"/>
      <c r="Q855" s="80"/>
      <c r="R855" s="80"/>
      <c r="S855" s="80"/>
      <c r="AQ855" s="69"/>
    </row>
    <row r="856">
      <c r="A856" s="80"/>
      <c r="B856" s="80"/>
      <c r="C856" s="105"/>
      <c r="D856" s="106"/>
      <c r="E856" s="105"/>
      <c r="F856" s="106"/>
      <c r="Q856" s="80"/>
      <c r="R856" s="80"/>
      <c r="S856" s="80"/>
      <c r="AQ856" s="69"/>
    </row>
    <row r="857">
      <c r="A857" s="80"/>
      <c r="B857" s="80"/>
      <c r="C857" s="105"/>
      <c r="D857" s="106"/>
      <c r="E857" s="105"/>
      <c r="F857" s="106"/>
      <c r="Q857" s="80"/>
      <c r="R857" s="80"/>
      <c r="S857" s="80"/>
      <c r="AQ857" s="69"/>
    </row>
    <row r="858">
      <c r="A858" s="80"/>
      <c r="B858" s="80"/>
      <c r="C858" s="105"/>
      <c r="D858" s="106"/>
      <c r="E858" s="105"/>
      <c r="F858" s="106"/>
      <c r="Q858" s="80"/>
      <c r="R858" s="80"/>
      <c r="S858" s="80"/>
      <c r="AQ858" s="69"/>
    </row>
    <row r="859">
      <c r="A859" s="80"/>
      <c r="B859" s="80"/>
      <c r="C859" s="105"/>
      <c r="D859" s="106"/>
      <c r="E859" s="105"/>
      <c r="F859" s="106"/>
      <c r="Q859" s="80"/>
      <c r="R859" s="80"/>
      <c r="S859" s="80"/>
      <c r="AQ859" s="69"/>
    </row>
    <row r="860">
      <c r="A860" s="80"/>
      <c r="B860" s="80"/>
      <c r="C860" s="105"/>
      <c r="D860" s="106"/>
      <c r="E860" s="105"/>
      <c r="F860" s="106"/>
      <c r="Q860" s="80"/>
      <c r="R860" s="80"/>
      <c r="S860" s="80"/>
      <c r="AQ860" s="69"/>
    </row>
    <row r="861">
      <c r="A861" s="80"/>
      <c r="B861" s="80"/>
      <c r="C861" s="105"/>
      <c r="D861" s="106"/>
      <c r="E861" s="105"/>
      <c r="F861" s="106"/>
      <c r="Q861" s="80"/>
      <c r="R861" s="80"/>
      <c r="S861" s="80"/>
      <c r="AQ861" s="69"/>
    </row>
    <row r="862">
      <c r="A862" s="80"/>
      <c r="B862" s="80"/>
      <c r="C862" s="105"/>
      <c r="D862" s="106"/>
      <c r="E862" s="105"/>
      <c r="F862" s="106"/>
      <c r="Q862" s="80"/>
      <c r="R862" s="80"/>
      <c r="S862" s="80"/>
      <c r="AQ862" s="69"/>
    </row>
    <row r="863">
      <c r="A863" s="80"/>
      <c r="B863" s="80"/>
      <c r="C863" s="105"/>
      <c r="D863" s="106"/>
      <c r="E863" s="105"/>
      <c r="F863" s="106"/>
      <c r="Q863" s="80"/>
      <c r="R863" s="80"/>
      <c r="S863" s="80"/>
      <c r="AQ863" s="69"/>
    </row>
    <row r="864">
      <c r="A864" s="80"/>
      <c r="B864" s="80"/>
      <c r="C864" s="105"/>
      <c r="D864" s="106"/>
      <c r="E864" s="105"/>
      <c r="F864" s="106"/>
      <c r="Q864" s="80"/>
      <c r="R864" s="80"/>
      <c r="S864" s="80"/>
      <c r="AQ864" s="69"/>
    </row>
    <row r="865">
      <c r="A865" s="80"/>
      <c r="B865" s="80"/>
      <c r="C865" s="105"/>
      <c r="D865" s="106"/>
      <c r="E865" s="105"/>
      <c r="F865" s="106"/>
      <c r="Q865" s="80"/>
      <c r="R865" s="80"/>
      <c r="S865" s="80"/>
      <c r="AQ865" s="69"/>
    </row>
    <row r="866">
      <c r="A866" s="109" t="s">
        <v>2</v>
      </c>
      <c r="B866" s="109" t="s">
        <v>3</v>
      </c>
      <c r="C866" s="110" t="s">
        <v>4</v>
      </c>
      <c r="D866" s="106"/>
      <c r="E866" s="110" t="s">
        <v>5</v>
      </c>
      <c r="F866" s="106"/>
      <c r="G866" s="112" t="s">
        <v>6</v>
      </c>
      <c r="Q866" s="80"/>
      <c r="R866" s="109"/>
      <c r="S866" s="109"/>
      <c r="AQ866" s="69"/>
    </row>
    <row r="867">
      <c r="A867" s="71" t="s">
        <v>142</v>
      </c>
      <c r="B867" s="51">
        <v>32.0</v>
      </c>
      <c r="C867" s="111" t="s">
        <v>33</v>
      </c>
      <c r="D867" s="106"/>
      <c r="E867" s="111" t="s">
        <v>34</v>
      </c>
      <c r="F867" s="106"/>
      <c r="G867" s="36" t="s">
        <v>35</v>
      </c>
      <c r="Q867" s="80"/>
      <c r="R867" s="51"/>
      <c r="S867" s="51"/>
      <c r="AQ867" s="69"/>
    </row>
    <row r="868">
      <c r="A868" s="71" t="s">
        <v>138</v>
      </c>
      <c r="B868" s="51">
        <v>23.0</v>
      </c>
      <c r="C868" s="111" t="s">
        <v>33</v>
      </c>
      <c r="D868" s="106"/>
      <c r="E868" s="111" t="s">
        <v>34</v>
      </c>
      <c r="F868" s="106"/>
      <c r="G868" s="36" t="s">
        <v>39</v>
      </c>
      <c r="Q868" s="80"/>
      <c r="R868" s="51"/>
      <c r="S868" s="51"/>
      <c r="AQ868" s="69"/>
    </row>
    <row r="869">
      <c r="A869" s="71" t="s">
        <v>121</v>
      </c>
      <c r="B869" s="51">
        <v>24.0</v>
      </c>
      <c r="C869" s="111" t="s">
        <v>43</v>
      </c>
      <c r="D869" s="106"/>
      <c r="E869" s="111" t="s">
        <v>34</v>
      </c>
      <c r="F869" s="106"/>
      <c r="G869" s="36" t="s">
        <v>44</v>
      </c>
      <c r="Q869" s="80"/>
      <c r="R869" s="51"/>
      <c r="S869" s="51"/>
      <c r="AQ869" s="69"/>
    </row>
    <row r="870">
      <c r="A870" s="71" t="s">
        <v>143</v>
      </c>
      <c r="B870" s="51">
        <v>30.0</v>
      </c>
      <c r="C870" s="111" t="s">
        <v>33</v>
      </c>
      <c r="D870" s="106"/>
      <c r="E870" s="111" t="s">
        <v>34</v>
      </c>
      <c r="F870" s="106"/>
      <c r="G870" s="36" t="s">
        <v>44</v>
      </c>
      <c r="Q870" s="80"/>
      <c r="R870" s="51"/>
      <c r="S870" s="51"/>
      <c r="AQ870" s="69"/>
    </row>
    <row r="871">
      <c r="A871" s="71" t="s">
        <v>122</v>
      </c>
      <c r="B871" s="51">
        <v>24.0</v>
      </c>
      <c r="C871" s="111" t="s">
        <v>43</v>
      </c>
      <c r="D871" s="106"/>
      <c r="E871" s="111" t="s">
        <v>34</v>
      </c>
      <c r="F871" s="106"/>
      <c r="G871" s="36" t="s">
        <v>44</v>
      </c>
      <c r="Q871" s="80"/>
      <c r="R871" s="51"/>
      <c r="S871" s="51"/>
      <c r="AQ871" s="69"/>
    </row>
    <row r="872">
      <c r="A872" s="71" t="s">
        <v>123</v>
      </c>
      <c r="B872" s="51">
        <v>27.0</v>
      </c>
      <c r="C872" s="111" t="s">
        <v>33</v>
      </c>
      <c r="D872" s="106"/>
      <c r="E872" s="111" t="s">
        <v>34</v>
      </c>
      <c r="F872" s="106"/>
      <c r="G872" s="36" t="s">
        <v>44</v>
      </c>
      <c r="Q872" s="80"/>
      <c r="R872" s="51"/>
      <c r="S872" s="51"/>
      <c r="AQ872" s="69"/>
    </row>
    <row r="873">
      <c r="A873" s="71" t="s">
        <v>124</v>
      </c>
      <c r="B873" s="51">
        <v>22.0</v>
      </c>
      <c r="C873" s="111" t="s">
        <v>43</v>
      </c>
      <c r="D873" s="106"/>
      <c r="E873" s="111" t="s">
        <v>34</v>
      </c>
      <c r="F873" s="106"/>
      <c r="G873" s="36" t="s">
        <v>49</v>
      </c>
      <c r="Q873" s="80"/>
      <c r="R873" s="51"/>
      <c r="S873" s="51"/>
      <c r="AQ873" s="69"/>
    </row>
    <row r="874">
      <c r="A874" s="71" t="s">
        <v>125</v>
      </c>
      <c r="B874" s="51">
        <v>23.0</v>
      </c>
      <c r="C874" s="111" t="s">
        <v>33</v>
      </c>
      <c r="D874" s="106"/>
      <c r="E874" s="111" t="s">
        <v>34</v>
      </c>
      <c r="F874" s="106"/>
      <c r="G874" s="36" t="s">
        <v>44</v>
      </c>
      <c r="Q874" s="80"/>
      <c r="R874" s="51"/>
      <c r="S874" s="51"/>
      <c r="AQ874" s="69"/>
    </row>
    <row r="875">
      <c r="A875" s="71" t="s">
        <v>126</v>
      </c>
      <c r="B875" s="51">
        <v>31.0</v>
      </c>
      <c r="C875" s="111" t="s">
        <v>43</v>
      </c>
      <c r="D875" s="106"/>
      <c r="E875" s="111" t="s">
        <v>34</v>
      </c>
      <c r="F875" s="106"/>
      <c r="G875" s="36" t="s">
        <v>44</v>
      </c>
      <c r="Q875" s="80"/>
      <c r="R875" s="51"/>
      <c r="S875" s="51"/>
      <c r="AQ875" s="69"/>
    </row>
    <row r="876">
      <c r="A876" s="71" t="s">
        <v>127</v>
      </c>
      <c r="B876" s="51">
        <v>31.0</v>
      </c>
      <c r="C876" s="111" t="s">
        <v>33</v>
      </c>
      <c r="D876" s="106"/>
      <c r="E876" s="111" t="s">
        <v>34</v>
      </c>
      <c r="F876" s="106"/>
      <c r="G876" s="36" t="s">
        <v>49</v>
      </c>
      <c r="Q876" s="80"/>
      <c r="R876" s="51"/>
      <c r="S876" s="51"/>
      <c r="AQ876" s="69"/>
    </row>
    <row r="877">
      <c r="A877" s="51">
        <v>10.0</v>
      </c>
      <c r="B877" s="51">
        <v>31.0</v>
      </c>
      <c r="C877" s="111" t="s">
        <v>43</v>
      </c>
      <c r="D877" s="106"/>
      <c r="E877" s="111" t="s">
        <v>34</v>
      </c>
      <c r="F877" s="106"/>
      <c r="G877" s="36" t="s">
        <v>35</v>
      </c>
      <c r="Q877" s="80"/>
      <c r="R877" s="51"/>
      <c r="S877" s="51"/>
      <c r="AQ877" s="69"/>
    </row>
    <row r="878">
      <c r="A878" s="51">
        <v>11.0</v>
      </c>
      <c r="B878" s="51">
        <v>24.0</v>
      </c>
      <c r="C878" s="111" t="s">
        <v>43</v>
      </c>
      <c r="D878" s="106"/>
      <c r="E878" s="111" t="s">
        <v>34</v>
      </c>
      <c r="F878" s="106"/>
      <c r="G878" s="36" t="s">
        <v>39</v>
      </c>
      <c r="Q878" s="80"/>
      <c r="R878" s="51"/>
      <c r="S878" s="51"/>
      <c r="AQ878" s="69"/>
    </row>
    <row r="879">
      <c r="A879" s="51">
        <v>12.0</v>
      </c>
      <c r="B879" s="51">
        <v>42.0</v>
      </c>
      <c r="C879" s="111" t="s">
        <v>33</v>
      </c>
      <c r="D879" s="106"/>
      <c r="E879" s="111" t="s">
        <v>34</v>
      </c>
      <c r="F879" s="106"/>
      <c r="G879" s="36" t="s">
        <v>49</v>
      </c>
      <c r="Q879" s="80"/>
      <c r="R879" s="51"/>
      <c r="S879" s="51"/>
      <c r="AQ879" s="69"/>
    </row>
    <row r="880">
      <c r="A880" s="51">
        <v>13.0</v>
      </c>
      <c r="B880" s="51">
        <v>26.0</v>
      </c>
      <c r="C880" s="111" t="s">
        <v>33</v>
      </c>
      <c r="D880" s="106"/>
      <c r="E880" s="111" t="s">
        <v>34</v>
      </c>
      <c r="F880" s="106"/>
      <c r="G880" s="36" t="s">
        <v>39</v>
      </c>
      <c r="Q880" s="80"/>
      <c r="R880" s="51"/>
      <c r="S880" s="51"/>
      <c r="AQ880" s="69"/>
    </row>
    <row r="881">
      <c r="A881" s="51">
        <v>14.0</v>
      </c>
      <c r="B881" s="51">
        <v>25.0</v>
      </c>
      <c r="C881" s="111" t="s">
        <v>33</v>
      </c>
      <c r="D881" s="106"/>
      <c r="E881" s="111" t="s">
        <v>58</v>
      </c>
      <c r="F881" s="106"/>
      <c r="G881" s="36" t="s">
        <v>49</v>
      </c>
      <c r="Q881" s="80"/>
      <c r="R881" s="51"/>
      <c r="S881" s="51"/>
      <c r="AQ881" s="69"/>
    </row>
    <row r="882">
      <c r="A882" s="51">
        <v>15.0</v>
      </c>
      <c r="B882" s="51">
        <v>25.0</v>
      </c>
      <c r="C882" s="111" t="s">
        <v>33</v>
      </c>
      <c r="D882" s="106"/>
      <c r="E882" s="111" t="s">
        <v>34</v>
      </c>
      <c r="F882" s="106"/>
      <c r="G882" s="36" t="s">
        <v>44</v>
      </c>
      <c r="Q882" s="80"/>
      <c r="R882" s="51"/>
      <c r="S882" s="51"/>
      <c r="AQ882" s="69"/>
    </row>
    <row r="883">
      <c r="A883" s="51">
        <v>16.0</v>
      </c>
      <c r="B883" s="51">
        <v>23.0</v>
      </c>
      <c r="C883" s="111" t="s">
        <v>33</v>
      </c>
      <c r="D883" s="106"/>
      <c r="E883" s="111" t="s">
        <v>34</v>
      </c>
      <c r="F883" s="106"/>
      <c r="G883" s="36" t="s">
        <v>44</v>
      </c>
      <c r="Q883" s="80"/>
      <c r="R883" s="51"/>
      <c r="S883" s="51"/>
      <c r="AQ883" s="69"/>
    </row>
    <row r="884">
      <c r="A884" s="51">
        <v>17.0</v>
      </c>
      <c r="B884" s="51">
        <v>35.0</v>
      </c>
      <c r="C884" s="111" t="s">
        <v>33</v>
      </c>
      <c r="D884" s="106"/>
      <c r="E884" s="111" t="s">
        <v>62</v>
      </c>
      <c r="F884" s="106"/>
      <c r="G884" s="36" t="s">
        <v>128</v>
      </c>
      <c r="Q884" s="80"/>
      <c r="R884" s="51"/>
      <c r="S884" s="51"/>
      <c r="AQ884" s="69"/>
    </row>
    <row r="885">
      <c r="A885" s="51">
        <v>18.0</v>
      </c>
      <c r="B885" s="51">
        <v>24.0</v>
      </c>
      <c r="C885" s="111" t="s">
        <v>43</v>
      </c>
      <c r="D885" s="106"/>
      <c r="E885" s="111" t="s">
        <v>58</v>
      </c>
      <c r="F885" s="106"/>
      <c r="G885" s="36" t="s">
        <v>44</v>
      </c>
      <c r="Q885" s="80"/>
      <c r="R885" s="51"/>
      <c r="S885" s="51"/>
      <c r="AQ885" s="69"/>
    </row>
    <row r="886">
      <c r="A886" s="51">
        <v>19.0</v>
      </c>
      <c r="B886" s="51">
        <v>26.0</v>
      </c>
      <c r="C886" s="111" t="s">
        <v>43</v>
      </c>
      <c r="D886" s="106"/>
      <c r="E886" s="111" t="s">
        <v>34</v>
      </c>
      <c r="F886" s="106"/>
      <c r="G886" s="36" t="s">
        <v>39</v>
      </c>
      <c r="Q886" s="80"/>
      <c r="R886" s="51"/>
      <c r="S886" s="51"/>
      <c r="AQ886" s="69"/>
    </row>
    <row r="887">
      <c r="A887" s="51">
        <v>20.0</v>
      </c>
      <c r="B887" s="51">
        <v>34.0</v>
      </c>
      <c r="C887" s="111" t="s">
        <v>33</v>
      </c>
      <c r="D887" s="106"/>
      <c r="E887" s="111" t="s">
        <v>58</v>
      </c>
      <c r="F887" s="106"/>
      <c r="G887" s="36" t="s">
        <v>44</v>
      </c>
      <c r="Q887" s="80"/>
      <c r="R887" s="51"/>
      <c r="S887" s="51"/>
      <c r="AQ887" s="69"/>
    </row>
    <row r="888">
      <c r="A888" s="51">
        <v>21.0</v>
      </c>
      <c r="B888" s="51">
        <v>29.0</v>
      </c>
      <c r="C888" s="111" t="s">
        <v>43</v>
      </c>
      <c r="D888" s="106"/>
      <c r="E888" s="111" t="s">
        <v>34</v>
      </c>
      <c r="F888" s="106"/>
      <c r="G888" s="36" t="s">
        <v>39</v>
      </c>
      <c r="Q888" s="80"/>
      <c r="R888" s="51"/>
      <c r="S888" s="51"/>
      <c r="AQ888" s="69"/>
    </row>
    <row r="889">
      <c r="A889" s="80"/>
      <c r="B889" s="80"/>
      <c r="C889" s="105"/>
      <c r="D889" s="106"/>
      <c r="E889" s="105"/>
      <c r="F889" s="106"/>
      <c r="Q889" s="80"/>
      <c r="R889" s="80"/>
      <c r="S889" s="80"/>
      <c r="AQ889" s="69"/>
    </row>
    <row r="890">
      <c r="A890" s="80"/>
      <c r="B890" s="80"/>
      <c r="C890" s="105"/>
      <c r="D890" s="106"/>
      <c r="E890" s="105"/>
      <c r="F890" s="106"/>
      <c r="Q890" s="80"/>
      <c r="R890" s="80"/>
      <c r="S890" s="80"/>
      <c r="AQ890" s="69"/>
    </row>
    <row r="891">
      <c r="A891" s="80"/>
      <c r="B891" s="80"/>
      <c r="C891" s="105"/>
      <c r="D891" s="106"/>
      <c r="E891" s="105"/>
      <c r="F891" s="106"/>
      <c r="Q891" s="80"/>
      <c r="R891" s="80"/>
      <c r="S891" s="80"/>
      <c r="AQ891" s="69"/>
    </row>
    <row r="892">
      <c r="A892" s="80"/>
      <c r="B892" s="80"/>
      <c r="C892" s="105"/>
      <c r="D892" s="106"/>
      <c r="E892" s="105"/>
      <c r="F892" s="106"/>
      <c r="Q892" s="80"/>
      <c r="R892" s="80"/>
      <c r="S892" s="80"/>
      <c r="AQ892" s="69"/>
    </row>
    <row r="893">
      <c r="A893" s="80"/>
      <c r="B893" s="80"/>
      <c r="C893" s="105"/>
      <c r="D893" s="106"/>
      <c r="E893" s="105"/>
      <c r="F893" s="106"/>
      <c r="Q893" s="80"/>
      <c r="R893" s="80"/>
      <c r="S893" s="80"/>
      <c r="AQ893" s="69"/>
    </row>
    <row r="894">
      <c r="A894" s="80"/>
      <c r="B894" s="80"/>
      <c r="C894" s="105"/>
      <c r="D894" s="106"/>
      <c r="E894" s="105"/>
      <c r="F894" s="106"/>
      <c r="Q894" s="80"/>
      <c r="R894" s="80"/>
      <c r="S894" s="80"/>
      <c r="AQ894" s="69"/>
    </row>
    <row r="895">
      <c r="A895" s="80"/>
      <c r="B895" s="80"/>
      <c r="C895" s="105"/>
      <c r="D895" s="106"/>
      <c r="E895" s="105"/>
      <c r="F895" s="106"/>
      <c r="Q895" s="80"/>
      <c r="R895" s="80"/>
      <c r="S895" s="80"/>
      <c r="AQ895" s="69"/>
    </row>
    <row r="896">
      <c r="A896" s="80"/>
      <c r="B896" s="80"/>
      <c r="C896" s="105"/>
      <c r="D896" s="106"/>
      <c r="E896" s="105"/>
      <c r="F896" s="106"/>
      <c r="Q896" s="80"/>
      <c r="R896" s="80"/>
      <c r="S896" s="80"/>
      <c r="AQ896" s="69"/>
    </row>
    <row r="897">
      <c r="A897" s="80"/>
      <c r="B897" s="80"/>
      <c r="C897" s="105"/>
      <c r="D897" s="106"/>
      <c r="E897" s="105"/>
      <c r="F897" s="106"/>
      <c r="Q897" s="80"/>
      <c r="R897" s="80"/>
      <c r="S897" s="80"/>
      <c r="AQ897" s="69"/>
    </row>
    <row r="898">
      <c r="A898" s="80"/>
      <c r="B898" s="80"/>
      <c r="C898" s="105"/>
      <c r="D898" s="106"/>
      <c r="E898" s="105"/>
      <c r="F898" s="106"/>
      <c r="Q898" s="80"/>
      <c r="R898" s="80"/>
      <c r="S898" s="80"/>
      <c r="AQ898" s="69"/>
    </row>
    <row r="899">
      <c r="A899" s="80"/>
      <c r="B899" s="80"/>
      <c r="C899" s="105"/>
      <c r="D899" s="106"/>
      <c r="E899" s="105"/>
      <c r="F899" s="106"/>
      <c r="Q899" s="80"/>
      <c r="R899" s="80"/>
      <c r="S899" s="80"/>
      <c r="AQ899" s="69"/>
    </row>
    <row r="900">
      <c r="A900" s="80"/>
      <c r="B900" s="80"/>
      <c r="C900" s="105"/>
      <c r="D900" s="106"/>
      <c r="E900" s="105"/>
      <c r="F900" s="106"/>
      <c r="Q900" s="80"/>
      <c r="R900" s="80"/>
      <c r="S900" s="80"/>
      <c r="AQ900" s="69"/>
    </row>
    <row r="901">
      <c r="A901" s="80"/>
      <c r="B901" s="80"/>
      <c r="C901" s="105"/>
      <c r="D901" s="106"/>
      <c r="E901" s="105"/>
      <c r="F901" s="106"/>
      <c r="Q901" s="80"/>
      <c r="R901" s="80"/>
      <c r="S901" s="80"/>
      <c r="AQ901" s="69"/>
    </row>
    <row r="902">
      <c r="A902" s="80"/>
      <c r="B902" s="80"/>
      <c r="C902" s="105"/>
      <c r="D902" s="106"/>
      <c r="E902" s="105"/>
      <c r="F902" s="106"/>
      <c r="Q902" s="80"/>
      <c r="R902" s="80"/>
      <c r="S902" s="80"/>
      <c r="AQ902" s="69"/>
    </row>
    <row r="903">
      <c r="A903" s="80"/>
      <c r="B903" s="80"/>
      <c r="C903" s="105"/>
      <c r="D903" s="106"/>
      <c r="E903" s="105"/>
      <c r="F903" s="106"/>
      <c r="Q903" s="80"/>
      <c r="R903" s="80"/>
      <c r="S903" s="80"/>
      <c r="AQ903" s="69"/>
    </row>
    <row r="904">
      <c r="A904" s="80"/>
      <c r="B904" s="80"/>
      <c r="C904" s="105"/>
      <c r="D904" s="106"/>
      <c r="E904" s="105"/>
      <c r="F904" s="106"/>
      <c r="Q904" s="80"/>
      <c r="R904" s="80"/>
      <c r="S904" s="80"/>
      <c r="AQ904" s="69"/>
    </row>
    <row r="905">
      <c r="A905" s="80"/>
      <c r="B905" s="80"/>
      <c r="C905" s="105"/>
      <c r="D905" s="106"/>
      <c r="E905" s="105"/>
      <c r="F905" s="106"/>
      <c r="Q905" s="80"/>
      <c r="R905" s="80"/>
      <c r="S905" s="80"/>
      <c r="AQ905" s="69"/>
    </row>
    <row r="906">
      <c r="A906" s="80"/>
      <c r="B906" s="80"/>
      <c r="C906" s="105"/>
      <c r="D906" s="106"/>
      <c r="E906" s="105"/>
      <c r="F906" s="106"/>
      <c r="Q906" s="80"/>
      <c r="R906" s="80"/>
      <c r="S906" s="80"/>
      <c r="AQ906" s="69"/>
    </row>
    <row r="907">
      <c r="A907" s="80"/>
      <c r="B907" s="80"/>
      <c r="C907" s="105"/>
      <c r="D907" s="106"/>
      <c r="E907" s="105"/>
      <c r="F907" s="106"/>
      <c r="Q907" s="80"/>
      <c r="R907" s="80"/>
      <c r="S907" s="80"/>
      <c r="AQ907" s="69"/>
    </row>
    <row r="908">
      <c r="A908" s="80"/>
      <c r="B908" s="80"/>
      <c r="C908" s="105"/>
      <c r="D908" s="106"/>
      <c r="E908" s="105"/>
      <c r="F908" s="106"/>
      <c r="Q908" s="80"/>
      <c r="R908" s="80"/>
      <c r="S908" s="80"/>
      <c r="AQ908" s="69"/>
    </row>
    <row r="909">
      <c r="A909" s="80"/>
      <c r="B909" s="80"/>
      <c r="C909" s="105"/>
      <c r="D909" s="106"/>
      <c r="E909" s="105"/>
      <c r="F909" s="106"/>
      <c r="Q909" s="80"/>
      <c r="R909" s="80"/>
      <c r="S909" s="80"/>
      <c r="AQ909" s="69"/>
    </row>
    <row r="910">
      <c r="A910" s="80"/>
      <c r="B910" s="80"/>
      <c r="C910" s="105"/>
      <c r="D910" s="106"/>
      <c r="E910" s="105"/>
      <c r="F910" s="106"/>
      <c r="Q910" s="80"/>
      <c r="R910" s="80"/>
      <c r="S910" s="80"/>
      <c r="AQ910" s="69"/>
    </row>
    <row r="911">
      <c r="A911" s="80"/>
      <c r="B911" s="80"/>
      <c r="C911" s="105"/>
      <c r="D911" s="106"/>
      <c r="E911" s="105"/>
      <c r="F911" s="106"/>
      <c r="Q911" s="80"/>
      <c r="R911" s="80"/>
      <c r="S911" s="80"/>
      <c r="AQ911" s="69"/>
    </row>
    <row r="912">
      <c r="A912" s="80"/>
      <c r="B912" s="80"/>
      <c r="C912" s="105"/>
      <c r="D912" s="106"/>
      <c r="E912" s="105"/>
      <c r="F912" s="106"/>
      <c r="Q912" s="80"/>
      <c r="R912" s="80"/>
      <c r="S912" s="80"/>
      <c r="AQ912" s="69"/>
    </row>
    <row r="913">
      <c r="A913" s="80"/>
      <c r="B913" s="80"/>
      <c r="C913" s="105"/>
      <c r="D913" s="106"/>
      <c r="E913" s="105"/>
      <c r="F913" s="106"/>
      <c r="Q913" s="80"/>
      <c r="R913" s="80"/>
      <c r="S913" s="80"/>
      <c r="AQ913" s="69"/>
    </row>
    <row r="914">
      <c r="A914" s="80"/>
      <c r="B914" s="80"/>
      <c r="C914" s="105"/>
      <c r="D914" s="106"/>
      <c r="E914" s="105"/>
      <c r="F914" s="106"/>
      <c r="Q914" s="80"/>
      <c r="R914" s="80"/>
      <c r="S914" s="80"/>
      <c r="AQ914" s="69"/>
    </row>
    <row r="915">
      <c r="A915" s="80"/>
      <c r="B915" s="80"/>
      <c r="C915" s="105"/>
      <c r="D915" s="106"/>
      <c r="E915" s="105"/>
      <c r="F915" s="106"/>
      <c r="Q915" s="80"/>
      <c r="R915" s="80"/>
      <c r="S915" s="80"/>
      <c r="AQ915" s="69"/>
    </row>
    <row r="916">
      <c r="A916" s="80"/>
      <c r="B916" s="80"/>
      <c r="C916" s="105"/>
      <c r="D916" s="106"/>
      <c r="E916" s="105"/>
      <c r="F916" s="106"/>
      <c r="Q916" s="80"/>
      <c r="R916" s="80"/>
      <c r="S916" s="80"/>
      <c r="AQ916" s="69"/>
    </row>
    <row r="917">
      <c r="A917" s="80"/>
      <c r="B917" s="80"/>
      <c r="C917" s="105"/>
      <c r="D917" s="106"/>
      <c r="E917" s="105"/>
      <c r="F917" s="106"/>
      <c r="Q917" s="80"/>
      <c r="R917" s="80"/>
      <c r="S917" s="80"/>
      <c r="AQ917" s="69"/>
    </row>
    <row r="918">
      <c r="A918" s="80"/>
      <c r="B918" s="80"/>
      <c r="C918" s="105"/>
      <c r="D918" s="106"/>
      <c r="E918" s="105"/>
      <c r="F918" s="106"/>
      <c r="Q918" s="80"/>
      <c r="R918" s="80"/>
      <c r="S918" s="80"/>
      <c r="AQ918" s="69"/>
    </row>
    <row r="919">
      <c r="A919" s="80"/>
      <c r="B919" s="80"/>
      <c r="C919" s="105"/>
      <c r="D919" s="106"/>
      <c r="E919" s="105"/>
      <c r="F919" s="106"/>
      <c r="Q919" s="80"/>
      <c r="R919" s="80"/>
      <c r="S919" s="80"/>
      <c r="AQ919" s="69"/>
    </row>
    <row r="920">
      <c r="A920" s="80"/>
      <c r="B920" s="80"/>
      <c r="C920" s="105"/>
      <c r="D920" s="106"/>
      <c r="E920" s="105"/>
      <c r="F920" s="106"/>
      <c r="Q920" s="80"/>
      <c r="R920" s="80"/>
      <c r="S920" s="80"/>
      <c r="AQ920" s="69"/>
    </row>
    <row r="921">
      <c r="A921" s="80"/>
      <c r="B921" s="80"/>
      <c r="C921" s="105"/>
      <c r="D921" s="106"/>
      <c r="E921" s="105"/>
      <c r="F921" s="106"/>
      <c r="Q921" s="80"/>
      <c r="R921" s="80"/>
      <c r="S921" s="80"/>
      <c r="AQ921" s="69"/>
    </row>
    <row r="922">
      <c r="A922" s="80"/>
      <c r="B922" s="80"/>
      <c r="C922" s="105"/>
      <c r="D922" s="106"/>
      <c r="E922" s="105"/>
      <c r="F922" s="106"/>
      <c r="Q922" s="80"/>
      <c r="R922" s="80"/>
      <c r="S922" s="80"/>
      <c r="AQ922" s="69"/>
    </row>
    <row r="923">
      <c r="A923" s="80"/>
      <c r="B923" s="80"/>
      <c r="C923" s="105"/>
      <c r="D923" s="106"/>
      <c r="E923" s="105"/>
      <c r="F923" s="106"/>
      <c r="Q923" s="80"/>
      <c r="R923" s="80"/>
      <c r="S923" s="80"/>
      <c r="AQ923" s="69"/>
    </row>
    <row r="924">
      <c r="A924" s="80"/>
      <c r="B924" s="80"/>
      <c r="C924" s="105"/>
      <c r="D924" s="106"/>
      <c r="E924" s="105"/>
      <c r="F924" s="106"/>
      <c r="Q924" s="80"/>
      <c r="R924" s="80"/>
      <c r="S924" s="80"/>
      <c r="AQ924" s="69"/>
    </row>
    <row r="925">
      <c r="A925" s="80"/>
      <c r="B925" s="80"/>
      <c r="C925" s="105"/>
      <c r="D925" s="106"/>
      <c r="E925" s="105"/>
      <c r="F925" s="106"/>
      <c r="Q925" s="80"/>
      <c r="R925" s="80"/>
      <c r="S925" s="80"/>
      <c r="AQ925" s="69"/>
    </row>
    <row r="926">
      <c r="A926" s="80"/>
      <c r="B926" s="80"/>
      <c r="C926" s="105"/>
      <c r="D926" s="106"/>
      <c r="E926" s="105"/>
      <c r="F926" s="106"/>
      <c r="Q926" s="80"/>
      <c r="R926" s="80"/>
      <c r="S926" s="80"/>
      <c r="AQ926" s="69"/>
    </row>
    <row r="927">
      <c r="A927" s="80"/>
      <c r="B927" s="80"/>
      <c r="C927" s="105"/>
      <c r="D927" s="106"/>
      <c r="E927" s="105"/>
      <c r="F927" s="106"/>
      <c r="Q927" s="80"/>
      <c r="R927" s="80"/>
      <c r="S927" s="80"/>
      <c r="AQ927" s="69"/>
    </row>
    <row r="928">
      <c r="A928" s="80"/>
      <c r="B928" s="80"/>
      <c r="C928" s="105"/>
      <c r="D928" s="106"/>
      <c r="E928" s="105"/>
      <c r="F928" s="106"/>
      <c r="Q928" s="80"/>
      <c r="R928" s="80"/>
      <c r="S928" s="80"/>
      <c r="AQ928" s="69"/>
    </row>
    <row r="929">
      <c r="A929" s="80"/>
      <c r="B929" s="80"/>
      <c r="C929" s="105"/>
      <c r="D929" s="106"/>
      <c r="E929" s="105"/>
      <c r="F929" s="106"/>
      <c r="Q929" s="80"/>
      <c r="R929" s="80"/>
      <c r="S929" s="80"/>
      <c r="AQ929" s="69"/>
    </row>
    <row r="930">
      <c r="A930" s="80"/>
      <c r="B930" s="80"/>
      <c r="C930" s="105"/>
      <c r="D930" s="106"/>
      <c r="E930" s="105"/>
      <c r="F930" s="106"/>
      <c r="Q930" s="80"/>
      <c r="R930" s="80"/>
      <c r="S930" s="80"/>
      <c r="AQ930" s="69"/>
    </row>
    <row r="931">
      <c r="A931" s="80"/>
      <c r="B931" s="80"/>
      <c r="C931" s="105"/>
      <c r="D931" s="106"/>
      <c r="E931" s="105"/>
      <c r="F931" s="106"/>
      <c r="Q931" s="80"/>
      <c r="R931" s="80"/>
      <c r="S931" s="80"/>
      <c r="AQ931" s="69"/>
    </row>
    <row r="932">
      <c r="A932" s="80"/>
      <c r="B932" s="80"/>
      <c r="C932" s="105"/>
      <c r="D932" s="106"/>
      <c r="E932" s="105"/>
      <c r="F932" s="106"/>
      <c r="Q932" s="80"/>
      <c r="R932" s="80"/>
      <c r="S932" s="80"/>
      <c r="AQ932" s="69"/>
    </row>
    <row r="933">
      <c r="A933" s="80"/>
      <c r="B933" s="80"/>
      <c r="C933" s="105"/>
      <c r="D933" s="106"/>
      <c r="E933" s="105"/>
      <c r="F933" s="106"/>
      <c r="Q933" s="80"/>
      <c r="R933" s="80"/>
      <c r="S933" s="80"/>
      <c r="AQ933" s="69"/>
    </row>
    <row r="934">
      <c r="A934" s="80"/>
      <c r="B934" s="80"/>
      <c r="C934" s="105"/>
      <c r="D934" s="106"/>
      <c r="E934" s="105"/>
      <c r="F934" s="106"/>
      <c r="Q934" s="80"/>
      <c r="R934" s="80"/>
      <c r="S934" s="80"/>
      <c r="AQ934" s="69"/>
    </row>
    <row r="935">
      <c r="A935" s="80"/>
      <c r="B935" s="80"/>
      <c r="C935" s="105"/>
      <c r="D935" s="106"/>
      <c r="E935" s="105"/>
      <c r="F935" s="106"/>
      <c r="Q935" s="80"/>
      <c r="R935" s="80"/>
      <c r="S935" s="80"/>
      <c r="AQ935" s="69"/>
    </row>
    <row r="936">
      <c r="A936" s="80"/>
      <c r="B936" s="80"/>
      <c r="C936" s="105"/>
      <c r="D936" s="106"/>
      <c r="E936" s="105"/>
      <c r="F936" s="106"/>
      <c r="Q936" s="80"/>
      <c r="R936" s="80"/>
      <c r="S936" s="80"/>
      <c r="AQ936" s="69"/>
    </row>
    <row r="937">
      <c r="A937" s="80"/>
      <c r="B937" s="80"/>
      <c r="C937" s="105"/>
      <c r="D937" s="106"/>
      <c r="E937" s="105"/>
      <c r="F937" s="106"/>
      <c r="Q937" s="80"/>
      <c r="R937" s="80"/>
      <c r="S937" s="80"/>
      <c r="AQ937" s="69"/>
    </row>
    <row r="938">
      <c r="A938" s="80"/>
      <c r="B938" s="80"/>
      <c r="C938" s="105"/>
      <c r="D938" s="106"/>
      <c r="E938" s="105"/>
      <c r="F938" s="106"/>
      <c r="Q938" s="80"/>
      <c r="R938" s="80"/>
      <c r="S938" s="80"/>
      <c r="AQ938" s="69"/>
    </row>
    <row r="939">
      <c r="A939" s="80"/>
      <c r="B939" s="80"/>
      <c r="C939" s="105"/>
      <c r="D939" s="106"/>
      <c r="E939" s="105"/>
      <c r="F939" s="106"/>
      <c r="Q939" s="80"/>
      <c r="R939" s="80"/>
      <c r="S939" s="80"/>
      <c r="AQ939" s="69"/>
    </row>
    <row r="940">
      <c r="A940" s="80"/>
      <c r="B940" s="80"/>
      <c r="C940" s="105"/>
      <c r="D940" s="106"/>
      <c r="E940" s="105"/>
      <c r="F940" s="106"/>
      <c r="Q940" s="80"/>
      <c r="R940" s="80"/>
      <c r="S940" s="80"/>
      <c r="AQ940" s="69"/>
    </row>
    <row r="941">
      <c r="A941" s="80"/>
      <c r="B941" s="80"/>
      <c r="C941" s="105"/>
      <c r="D941" s="106"/>
      <c r="E941" s="105"/>
      <c r="F941" s="106"/>
      <c r="Q941" s="80"/>
      <c r="R941" s="80"/>
      <c r="S941" s="80"/>
      <c r="AQ941" s="69"/>
    </row>
    <row r="942">
      <c r="A942" s="80"/>
      <c r="B942" s="80"/>
      <c r="C942" s="105"/>
      <c r="D942" s="106"/>
      <c r="E942" s="105"/>
      <c r="F942" s="106"/>
      <c r="Q942" s="80"/>
      <c r="R942" s="80"/>
      <c r="S942" s="80"/>
      <c r="AQ942" s="69"/>
    </row>
    <row r="943">
      <c r="A943" s="80"/>
      <c r="B943" s="80"/>
      <c r="C943" s="105"/>
      <c r="D943" s="106"/>
      <c r="E943" s="105"/>
      <c r="F943" s="106"/>
      <c r="Q943" s="80"/>
      <c r="R943" s="80"/>
      <c r="S943" s="80"/>
      <c r="AQ943" s="69"/>
    </row>
    <row r="944">
      <c r="A944" s="80"/>
      <c r="B944" s="80"/>
      <c r="C944" s="105"/>
      <c r="D944" s="106"/>
      <c r="E944" s="105"/>
      <c r="F944" s="106"/>
      <c r="Q944" s="80"/>
      <c r="R944" s="80"/>
      <c r="S944" s="80"/>
      <c r="AQ944" s="69"/>
    </row>
    <row r="945">
      <c r="A945" s="80"/>
      <c r="B945" s="80"/>
      <c r="C945" s="105"/>
      <c r="D945" s="106"/>
      <c r="E945" s="105"/>
      <c r="F945" s="106"/>
      <c r="Q945" s="80"/>
      <c r="R945" s="80"/>
      <c r="S945" s="80"/>
      <c r="AQ945" s="69"/>
    </row>
    <row r="946">
      <c r="A946" s="80"/>
      <c r="B946" s="80"/>
      <c r="C946" s="105"/>
      <c r="D946" s="106"/>
      <c r="E946" s="105"/>
      <c r="F946" s="106"/>
      <c r="Q946" s="80"/>
      <c r="R946" s="80"/>
      <c r="S946" s="80"/>
      <c r="AQ946" s="69"/>
    </row>
    <row r="947">
      <c r="A947" s="80"/>
      <c r="B947" s="80"/>
      <c r="C947" s="105"/>
      <c r="D947" s="106"/>
      <c r="E947" s="105"/>
      <c r="F947" s="106"/>
      <c r="Q947" s="80"/>
      <c r="R947" s="80"/>
      <c r="S947" s="80"/>
      <c r="AQ947" s="69"/>
    </row>
    <row r="948">
      <c r="A948" s="80"/>
      <c r="B948" s="80"/>
      <c r="C948" s="105"/>
      <c r="D948" s="106"/>
      <c r="E948" s="105"/>
      <c r="F948" s="106"/>
      <c r="Q948" s="80"/>
      <c r="R948" s="80"/>
      <c r="S948" s="80"/>
      <c r="AQ948" s="69"/>
    </row>
    <row r="949">
      <c r="A949" s="80"/>
      <c r="B949" s="80"/>
      <c r="C949" s="105"/>
      <c r="D949" s="106"/>
      <c r="E949" s="105"/>
      <c r="F949" s="106"/>
      <c r="Q949" s="80"/>
      <c r="R949" s="80"/>
      <c r="S949" s="80"/>
      <c r="AQ949" s="69"/>
    </row>
    <row r="950">
      <c r="A950" s="80"/>
      <c r="B950" s="80"/>
      <c r="C950" s="105"/>
      <c r="D950" s="106"/>
      <c r="E950" s="105"/>
      <c r="F950" s="106"/>
      <c r="Q950" s="80"/>
      <c r="R950" s="80"/>
      <c r="S950" s="80"/>
      <c r="AQ950" s="69"/>
    </row>
    <row r="951">
      <c r="A951" s="80"/>
      <c r="B951" s="80"/>
      <c r="C951" s="105"/>
      <c r="D951" s="106"/>
      <c r="E951" s="105"/>
      <c r="F951" s="106"/>
      <c r="Q951" s="80"/>
      <c r="R951" s="80"/>
      <c r="S951" s="80"/>
      <c r="AQ951" s="69"/>
    </row>
    <row r="952">
      <c r="A952" s="80"/>
      <c r="B952" s="80"/>
      <c r="C952" s="105"/>
      <c r="D952" s="106"/>
      <c r="E952" s="105"/>
      <c r="F952" s="106"/>
      <c r="Q952" s="80"/>
      <c r="R952" s="80"/>
      <c r="S952" s="80"/>
      <c r="AQ952" s="69"/>
    </row>
    <row r="953">
      <c r="A953" s="80"/>
      <c r="B953" s="80"/>
      <c r="C953" s="105"/>
      <c r="D953" s="106"/>
      <c r="E953" s="105"/>
      <c r="F953" s="106"/>
      <c r="Q953" s="80"/>
      <c r="R953" s="80"/>
      <c r="S953" s="80"/>
      <c r="AQ953" s="69"/>
    </row>
    <row r="954">
      <c r="A954" s="80"/>
      <c r="B954" s="80"/>
      <c r="C954" s="105"/>
      <c r="D954" s="106"/>
      <c r="E954" s="105"/>
      <c r="F954" s="106"/>
      <c r="Q954" s="80"/>
      <c r="R954" s="80"/>
      <c r="S954" s="80"/>
      <c r="AQ954" s="69"/>
    </row>
    <row r="955">
      <c r="A955" s="80"/>
      <c r="B955" s="80"/>
      <c r="C955" s="105"/>
      <c r="D955" s="106"/>
      <c r="E955" s="105"/>
      <c r="F955" s="106"/>
      <c r="Q955" s="80"/>
      <c r="R955" s="80"/>
      <c r="S955" s="80"/>
      <c r="AQ955" s="69"/>
    </row>
    <row r="956">
      <c r="A956" s="80"/>
      <c r="B956" s="80"/>
      <c r="C956" s="105"/>
      <c r="D956" s="106"/>
      <c r="E956" s="105"/>
      <c r="F956" s="106"/>
      <c r="Q956" s="80"/>
      <c r="R956" s="80"/>
      <c r="S956" s="80"/>
      <c r="AQ956" s="69"/>
    </row>
    <row r="957">
      <c r="A957" s="80"/>
      <c r="B957" s="80"/>
      <c r="C957" s="105"/>
      <c r="D957" s="106"/>
      <c r="E957" s="105"/>
      <c r="F957" s="106"/>
      <c r="Q957" s="80"/>
      <c r="R957" s="80"/>
      <c r="S957" s="80"/>
      <c r="AQ957" s="69"/>
    </row>
    <row r="958">
      <c r="A958" s="80"/>
      <c r="B958" s="80"/>
      <c r="C958" s="105"/>
      <c r="D958" s="106"/>
      <c r="E958" s="105"/>
      <c r="F958" s="106"/>
      <c r="Q958" s="80"/>
      <c r="R958" s="80"/>
      <c r="S958" s="80"/>
      <c r="AQ958" s="69"/>
    </row>
    <row r="959">
      <c r="A959" s="80"/>
      <c r="B959" s="80"/>
      <c r="C959" s="105"/>
      <c r="D959" s="106"/>
      <c r="E959" s="105"/>
      <c r="F959" s="106"/>
      <c r="Q959" s="80"/>
      <c r="R959" s="80"/>
      <c r="S959" s="80"/>
      <c r="AQ959" s="69"/>
    </row>
    <row r="960">
      <c r="A960" s="80"/>
      <c r="B960" s="80"/>
      <c r="C960" s="105"/>
      <c r="D960" s="106"/>
      <c r="E960" s="105"/>
      <c r="F960" s="106"/>
      <c r="Q960" s="80"/>
      <c r="R960" s="80"/>
      <c r="S960" s="80"/>
      <c r="AQ960" s="69"/>
    </row>
    <row r="961">
      <c r="A961" s="80"/>
      <c r="B961" s="80"/>
      <c r="C961" s="105"/>
      <c r="D961" s="106"/>
      <c r="E961" s="105"/>
      <c r="F961" s="106"/>
      <c r="Q961" s="80"/>
      <c r="R961" s="80"/>
      <c r="S961" s="80"/>
      <c r="AQ961" s="69"/>
    </row>
    <row r="962">
      <c r="A962" s="80"/>
      <c r="B962" s="80"/>
      <c r="C962" s="105"/>
      <c r="D962" s="106"/>
      <c r="E962" s="105"/>
      <c r="F962" s="106"/>
      <c r="Q962" s="80"/>
      <c r="R962" s="80"/>
      <c r="S962" s="80"/>
      <c r="AQ962" s="69"/>
    </row>
    <row r="963">
      <c r="A963" s="80"/>
      <c r="B963" s="80"/>
      <c r="C963" s="105"/>
      <c r="D963" s="106"/>
      <c r="E963" s="105"/>
      <c r="F963" s="106"/>
      <c r="Q963" s="80"/>
      <c r="R963" s="80"/>
      <c r="S963" s="80"/>
      <c r="AQ963" s="69"/>
    </row>
    <row r="964">
      <c r="A964" s="80"/>
      <c r="B964" s="80"/>
      <c r="C964" s="105"/>
      <c r="D964" s="106"/>
      <c r="E964" s="105"/>
      <c r="F964" s="106"/>
      <c r="Q964" s="80"/>
      <c r="R964" s="80"/>
      <c r="S964" s="80"/>
      <c r="AQ964" s="69"/>
    </row>
    <row r="965">
      <c r="A965" s="80"/>
      <c r="B965" s="80"/>
      <c r="C965" s="105"/>
      <c r="D965" s="106"/>
      <c r="E965" s="105"/>
      <c r="F965" s="106"/>
      <c r="Q965" s="80"/>
      <c r="R965" s="80"/>
      <c r="S965" s="80"/>
      <c r="AQ965" s="69"/>
    </row>
    <row r="966">
      <c r="A966" s="80"/>
      <c r="B966" s="80"/>
      <c r="C966" s="105"/>
      <c r="D966" s="106"/>
      <c r="E966" s="105"/>
      <c r="F966" s="106"/>
      <c r="Q966" s="80"/>
      <c r="R966" s="80"/>
      <c r="S966" s="80"/>
      <c r="AQ966" s="69"/>
    </row>
    <row r="967">
      <c r="A967" s="80"/>
      <c r="B967" s="80"/>
      <c r="C967" s="105"/>
      <c r="D967" s="106"/>
      <c r="E967" s="105"/>
      <c r="F967" s="106"/>
      <c r="Q967" s="80"/>
      <c r="R967" s="80"/>
      <c r="S967" s="80"/>
      <c r="AQ967" s="69"/>
    </row>
    <row r="968">
      <c r="A968" s="80"/>
      <c r="B968" s="80"/>
      <c r="C968" s="105"/>
      <c r="D968" s="106"/>
      <c r="E968" s="105"/>
      <c r="F968" s="106"/>
      <c r="Q968" s="80"/>
      <c r="R968" s="80"/>
      <c r="S968" s="80"/>
      <c r="AQ968" s="69"/>
    </row>
    <row r="969">
      <c r="A969" s="80"/>
      <c r="B969" s="80"/>
      <c r="C969" s="105"/>
      <c r="D969" s="106"/>
      <c r="E969" s="105"/>
      <c r="F969" s="106"/>
      <c r="Q969" s="80"/>
      <c r="R969" s="80"/>
      <c r="S969" s="80"/>
      <c r="AQ969" s="69"/>
    </row>
    <row r="970">
      <c r="A970" s="80"/>
      <c r="B970" s="80"/>
      <c r="C970" s="105"/>
      <c r="D970" s="106"/>
      <c r="E970" s="105"/>
      <c r="F970" s="106"/>
      <c r="Q970" s="80"/>
      <c r="R970" s="80"/>
      <c r="S970" s="80"/>
      <c r="AQ970" s="69"/>
    </row>
    <row r="971">
      <c r="A971" s="80"/>
      <c r="B971" s="80"/>
      <c r="C971" s="105"/>
      <c r="D971" s="106"/>
      <c r="E971" s="105"/>
      <c r="F971" s="106"/>
      <c r="Q971" s="80"/>
      <c r="R971" s="80"/>
      <c r="S971" s="80"/>
      <c r="AQ971" s="69"/>
    </row>
    <row r="972">
      <c r="A972" s="80"/>
      <c r="B972" s="80"/>
      <c r="C972" s="105"/>
      <c r="D972" s="106"/>
      <c r="E972" s="105"/>
      <c r="F972" s="106"/>
      <c r="Q972" s="80"/>
      <c r="R972" s="80"/>
      <c r="S972" s="80"/>
      <c r="AQ972" s="69"/>
    </row>
    <row r="973">
      <c r="A973" s="80"/>
      <c r="B973" s="80"/>
      <c r="C973" s="105"/>
      <c r="D973" s="106"/>
      <c r="E973" s="105"/>
      <c r="F973" s="106"/>
      <c r="Q973" s="80"/>
      <c r="R973" s="80"/>
      <c r="S973" s="80"/>
      <c r="AQ973" s="69"/>
    </row>
    <row r="974">
      <c r="A974" s="80"/>
      <c r="B974" s="80"/>
      <c r="C974" s="105"/>
      <c r="D974" s="106"/>
      <c r="E974" s="105"/>
      <c r="F974" s="106"/>
      <c r="Q974" s="80"/>
      <c r="R974" s="80"/>
      <c r="S974" s="80"/>
      <c r="AQ974" s="69"/>
    </row>
    <row r="975">
      <c r="A975" s="80"/>
      <c r="B975" s="80"/>
      <c r="C975" s="105"/>
      <c r="D975" s="106"/>
      <c r="E975" s="105"/>
      <c r="F975" s="106"/>
      <c r="Q975" s="80"/>
      <c r="R975" s="80"/>
      <c r="S975" s="80"/>
      <c r="AQ975" s="69"/>
    </row>
    <row r="976">
      <c r="A976" s="80"/>
      <c r="B976" s="80"/>
      <c r="C976" s="105"/>
      <c r="D976" s="106"/>
      <c r="E976" s="105"/>
      <c r="F976" s="106"/>
      <c r="Q976" s="80"/>
      <c r="R976" s="80"/>
      <c r="S976" s="80"/>
      <c r="AQ976" s="69"/>
    </row>
    <row r="977">
      <c r="A977" s="80"/>
      <c r="B977" s="80"/>
      <c r="C977" s="105"/>
      <c r="D977" s="106"/>
      <c r="E977" s="105"/>
      <c r="F977" s="106"/>
      <c r="Q977" s="80"/>
      <c r="R977" s="80"/>
      <c r="S977" s="80"/>
      <c r="AQ977" s="69"/>
    </row>
    <row r="978">
      <c r="A978" s="80"/>
      <c r="B978" s="80"/>
      <c r="C978" s="105"/>
      <c r="D978" s="106"/>
      <c r="E978" s="105"/>
      <c r="F978" s="106"/>
      <c r="Q978" s="80"/>
      <c r="R978" s="80"/>
      <c r="S978" s="80"/>
      <c r="AQ978" s="69"/>
    </row>
    <row r="979">
      <c r="A979" s="80"/>
      <c r="B979" s="80"/>
      <c r="C979" s="105"/>
      <c r="D979" s="106"/>
      <c r="E979" s="105"/>
      <c r="F979" s="106"/>
      <c r="Q979" s="80"/>
      <c r="R979" s="80"/>
      <c r="S979" s="80"/>
      <c r="AQ979" s="69"/>
    </row>
    <row r="980">
      <c r="A980" s="80"/>
      <c r="B980" s="80"/>
      <c r="C980" s="105"/>
      <c r="D980" s="106"/>
      <c r="E980" s="105"/>
      <c r="F980" s="106"/>
      <c r="Q980" s="80"/>
      <c r="R980" s="80"/>
      <c r="S980" s="80"/>
      <c r="AQ980" s="69"/>
    </row>
    <row r="981">
      <c r="A981" s="80"/>
      <c r="B981" s="80"/>
      <c r="C981" s="105"/>
      <c r="D981" s="106"/>
      <c r="E981" s="105"/>
      <c r="F981" s="106"/>
      <c r="Q981" s="80"/>
      <c r="R981" s="80"/>
      <c r="S981" s="80"/>
      <c r="AQ981" s="69"/>
    </row>
    <row r="982">
      <c r="A982" s="80"/>
      <c r="B982" s="80"/>
      <c r="C982" s="105"/>
      <c r="D982" s="106"/>
      <c r="E982" s="105"/>
      <c r="F982" s="106"/>
      <c r="Q982" s="80"/>
      <c r="R982" s="80"/>
      <c r="S982" s="80"/>
      <c r="AQ982" s="69"/>
    </row>
    <row r="983">
      <c r="A983" s="80"/>
      <c r="B983" s="80"/>
      <c r="C983" s="105"/>
      <c r="D983" s="106"/>
      <c r="E983" s="105"/>
      <c r="F983" s="106"/>
      <c r="Q983" s="80"/>
      <c r="R983" s="80"/>
      <c r="S983" s="80"/>
      <c r="AQ983" s="69"/>
    </row>
    <row r="984">
      <c r="A984" s="80"/>
      <c r="B984" s="80"/>
      <c r="C984" s="105"/>
      <c r="D984" s="106"/>
      <c r="E984" s="105"/>
      <c r="F984" s="106"/>
      <c r="Q984" s="80"/>
      <c r="R984" s="80"/>
      <c r="S984" s="80"/>
      <c r="AQ984" s="69"/>
    </row>
    <row r="985">
      <c r="A985" s="80"/>
      <c r="B985" s="80"/>
      <c r="C985" s="105"/>
      <c r="D985" s="106"/>
      <c r="E985" s="105"/>
      <c r="F985" s="106"/>
      <c r="Q985" s="80"/>
      <c r="R985" s="80"/>
      <c r="S985" s="80"/>
      <c r="AQ985" s="69"/>
    </row>
    <row r="986">
      <c r="A986" s="80"/>
      <c r="B986" s="80"/>
      <c r="C986" s="105"/>
      <c r="D986" s="106"/>
      <c r="E986" s="105"/>
      <c r="F986" s="106"/>
      <c r="Q986" s="80"/>
      <c r="R986" s="80"/>
      <c r="S986" s="80"/>
      <c r="AQ986" s="69"/>
    </row>
    <row r="987">
      <c r="A987" s="80"/>
      <c r="B987" s="80"/>
      <c r="C987" s="105"/>
      <c r="D987" s="106"/>
      <c r="E987" s="105"/>
      <c r="F987" s="106"/>
      <c r="Q987" s="80"/>
      <c r="R987" s="80"/>
      <c r="S987" s="80"/>
      <c r="AQ987" s="69"/>
    </row>
    <row r="988">
      <c r="A988" s="80"/>
      <c r="B988" s="80"/>
      <c r="C988" s="105"/>
      <c r="D988" s="106"/>
      <c r="E988" s="105"/>
      <c r="F988" s="106"/>
      <c r="Q988" s="80"/>
      <c r="R988" s="80"/>
      <c r="S988" s="80"/>
      <c r="AQ988" s="69"/>
    </row>
    <row r="989">
      <c r="A989" s="80"/>
      <c r="B989" s="80"/>
      <c r="C989" s="105"/>
      <c r="D989" s="106"/>
      <c r="E989" s="105"/>
      <c r="F989" s="106"/>
      <c r="Q989" s="80"/>
      <c r="R989" s="80"/>
      <c r="S989" s="80"/>
      <c r="AQ989" s="69"/>
    </row>
    <row r="990">
      <c r="A990" s="80"/>
      <c r="B990" s="80"/>
      <c r="C990" s="105"/>
      <c r="D990" s="106"/>
      <c r="E990" s="105"/>
      <c r="F990" s="106"/>
      <c r="Q990" s="80"/>
      <c r="R990" s="80"/>
      <c r="S990" s="80"/>
      <c r="AQ990" s="69"/>
    </row>
    <row r="991">
      <c r="A991" s="80"/>
      <c r="B991" s="80"/>
      <c r="C991" s="105"/>
      <c r="D991" s="106"/>
      <c r="E991" s="105"/>
      <c r="F991" s="106"/>
      <c r="Q991" s="80"/>
      <c r="R991" s="80"/>
      <c r="S991" s="80"/>
      <c r="AQ991" s="69"/>
    </row>
    <row r="992">
      <c r="A992" s="80"/>
      <c r="B992" s="80"/>
      <c r="C992" s="105"/>
      <c r="D992" s="106"/>
      <c r="E992" s="105"/>
      <c r="F992" s="106"/>
      <c r="Q992" s="80"/>
      <c r="R992" s="80"/>
      <c r="S992" s="80"/>
      <c r="AQ992" s="69"/>
    </row>
    <row r="993">
      <c r="A993" s="80"/>
      <c r="B993" s="80"/>
      <c r="C993" s="105"/>
      <c r="D993" s="106"/>
      <c r="E993" s="105"/>
      <c r="F993" s="106"/>
      <c r="Q993" s="80"/>
      <c r="R993" s="80"/>
      <c r="S993" s="80"/>
      <c r="AQ993" s="69"/>
    </row>
    <row r="994">
      <c r="A994" s="80"/>
      <c r="B994" s="80"/>
      <c r="C994" s="105"/>
      <c r="D994" s="106"/>
      <c r="E994" s="105"/>
      <c r="F994" s="106"/>
      <c r="Q994" s="80"/>
      <c r="R994" s="80"/>
      <c r="S994" s="80"/>
      <c r="AQ994" s="69"/>
    </row>
    <row r="995">
      <c r="A995" s="80"/>
      <c r="B995" s="80"/>
      <c r="C995" s="105"/>
      <c r="D995" s="106"/>
      <c r="E995" s="105"/>
      <c r="F995" s="106"/>
      <c r="Q995" s="80"/>
      <c r="R995" s="80"/>
      <c r="S995" s="80"/>
      <c r="AQ995" s="69"/>
    </row>
    <row r="996">
      <c r="A996" s="80"/>
      <c r="B996" s="80"/>
      <c r="C996" s="105"/>
      <c r="D996" s="106"/>
      <c r="E996" s="105"/>
      <c r="F996" s="106"/>
      <c r="Q996" s="80"/>
      <c r="R996" s="80"/>
      <c r="S996" s="80"/>
      <c r="AQ996" s="69"/>
    </row>
    <row r="997">
      <c r="A997" s="80"/>
      <c r="B997" s="80"/>
      <c r="C997" s="105"/>
      <c r="D997" s="106"/>
      <c r="E997" s="105"/>
      <c r="F997" s="106"/>
      <c r="Q997" s="80"/>
      <c r="R997" s="80"/>
      <c r="S997" s="80"/>
      <c r="AQ997" s="69"/>
    </row>
    <row r="998">
      <c r="A998" s="80"/>
      <c r="B998" s="80"/>
      <c r="C998" s="105"/>
      <c r="D998" s="106"/>
      <c r="E998" s="105"/>
      <c r="F998" s="106"/>
      <c r="Q998" s="80"/>
      <c r="R998" s="80"/>
      <c r="S998" s="80"/>
      <c r="AQ998" s="69"/>
    </row>
    <row r="999">
      <c r="A999" s="80"/>
      <c r="B999" s="80"/>
      <c r="C999" s="105"/>
      <c r="D999" s="106"/>
      <c r="E999" s="105"/>
      <c r="F999" s="106"/>
      <c r="Q999" s="80"/>
      <c r="R999" s="80"/>
      <c r="S999" s="80"/>
      <c r="AQ999" s="69"/>
    </row>
    <row r="1000">
      <c r="A1000" s="80"/>
      <c r="B1000" s="80"/>
      <c r="C1000" s="105"/>
      <c r="D1000" s="106"/>
      <c r="E1000" s="105"/>
      <c r="F1000" s="106"/>
      <c r="Q1000" s="80"/>
      <c r="R1000" s="80"/>
      <c r="S1000" s="80"/>
      <c r="AQ1000" s="69"/>
    </row>
    <row r="1001">
      <c r="A1001" s="80"/>
      <c r="B1001" s="80"/>
      <c r="C1001" s="105"/>
      <c r="D1001" s="106"/>
      <c r="E1001" s="105"/>
      <c r="F1001" s="106"/>
      <c r="Q1001" s="80"/>
      <c r="R1001" s="80"/>
      <c r="S1001" s="80"/>
      <c r="AQ1001" s="69"/>
    </row>
    <row r="1002">
      <c r="A1002" s="80"/>
      <c r="B1002" s="80"/>
      <c r="C1002" s="105"/>
      <c r="D1002" s="106"/>
      <c r="E1002" s="105"/>
      <c r="F1002" s="106"/>
      <c r="Q1002" s="80"/>
      <c r="R1002" s="80"/>
      <c r="S1002" s="80"/>
      <c r="AQ1002" s="69"/>
    </row>
    <row r="1003">
      <c r="A1003" s="80"/>
      <c r="B1003" s="80"/>
      <c r="C1003" s="105"/>
      <c r="D1003" s="106"/>
      <c r="E1003" s="105"/>
      <c r="F1003" s="106"/>
      <c r="Q1003" s="80"/>
      <c r="R1003" s="80"/>
      <c r="S1003" s="80"/>
      <c r="AQ1003" s="69"/>
    </row>
    <row r="1004">
      <c r="A1004" s="80"/>
      <c r="B1004" s="80"/>
      <c r="C1004" s="105"/>
      <c r="D1004" s="106"/>
      <c r="E1004" s="105"/>
      <c r="F1004" s="106"/>
      <c r="Q1004" s="80"/>
      <c r="R1004" s="80"/>
      <c r="S1004" s="80"/>
      <c r="AQ1004" s="69"/>
    </row>
  </sheetData>
  <mergeCells count="17">
    <mergeCell ref="Z1:AM1"/>
    <mergeCell ref="AR1:BM1"/>
    <mergeCell ref="M2:Q2"/>
    <mergeCell ref="R2:S2"/>
    <mergeCell ref="T2:X2"/>
    <mergeCell ref="Z2:AF2"/>
    <mergeCell ref="AG2:AM2"/>
    <mergeCell ref="T3:X3"/>
    <mergeCell ref="Z26:AF26"/>
    <mergeCell ref="X50:AD50"/>
    <mergeCell ref="AR2:BA2"/>
    <mergeCell ref="BD2:BM2"/>
    <mergeCell ref="Z25:AP25"/>
    <mergeCell ref="AR25:BR25"/>
    <mergeCell ref="AG26:AM26"/>
    <mergeCell ref="AR26:BC26"/>
    <mergeCell ref="BD26:BO26"/>
  </mergeCells>
  <conditionalFormatting sqref="W5:W24">
    <cfRule type="containsText" dxfId="0" priority="1" operator="containsText" text="Outlier">
      <formula>NOT(ISERROR(SEARCH(("Outlier"),(W5))))</formula>
    </cfRule>
  </conditionalFormatting>
  <conditionalFormatting sqref="AO29:AO48">
    <cfRule type="containsText" dxfId="1" priority="2" operator="containsText" text="Outlier">
      <formula>NOT(ISERROR(SEARCH(("Outlier"),(AO29))))</formula>
    </cfRule>
  </conditionalFormatting>
  <conditionalFormatting sqref="BQ29:BQ48">
    <cfRule type="containsText" dxfId="1" priority="3" operator="containsText" text="Outlier">
      <formula>NOT(ISERROR(SEARCH(("Outlier"),(BQ29))))</formula>
    </cfRule>
  </conditionalFormatting>
  <conditionalFormatting sqref="BS29:BS48">
    <cfRule type="containsText" dxfId="1" priority="4" operator="containsText" text="Outlier">
      <formula>NOT(ISERROR(SEARCH(("Outlier"),(BS29))))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12" max="12" width="16.38"/>
  </cols>
  <sheetData>
    <row r="1">
      <c r="A1" s="113" t="s">
        <v>2</v>
      </c>
      <c r="B1" s="113" t="s">
        <v>11</v>
      </c>
      <c r="C1" s="113" t="s">
        <v>29</v>
      </c>
      <c r="D1" s="113" t="s">
        <v>29</v>
      </c>
      <c r="E1" s="113" t="s">
        <v>29</v>
      </c>
      <c r="F1" s="113" t="s">
        <v>29</v>
      </c>
      <c r="G1" s="113" t="s">
        <v>29</v>
      </c>
      <c r="H1" s="113" t="s">
        <v>29</v>
      </c>
      <c r="I1" s="113" t="s">
        <v>29</v>
      </c>
      <c r="J1" s="113" t="s">
        <v>29</v>
      </c>
      <c r="K1" s="114"/>
      <c r="L1" s="113" t="s">
        <v>30</v>
      </c>
      <c r="M1" s="113" t="s">
        <v>29</v>
      </c>
      <c r="N1" s="113" t="s">
        <v>29</v>
      </c>
      <c r="O1" s="113" t="s">
        <v>29</v>
      </c>
      <c r="P1" s="113" t="s">
        <v>29</v>
      </c>
      <c r="Q1" s="113" t="s">
        <v>29</v>
      </c>
      <c r="R1" s="113" t="s">
        <v>29</v>
      </c>
      <c r="S1" s="113" t="s">
        <v>29</v>
      </c>
      <c r="T1" s="113" t="s">
        <v>29</v>
      </c>
    </row>
    <row r="2">
      <c r="A2" s="115">
        <v>1.0</v>
      </c>
      <c r="B2" s="116" t="s">
        <v>40</v>
      </c>
      <c r="C2" s="117">
        <v>3.0</v>
      </c>
      <c r="D2" s="117">
        <v>5.0</v>
      </c>
      <c r="E2" s="117">
        <v>4.0</v>
      </c>
      <c r="F2" s="117">
        <v>6.0</v>
      </c>
      <c r="G2" s="117">
        <v>2.0</v>
      </c>
      <c r="H2" s="117">
        <v>3.0</v>
      </c>
      <c r="I2" s="117">
        <v>2.0</v>
      </c>
      <c r="J2" s="117">
        <v>4.0</v>
      </c>
      <c r="K2" s="115">
        <v>1.0</v>
      </c>
      <c r="L2" s="118" t="s">
        <v>41</v>
      </c>
      <c r="M2" s="119">
        <v>5.0</v>
      </c>
      <c r="N2" s="119">
        <v>6.0</v>
      </c>
      <c r="O2" s="119">
        <v>4.0</v>
      </c>
      <c r="P2" s="119">
        <v>4.0</v>
      </c>
      <c r="Q2" s="119">
        <v>3.0</v>
      </c>
      <c r="R2" s="119">
        <v>2.0</v>
      </c>
      <c r="S2" s="119">
        <v>3.0</v>
      </c>
      <c r="T2" s="119">
        <v>3.0</v>
      </c>
    </row>
    <row r="3">
      <c r="A3" s="115">
        <v>2.0</v>
      </c>
      <c r="B3" s="120" t="s">
        <v>37</v>
      </c>
      <c r="C3" s="119">
        <v>6.0</v>
      </c>
      <c r="D3" s="119">
        <v>5.0</v>
      </c>
      <c r="E3" s="119">
        <v>6.0</v>
      </c>
      <c r="F3" s="119">
        <v>5.0</v>
      </c>
      <c r="G3" s="119">
        <v>5.0</v>
      </c>
      <c r="H3" s="119">
        <v>7.0</v>
      </c>
      <c r="I3" s="119">
        <v>5.0</v>
      </c>
      <c r="J3" s="119">
        <v>5.0</v>
      </c>
      <c r="K3" s="115">
        <v>2.0</v>
      </c>
      <c r="L3" s="118" t="s">
        <v>36</v>
      </c>
      <c r="M3" s="117">
        <v>6.0</v>
      </c>
      <c r="N3" s="117">
        <v>3.0</v>
      </c>
      <c r="O3" s="117">
        <v>6.0</v>
      </c>
      <c r="P3" s="117">
        <v>3.0</v>
      </c>
      <c r="Q3" s="117">
        <v>6.0</v>
      </c>
      <c r="R3" s="117">
        <v>7.0</v>
      </c>
      <c r="S3" s="117">
        <v>5.0</v>
      </c>
      <c r="T3" s="117">
        <v>6.0</v>
      </c>
    </row>
    <row r="4">
      <c r="A4" s="115">
        <v>4.0</v>
      </c>
      <c r="B4" s="120" t="s">
        <v>41</v>
      </c>
      <c r="C4" s="119">
        <v>5.0</v>
      </c>
      <c r="D4" s="119">
        <v>4.0</v>
      </c>
      <c r="E4" s="119">
        <v>7.0</v>
      </c>
      <c r="F4" s="119">
        <v>5.0</v>
      </c>
      <c r="G4" s="119">
        <v>6.0</v>
      </c>
      <c r="H4" s="119">
        <v>5.0</v>
      </c>
      <c r="I4" s="119">
        <v>1.0</v>
      </c>
      <c r="J4" s="119">
        <v>3.0</v>
      </c>
      <c r="K4" s="115">
        <v>4.0</v>
      </c>
      <c r="L4" s="118" t="s">
        <v>40</v>
      </c>
      <c r="M4" s="117">
        <v>6.0</v>
      </c>
      <c r="N4" s="117">
        <v>5.0</v>
      </c>
      <c r="O4" s="117">
        <v>6.0</v>
      </c>
      <c r="P4" s="117">
        <v>4.0</v>
      </c>
      <c r="Q4" s="117">
        <v>3.0</v>
      </c>
      <c r="R4" s="117">
        <v>2.0</v>
      </c>
      <c r="S4" s="117">
        <v>2.0</v>
      </c>
      <c r="T4" s="117">
        <v>2.0</v>
      </c>
    </row>
    <row r="5">
      <c r="A5" s="115">
        <v>5.0</v>
      </c>
      <c r="B5" s="116" t="s">
        <v>40</v>
      </c>
      <c r="C5" s="117">
        <v>5.0</v>
      </c>
      <c r="D5" s="117">
        <v>5.0</v>
      </c>
      <c r="E5" s="117">
        <v>3.0</v>
      </c>
      <c r="F5" s="117">
        <v>3.0</v>
      </c>
      <c r="G5" s="117">
        <v>5.0</v>
      </c>
      <c r="H5" s="117">
        <v>5.0</v>
      </c>
      <c r="I5" s="117">
        <v>2.0</v>
      </c>
      <c r="J5" s="117">
        <v>2.0</v>
      </c>
      <c r="K5" s="115">
        <v>5.0</v>
      </c>
      <c r="L5" s="118" t="s">
        <v>41</v>
      </c>
      <c r="M5" s="119">
        <v>5.0</v>
      </c>
      <c r="N5" s="119">
        <v>5.0</v>
      </c>
      <c r="O5" s="119">
        <v>6.0</v>
      </c>
      <c r="P5" s="119">
        <v>5.0</v>
      </c>
      <c r="Q5" s="119">
        <v>4.0</v>
      </c>
      <c r="R5" s="119">
        <v>5.0</v>
      </c>
      <c r="S5" s="119">
        <v>2.0</v>
      </c>
      <c r="T5" s="119">
        <v>3.0</v>
      </c>
    </row>
    <row r="6">
      <c r="A6" s="115">
        <v>6.0</v>
      </c>
      <c r="B6" s="120" t="s">
        <v>37</v>
      </c>
      <c r="C6" s="119">
        <v>7.0</v>
      </c>
      <c r="D6" s="119">
        <v>7.0</v>
      </c>
      <c r="E6" s="119">
        <v>7.0</v>
      </c>
      <c r="F6" s="119">
        <v>7.0</v>
      </c>
      <c r="G6" s="119">
        <v>7.0</v>
      </c>
      <c r="H6" s="119">
        <v>7.0</v>
      </c>
      <c r="I6" s="119">
        <v>5.0</v>
      </c>
      <c r="J6" s="119">
        <v>6.0</v>
      </c>
      <c r="K6" s="115">
        <v>6.0</v>
      </c>
      <c r="L6" s="118" t="s">
        <v>36</v>
      </c>
      <c r="M6" s="117">
        <v>7.0</v>
      </c>
      <c r="N6" s="117">
        <v>7.0</v>
      </c>
      <c r="O6" s="117">
        <v>7.0</v>
      </c>
      <c r="P6" s="117">
        <v>6.0</v>
      </c>
      <c r="Q6" s="117">
        <v>7.0</v>
      </c>
      <c r="R6" s="117">
        <v>7.0</v>
      </c>
      <c r="S6" s="117">
        <v>6.0</v>
      </c>
      <c r="T6" s="117">
        <v>6.0</v>
      </c>
    </row>
    <row r="7">
      <c r="A7" s="115">
        <v>7.0</v>
      </c>
      <c r="B7" s="116" t="s">
        <v>36</v>
      </c>
      <c r="C7" s="117">
        <v>7.0</v>
      </c>
      <c r="D7" s="117">
        <v>6.0</v>
      </c>
      <c r="E7" s="117">
        <v>6.0</v>
      </c>
      <c r="F7" s="117">
        <v>6.0</v>
      </c>
      <c r="G7" s="117">
        <v>4.0</v>
      </c>
      <c r="H7" s="117">
        <v>4.0</v>
      </c>
      <c r="I7" s="117">
        <v>5.0</v>
      </c>
      <c r="J7" s="117">
        <v>5.0</v>
      </c>
      <c r="K7" s="115">
        <v>7.0</v>
      </c>
      <c r="L7" s="118" t="s">
        <v>37</v>
      </c>
      <c r="M7" s="119">
        <v>6.0</v>
      </c>
      <c r="N7" s="119">
        <v>4.0</v>
      </c>
      <c r="O7" s="119">
        <v>5.0</v>
      </c>
      <c r="P7" s="119">
        <v>4.0</v>
      </c>
      <c r="Q7" s="119">
        <v>3.0</v>
      </c>
      <c r="R7" s="119">
        <v>3.0</v>
      </c>
      <c r="S7" s="119">
        <v>3.0</v>
      </c>
      <c r="T7" s="119">
        <v>4.0</v>
      </c>
    </row>
    <row r="8">
      <c r="A8" s="115">
        <v>8.0</v>
      </c>
      <c r="B8" s="120" t="s">
        <v>41</v>
      </c>
      <c r="C8" s="119">
        <v>7.0</v>
      </c>
      <c r="D8" s="119">
        <v>7.0</v>
      </c>
      <c r="E8" s="119">
        <v>7.0</v>
      </c>
      <c r="F8" s="119">
        <v>7.0</v>
      </c>
      <c r="G8" s="119">
        <v>5.0</v>
      </c>
      <c r="H8" s="119">
        <v>5.0</v>
      </c>
      <c r="I8" s="119">
        <v>2.0</v>
      </c>
      <c r="J8" s="119">
        <v>2.0</v>
      </c>
      <c r="K8" s="115">
        <v>8.0</v>
      </c>
      <c r="L8" s="118" t="s">
        <v>40</v>
      </c>
      <c r="M8" s="117">
        <v>7.0</v>
      </c>
      <c r="N8" s="117">
        <v>7.0</v>
      </c>
      <c r="O8" s="117">
        <v>7.0</v>
      </c>
      <c r="P8" s="117">
        <v>7.0</v>
      </c>
      <c r="Q8" s="117">
        <v>6.0</v>
      </c>
      <c r="R8" s="117">
        <v>6.0</v>
      </c>
      <c r="S8" s="117">
        <v>4.0</v>
      </c>
      <c r="T8" s="117">
        <v>3.0</v>
      </c>
    </row>
    <row r="9">
      <c r="A9" s="115">
        <v>9.0</v>
      </c>
      <c r="B9" s="116" t="s">
        <v>40</v>
      </c>
      <c r="C9" s="117">
        <v>7.0</v>
      </c>
      <c r="D9" s="117">
        <v>7.0</v>
      </c>
      <c r="E9" s="117">
        <v>4.0</v>
      </c>
      <c r="F9" s="117">
        <v>6.0</v>
      </c>
      <c r="G9" s="117">
        <v>2.0</v>
      </c>
      <c r="H9" s="117">
        <v>3.0</v>
      </c>
      <c r="I9" s="117">
        <v>5.0</v>
      </c>
      <c r="J9" s="117">
        <v>1.0</v>
      </c>
      <c r="K9" s="115">
        <v>9.0</v>
      </c>
      <c r="L9" s="118" t="s">
        <v>41</v>
      </c>
      <c r="M9" s="119">
        <v>4.0</v>
      </c>
      <c r="N9" s="119">
        <v>4.0</v>
      </c>
      <c r="O9" s="119">
        <v>4.0</v>
      </c>
      <c r="P9" s="119">
        <v>4.0</v>
      </c>
      <c r="Q9" s="119">
        <v>1.0</v>
      </c>
      <c r="R9" s="119">
        <v>3.0</v>
      </c>
      <c r="S9" s="119">
        <v>1.0</v>
      </c>
      <c r="T9" s="119">
        <v>1.0</v>
      </c>
    </row>
    <row r="10">
      <c r="A10" s="115">
        <v>10.0</v>
      </c>
      <c r="B10" s="120" t="s">
        <v>37</v>
      </c>
      <c r="C10" s="119">
        <v>5.0</v>
      </c>
      <c r="D10" s="119">
        <v>6.0</v>
      </c>
      <c r="E10" s="119">
        <v>5.0</v>
      </c>
      <c r="F10" s="119">
        <v>7.0</v>
      </c>
      <c r="G10" s="119">
        <v>5.0</v>
      </c>
      <c r="H10" s="119">
        <v>5.0</v>
      </c>
      <c r="I10" s="119">
        <v>3.0</v>
      </c>
      <c r="J10" s="119">
        <v>3.0</v>
      </c>
      <c r="K10" s="115">
        <v>10.0</v>
      </c>
      <c r="L10" s="118" t="s">
        <v>36</v>
      </c>
      <c r="M10" s="117">
        <v>5.0</v>
      </c>
      <c r="N10" s="117">
        <v>6.0</v>
      </c>
      <c r="O10" s="117">
        <v>5.0</v>
      </c>
      <c r="P10" s="117">
        <v>6.0</v>
      </c>
      <c r="Q10" s="117">
        <v>4.0</v>
      </c>
      <c r="R10" s="117">
        <v>4.0</v>
      </c>
      <c r="S10" s="117">
        <v>3.0</v>
      </c>
      <c r="T10" s="117">
        <v>3.0</v>
      </c>
    </row>
    <row r="11">
      <c r="A11" s="115">
        <v>11.0</v>
      </c>
      <c r="B11" s="116" t="s">
        <v>36</v>
      </c>
      <c r="C11" s="117">
        <v>7.0</v>
      </c>
      <c r="D11" s="117">
        <v>7.0</v>
      </c>
      <c r="E11" s="117">
        <v>6.0</v>
      </c>
      <c r="F11" s="117">
        <v>6.0</v>
      </c>
      <c r="G11" s="117">
        <v>4.0</v>
      </c>
      <c r="H11" s="117">
        <v>5.0</v>
      </c>
      <c r="I11" s="117">
        <v>1.0</v>
      </c>
      <c r="J11" s="117">
        <v>1.0</v>
      </c>
      <c r="K11" s="115">
        <v>11.0</v>
      </c>
      <c r="L11" s="118" t="s">
        <v>37</v>
      </c>
      <c r="M11" s="119">
        <v>6.0</v>
      </c>
      <c r="N11" s="119">
        <v>6.0</v>
      </c>
      <c r="O11" s="119">
        <v>5.0</v>
      </c>
      <c r="P11" s="119">
        <v>5.0</v>
      </c>
      <c r="Q11" s="119">
        <v>3.0</v>
      </c>
      <c r="R11" s="119">
        <v>3.0</v>
      </c>
      <c r="S11" s="119">
        <v>1.0</v>
      </c>
      <c r="T11" s="119">
        <v>1.0</v>
      </c>
    </row>
    <row r="12">
      <c r="A12" s="115">
        <v>12.0</v>
      </c>
      <c r="B12" s="120" t="s">
        <v>41</v>
      </c>
      <c r="C12" s="119">
        <v>7.0</v>
      </c>
      <c r="D12" s="119">
        <v>7.0</v>
      </c>
      <c r="E12" s="119">
        <v>6.0</v>
      </c>
      <c r="F12" s="119">
        <v>6.0</v>
      </c>
      <c r="G12" s="119">
        <v>5.0</v>
      </c>
      <c r="H12" s="119">
        <v>5.0</v>
      </c>
      <c r="I12" s="119">
        <v>3.0</v>
      </c>
      <c r="J12" s="119">
        <v>3.0</v>
      </c>
      <c r="K12" s="115">
        <v>12.0</v>
      </c>
      <c r="L12" s="118" t="s">
        <v>40</v>
      </c>
      <c r="M12" s="117">
        <v>7.0</v>
      </c>
      <c r="N12" s="117">
        <v>6.0</v>
      </c>
      <c r="O12" s="117">
        <v>5.0</v>
      </c>
      <c r="P12" s="117">
        <v>6.0</v>
      </c>
      <c r="Q12" s="117">
        <v>6.0</v>
      </c>
      <c r="R12" s="117">
        <v>6.0</v>
      </c>
      <c r="S12" s="117">
        <v>3.0</v>
      </c>
      <c r="T12" s="117">
        <v>3.0</v>
      </c>
    </row>
    <row r="13">
      <c r="A13" s="115">
        <v>13.0</v>
      </c>
      <c r="B13" s="116" t="s">
        <v>40</v>
      </c>
      <c r="C13" s="117">
        <v>7.0</v>
      </c>
      <c r="D13" s="117">
        <v>7.0</v>
      </c>
      <c r="E13" s="117">
        <v>6.0</v>
      </c>
      <c r="F13" s="117">
        <v>7.0</v>
      </c>
      <c r="G13" s="117">
        <v>5.0</v>
      </c>
      <c r="H13" s="117">
        <v>5.0</v>
      </c>
      <c r="I13" s="117">
        <v>6.0</v>
      </c>
      <c r="J13" s="117">
        <v>7.0</v>
      </c>
      <c r="K13" s="115">
        <v>13.0</v>
      </c>
      <c r="L13" s="118" t="s">
        <v>41</v>
      </c>
      <c r="M13" s="119">
        <v>7.0</v>
      </c>
      <c r="N13" s="119">
        <v>6.0</v>
      </c>
      <c r="O13" s="119">
        <v>6.0</v>
      </c>
      <c r="P13" s="119">
        <v>7.0</v>
      </c>
      <c r="Q13" s="119">
        <v>6.0</v>
      </c>
      <c r="R13" s="119">
        <v>6.0</v>
      </c>
      <c r="S13" s="119">
        <v>6.0</v>
      </c>
      <c r="T13" s="119">
        <v>6.0</v>
      </c>
    </row>
    <row r="14">
      <c r="A14" s="115">
        <v>14.0</v>
      </c>
      <c r="B14" s="120" t="s">
        <v>37</v>
      </c>
      <c r="C14" s="119">
        <v>4.0</v>
      </c>
      <c r="D14" s="119">
        <v>4.0</v>
      </c>
      <c r="E14" s="119">
        <v>4.0</v>
      </c>
      <c r="F14" s="119">
        <v>3.0</v>
      </c>
      <c r="G14" s="119">
        <v>6.0</v>
      </c>
      <c r="H14" s="119">
        <v>5.0</v>
      </c>
      <c r="I14" s="119">
        <v>5.0</v>
      </c>
      <c r="J14" s="119">
        <v>4.0</v>
      </c>
      <c r="K14" s="115">
        <v>14.0</v>
      </c>
      <c r="L14" s="118" t="s">
        <v>36</v>
      </c>
      <c r="M14" s="117">
        <v>5.0</v>
      </c>
      <c r="N14" s="117">
        <v>5.0</v>
      </c>
      <c r="O14" s="117">
        <v>5.0</v>
      </c>
      <c r="P14" s="117">
        <v>5.0</v>
      </c>
      <c r="Q14" s="117">
        <v>6.0</v>
      </c>
      <c r="R14" s="117">
        <v>5.0</v>
      </c>
      <c r="S14" s="117">
        <v>5.0</v>
      </c>
      <c r="T14" s="117">
        <v>4.0</v>
      </c>
    </row>
    <row r="15">
      <c r="A15" s="115">
        <v>15.0</v>
      </c>
      <c r="B15" s="116" t="s">
        <v>36</v>
      </c>
      <c r="C15" s="117">
        <v>7.0</v>
      </c>
      <c r="D15" s="117">
        <v>6.0</v>
      </c>
      <c r="E15" s="117">
        <v>7.0</v>
      </c>
      <c r="F15" s="117">
        <v>6.0</v>
      </c>
      <c r="G15" s="117">
        <v>6.0</v>
      </c>
      <c r="H15" s="117">
        <v>6.0</v>
      </c>
      <c r="I15" s="117">
        <v>4.0</v>
      </c>
      <c r="J15" s="117">
        <v>5.0</v>
      </c>
      <c r="K15" s="115">
        <v>15.0</v>
      </c>
      <c r="L15" s="118" t="s">
        <v>37</v>
      </c>
      <c r="M15" s="119">
        <v>6.0</v>
      </c>
      <c r="N15" s="119">
        <v>5.0</v>
      </c>
      <c r="O15" s="119">
        <v>7.0</v>
      </c>
      <c r="P15" s="119">
        <v>5.0</v>
      </c>
      <c r="Q15" s="119">
        <v>6.0</v>
      </c>
      <c r="R15" s="119">
        <v>7.0</v>
      </c>
      <c r="S15" s="119">
        <v>4.0</v>
      </c>
      <c r="T15" s="119">
        <v>5.0</v>
      </c>
    </row>
    <row r="16">
      <c r="A16" s="115">
        <v>16.0</v>
      </c>
      <c r="B16" s="120" t="s">
        <v>41</v>
      </c>
      <c r="C16" s="119">
        <v>6.0</v>
      </c>
      <c r="D16" s="119">
        <v>6.0</v>
      </c>
      <c r="E16" s="119">
        <v>7.0</v>
      </c>
      <c r="F16" s="119">
        <v>5.0</v>
      </c>
      <c r="G16" s="119">
        <v>4.0</v>
      </c>
      <c r="H16" s="119">
        <v>4.0</v>
      </c>
      <c r="I16" s="119">
        <v>3.0</v>
      </c>
      <c r="J16" s="119">
        <v>2.0</v>
      </c>
      <c r="K16" s="115">
        <v>16.0</v>
      </c>
      <c r="L16" s="118" t="s">
        <v>40</v>
      </c>
      <c r="M16" s="117">
        <v>6.0</v>
      </c>
      <c r="N16" s="117">
        <v>6.0</v>
      </c>
      <c r="O16" s="117">
        <v>7.0</v>
      </c>
      <c r="P16" s="117">
        <v>5.0</v>
      </c>
      <c r="Q16" s="117">
        <v>4.0</v>
      </c>
      <c r="R16" s="117">
        <v>4.0</v>
      </c>
      <c r="S16" s="117">
        <v>3.0</v>
      </c>
      <c r="T16" s="117">
        <v>3.0</v>
      </c>
    </row>
    <row r="17">
      <c r="A17" s="115">
        <v>17.0</v>
      </c>
      <c r="B17" s="116" t="s">
        <v>40</v>
      </c>
      <c r="C17" s="117">
        <v>6.0</v>
      </c>
      <c r="D17" s="117">
        <v>7.0</v>
      </c>
      <c r="E17" s="117">
        <v>6.0</v>
      </c>
      <c r="F17" s="117">
        <v>6.0</v>
      </c>
      <c r="G17" s="117">
        <v>2.0</v>
      </c>
      <c r="H17" s="117">
        <v>4.0</v>
      </c>
      <c r="I17" s="117">
        <v>3.0</v>
      </c>
      <c r="J17" s="117">
        <v>3.0</v>
      </c>
      <c r="K17" s="115">
        <v>17.0</v>
      </c>
      <c r="L17" s="118" t="s">
        <v>41</v>
      </c>
      <c r="M17" s="119">
        <v>5.0</v>
      </c>
      <c r="N17" s="119">
        <v>4.0</v>
      </c>
      <c r="O17" s="119">
        <v>5.0</v>
      </c>
      <c r="P17" s="119">
        <v>5.0</v>
      </c>
      <c r="Q17" s="119">
        <v>3.0</v>
      </c>
      <c r="R17" s="119">
        <v>3.0</v>
      </c>
      <c r="S17" s="119">
        <v>2.0</v>
      </c>
      <c r="T17" s="119">
        <v>2.0</v>
      </c>
    </row>
    <row r="18">
      <c r="A18" s="115">
        <v>18.0</v>
      </c>
      <c r="B18" s="120" t="s">
        <v>37</v>
      </c>
      <c r="C18" s="119">
        <v>7.0</v>
      </c>
      <c r="D18" s="119">
        <v>5.0</v>
      </c>
      <c r="E18" s="119">
        <v>6.0</v>
      </c>
      <c r="F18" s="119">
        <v>6.0</v>
      </c>
      <c r="G18" s="119">
        <v>3.0</v>
      </c>
      <c r="H18" s="119">
        <v>3.0</v>
      </c>
      <c r="I18" s="119">
        <v>4.0</v>
      </c>
      <c r="J18" s="119">
        <v>6.0</v>
      </c>
      <c r="K18" s="115">
        <v>18.0</v>
      </c>
      <c r="L18" s="118" t="s">
        <v>36</v>
      </c>
      <c r="M18" s="117">
        <v>5.0</v>
      </c>
      <c r="N18" s="117">
        <v>5.0</v>
      </c>
      <c r="O18" s="117">
        <v>6.0</v>
      </c>
      <c r="P18" s="117">
        <v>5.0</v>
      </c>
      <c r="Q18" s="117">
        <v>5.0</v>
      </c>
      <c r="R18" s="117">
        <v>6.0</v>
      </c>
      <c r="S18" s="117">
        <v>4.0</v>
      </c>
      <c r="T18" s="117">
        <v>6.0</v>
      </c>
    </row>
    <row r="19">
      <c r="A19" s="115">
        <v>19.0</v>
      </c>
      <c r="B19" s="116" t="s">
        <v>36</v>
      </c>
      <c r="C19" s="117">
        <v>5.0</v>
      </c>
      <c r="D19" s="117">
        <v>5.0</v>
      </c>
      <c r="E19" s="117">
        <v>7.0</v>
      </c>
      <c r="F19" s="117">
        <v>5.0</v>
      </c>
      <c r="G19" s="117">
        <v>5.0</v>
      </c>
      <c r="H19" s="117">
        <v>6.0</v>
      </c>
      <c r="I19" s="117">
        <v>7.0</v>
      </c>
      <c r="J19" s="117">
        <v>5.0</v>
      </c>
      <c r="K19" s="115">
        <v>19.0</v>
      </c>
      <c r="L19" s="118" t="s">
        <v>37</v>
      </c>
      <c r="M19" s="119">
        <v>7.0</v>
      </c>
      <c r="N19" s="119">
        <v>6.0</v>
      </c>
      <c r="O19" s="119">
        <v>7.0</v>
      </c>
      <c r="P19" s="119">
        <v>7.0</v>
      </c>
      <c r="Q19" s="119">
        <v>5.0</v>
      </c>
      <c r="R19" s="119">
        <v>6.0</v>
      </c>
      <c r="S19" s="119">
        <v>6.0</v>
      </c>
      <c r="T19" s="119">
        <v>5.0</v>
      </c>
    </row>
    <row r="20">
      <c r="A20" s="115">
        <v>20.0</v>
      </c>
      <c r="B20" s="120" t="s">
        <v>41</v>
      </c>
      <c r="C20" s="119">
        <v>6.0</v>
      </c>
      <c r="D20" s="119">
        <v>6.0</v>
      </c>
      <c r="E20" s="119">
        <v>4.0</v>
      </c>
      <c r="F20" s="119">
        <v>5.0</v>
      </c>
      <c r="G20" s="119">
        <v>4.0</v>
      </c>
      <c r="H20" s="119">
        <v>6.0</v>
      </c>
      <c r="I20" s="119">
        <v>5.0</v>
      </c>
      <c r="J20" s="119">
        <v>4.0</v>
      </c>
      <c r="K20" s="115">
        <v>20.0</v>
      </c>
      <c r="L20" s="118" t="s">
        <v>40</v>
      </c>
      <c r="M20" s="117">
        <v>5.0</v>
      </c>
      <c r="N20" s="117">
        <v>5.0</v>
      </c>
      <c r="O20" s="117">
        <v>7.0</v>
      </c>
      <c r="P20" s="117">
        <v>7.0</v>
      </c>
      <c r="Q20" s="117">
        <v>5.0</v>
      </c>
      <c r="R20" s="117">
        <v>6.0</v>
      </c>
      <c r="S20" s="117">
        <v>5.0</v>
      </c>
      <c r="T20" s="117">
        <v>5.0</v>
      </c>
    </row>
    <row r="21">
      <c r="A21" s="115">
        <v>21.0</v>
      </c>
      <c r="B21" s="116" t="s">
        <v>36</v>
      </c>
      <c r="C21" s="117">
        <v>7.0</v>
      </c>
      <c r="D21" s="117">
        <v>6.0</v>
      </c>
      <c r="E21" s="117">
        <v>7.0</v>
      </c>
      <c r="F21" s="117">
        <v>6.0</v>
      </c>
      <c r="G21" s="117">
        <v>4.0</v>
      </c>
      <c r="H21" s="117">
        <v>6.0</v>
      </c>
      <c r="I21" s="117">
        <v>2.0</v>
      </c>
      <c r="J21" s="117">
        <v>4.0</v>
      </c>
      <c r="K21" s="115">
        <v>21.0</v>
      </c>
      <c r="L21" s="118" t="s">
        <v>37</v>
      </c>
      <c r="M21" s="119">
        <v>3.0</v>
      </c>
      <c r="N21" s="119">
        <v>4.0</v>
      </c>
      <c r="O21" s="119">
        <v>3.0</v>
      </c>
      <c r="P21" s="119">
        <v>2.0</v>
      </c>
      <c r="Q21" s="119">
        <v>4.0</v>
      </c>
      <c r="R21" s="119">
        <v>4.0</v>
      </c>
      <c r="S21" s="119">
        <v>2.0</v>
      </c>
      <c r="T21" s="119">
        <v>2.0</v>
      </c>
    </row>
    <row r="23">
      <c r="C23" s="25" t="s">
        <v>113</v>
      </c>
      <c r="K23" s="26"/>
      <c r="M23" s="121" t="s">
        <v>115</v>
      </c>
    </row>
    <row r="24">
      <c r="B24" s="122">
        <v>1.0</v>
      </c>
      <c r="C24" s="123">
        <v>3.0</v>
      </c>
      <c r="D24" s="124">
        <v>5.0</v>
      </c>
      <c r="E24" s="124">
        <v>4.0</v>
      </c>
      <c r="F24" s="124">
        <v>6.0</v>
      </c>
      <c r="G24" s="124">
        <v>2.0</v>
      </c>
      <c r="H24" s="124">
        <v>3.0</v>
      </c>
      <c r="I24" s="124">
        <v>2.0</v>
      </c>
      <c r="J24" s="124">
        <v>4.0</v>
      </c>
      <c r="K24" s="125"/>
      <c r="L24" s="122">
        <v>1.0</v>
      </c>
      <c r="M24" s="124">
        <v>5.0</v>
      </c>
      <c r="N24" s="124">
        <v>6.0</v>
      </c>
      <c r="O24" s="124">
        <v>4.0</v>
      </c>
      <c r="P24" s="124">
        <v>4.0</v>
      </c>
      <c r="Q24" s="124">
        <v>3.0</v>
      </c>
      <c r="R24" s="124">
        <v>2.0</v>
      </c>
      <c r="S24" s="124">
        <v>3.0</v>
      </c>
      <c r="T24" s="124">
        <v>3.0</v>
      </c>
    </row>
    <row r="25">
      <c r="B25" s="126">
        <v>2.0</v>
      </c>
      <c r="C25" s="123">
        <v>6.0</v>
      </c>
      <c r="D25" s="124">
        <v>3.0</v>
      </c>
      <c r="E25" s="124">
        <v>6.0</v>
      </c>
      <c r="F25" s="124">
        <v>3.0</v>
      </c>
      <c r="G25" s="124">
        <v>6.0</v>
      </c>
      <c r="H25" s="124">
        <v>7.0</v>
      </c>
      <c r="I25" s="124">
        <v>5.0</v>
      </c>
      <c r="J25" s="124">
        <v>6.0</v>
      </c>
      <c r="K25" s="127"/>
      <c r="L25" s="126">
        <v>2.0</v>
      </c>
      <c r="M25" s="124">
        <v>6.0</v>
      </c>
      <c r="N25" s="124">
        <v>5.0</v>
      </c>
      <c r="O25" s="124">
        <v>6.0</v>
      </c>
      <c r="P25" s="124">
        <v>5.0</v>
      </c>
      <c r="Q25" s="124">
        <v>5.0</v>
      </c>
      <c r="R25" s="124">
        <v>7.0</v>
      </c>
      <c r="S25" s="124">
        <v>5.0</v>
      </c>
      <c r="T25" s="124">
        <v>5.0</v>
      </c>
    </row>
    <row r="26">
      <c r="B26" s="126">
        <v>4.0</v>
      </c>
      <c r="C26" s="123">
        <v>6.0</v>
      </c>
      <c r="D26" s="124">
        <v>5.0</v>
      </c>
      <c r="E26" s="124">
        <v>6.0</v>
      </c>
      <c r="F26" s="124">
        <v>4.0</v>
      </c>
      <c r="G26" s="124">
        <v>3.0</v>
      </c>
      <c r="H26" s="124">
        <v>2.0</v>
      </c>
      <c r="I26" s="124">
        <v>2.0</v>
      </c>
      <c r="J26" s="124">
        <v>2.0</v>
      </c>
      <c r="K26" s="128"/>
      <c r="L26" s="126">
        <v>4.0</v>
      </c>
      <c r="M26" s="124">
        <v>5.0</v>
      </c>
      <c r="N26" s="124">
        <v>4.0</v>
      </c>
      <c r="O26" s="124">
        <v>7.0</v>
      </c>
      <c r="P26" s="124">
        <v>5.0</v>
      </c>
      <c r="Q26" s="124">
        <v>6.0</v>
      </c>
      <c r="R26" s="124">
        <v>5.0</v>
      </c>
      <c r="S26" s="124">
        <v>1.0</v>
      </c>
      <c r="T26" s="124">
        <v>3.0</v>
      </c>
    </row>
    <row r="27">
      <c r="B27" s="126">
        <v>5.0</v>
      </c>
      <c r="C27" s="123">
        <v>5.0</v>
      </c>
      <c r="D27" s="124">
        <v>5.0</v>
      </c>
      <c r="E27" s="124">
        <v>3.0</v>
      </c>
      <c r="F27" s="124">
        <v>3.0</v>
      </c>
      <c r="G27" s="124">
        <v>5.0</v>
      </c>
      <c r="H27" s="124">
        <v>5.0</v>
      </c>
      <c r="I27" s="124">
        <v>2.0</v>
      </c>
      <c r="J27" s="124">
        <v>2.0</v>
      </c>
      <c r="K27" s="128"/>
      <c r="L27" s="126">
        <v>5.0</v>
      </c>
      <c r="M27" s="119">
        <v>5.0</v>
      </c>
      <c r="N27" s="119">
        <v>5.0</v>
      </c>
      <c r="O27" s="119">
        <v>6.0</v>
      </c>
      <c r="P27" s="119">
        <v>5.0</v>
      </c>
      <c r="Q27" s="119">
        <v>4.0</v>
      </c>
      <c r="R27" s="119">
        <v>5.0</v>
      </c>
      <c r="S27" s="119">
        <v>2.0</v>
      </c>
      <c r="T27" s="119">
        <v>3.0</v>
      </c>
    </row>
    <row r="28">
      <c r="B28" s="126">
        <v>6.0</v>
      </c>
      <c r="C28" s="124">
        <v>7.0</v>
      </c>
      <c r="D28" s="124">
        <v>7.0</v>
      </c>
      <c r="E28" s="124">
        <v>7.0</v>
      </c>
      <c r="F28" s="124">
        <v>6.0</v>
      </c>
      <c r="G28" s="124">
        <v>7.0</v>
      </c>
      <c r="H28" s="124">
        <v>7.0</v>
      </c>
      <c r="I28" s="124">
        <v>6.0</v>
      </c>
      <c r="J28" s="124">
        <v>6.0</v>
      </c>
      <c r="K28" s="128"/>
      <c r="L28" s="126">
        <v>6.0</v>
      </c>
      <c r="M28" s="119">
        <v>7.0</v>
      </c>
      <c r="N28" s="119">
        <v>7.0</v>
      </c>
      <c r="O28" s="119">
        <v>7.0</v>
      </c>
      <c r="P28" s="119">
        <v>7.0</v>
      </c>
      <c r="Q28" s="119">
        <v>7.0</v>
      </c>
      <c r="R28" s="119">
        <v>7.0</v>
      </c>
      <c r="S28" s="119">
        <v>5.0</v>
      </c>
      <c r="T28" s="119">
        <v>6.0</v>
      </c>
    </row>
    <row r="29">
      <c r="B29" s="126">
        <v>7.0</v>
      </c>
      <c r="C29" s="124">
        <v>7.0</v>
      </c>
      <c r="D29" s="124">
        <v>6.0</v>
      </c>
      <c r="E29" s="124">
        <v>6.0</v>
      </c>
      <c r="F29" s="124">
        <v>6.0</v>
      </c>
      <c r="G29" s="124">
        <v>4.0</v>
      </c>
      <c r="H29" s="124">
        <v>4.0</v>
      </c>
      <c r="I29" s="124">
        <v>5.0</v>
      </c>
      <c r="J29" s="124">
        <v>5.0</v>
      </c>
      <c r="K29" s="128"/>
      <c r="L29" s="126">
        <v>7.0</v>
      </c>
      <c r="M29" s="119">
        <v>6.0</v>
      </c>
      <c r="N29" s="119">
        <v>4.0</v>
      </c>
      <c r="O29" s="119">
        <v>5.0</v>
      </c>
      <c r="P29" s="119">
        <v>4.0</v>
      </c>
      <c r="Q29" s="119">
        <v>3.0</v>
      </c>
      <c r="R29" s="119">
        <v>3.0</v>
      </c>
      <c r="S29" s="119">
        <v>3.0</v>
      </c>
      <c r="T29" s="119">
        <v>4.0</v>
      </c>
    </row>
    <row r="30">
      <c r="B30" s="126">
        <v>8.0</v>
      </c>
      <c r="C30" s="124">
        <v>7.0</v>
      </c>
      <c r="D30" s="124">
        <v>7.0</v>
      </c>
      <c r="E30" s="124">
        <v>7.0</v>
      </c>
      <c r="F30" s="124">
        <v>7.0</v>
      </c>
      <c r="G30" s="124">
        <v>6.0</v>
      </c>
      <c r="H30" s="124">
        <v>6.0</v>
      </c>
      <c r="I30" s="124">
        <v>4.0</v>
      </c>
      <c r="J30" s="124">
        <v>3.0</v>
      </c>
      <c r="K30" s="128"/>
      <c r="L30" s="126">
        <v>8.0</v>
      </c>
      <c r="M30" s="119">
        <v>7.0</v>
      </c>
      <c r="N30" s="119">
        <v>7.0</v>
      </c>
      <c r="O30" s="119">
        <v>7.0</v>
      </c>
      <c r="P30" s="119">
        <v>7.0</v>
      </c>
      <c r="Q30" s="119">
        <v>5.0</v>
      </c>
      <c r="R30" s="119">
        <v>5.0</v>
      </c>
      <c r="S30" s="119">
        <v>2.0</v>
      </c>
      <c r="T30" s="119">
        <v>2.0</v>
      </c>
    </row>
    <row r="31">
      <c r="B31" s="126">
        <v>9.0</v>
      </c>
      <c r="C31" s="117">
        <v>7.0</v>
      </c>
      <c r="D31" s="117">
        <v>7.0</v>
      </c>
      <c r="E31" s="117">
        <v>4.0</v>
      </c>
      <c r="F31" s="117">
        <v>6.0</v>
      </c>
      <c r="G31" s="117">
        <v>2.0</v>
      </c>
      <c r="H31" s="117">
        <v>3.0</v>
      </c>
      <c r="I31" s="117">
        <v>5.0</v>
      </c>
      <c r="J31" s="117">
        <v>1.0</v>
      </c>
      <c r="K31" s="128"/>
      <c r="L31" s="126">
        <v>9.0</v>
      </c>
      <c r="M31" s="119">
        <v>4.0</v>
      </c>
      <c r="N31" s="119">
        <v>4.0</v>
      </c>
      <c r="O31" s="119">
        <v>4.0</v>
      </c>
      <c r="P31" s="119">
        <v>4.0</v>
      </c>
      <c r="Q31" s="119">
        <v>1.0</v>
      </c>
      <c r="R31" s="119">
        <v>3.0</v>
      </c>
      <c r="S31" s="119">
        <v>1.0</v>
      </c>
      <c r="T31" s="119">
        <v>1.0</v>
      </c>
    </row>
    <row r="32">
      <c r="B32" s="126">
        <v>10.0</v>
      </c>
      <c r="C32" s="117">
        <v>5.0</v>
      </c>
      <c r="D32" s="117">
        <v>6.0</v>
      </c>
      <c r="E32" s="117">
        <v>5.0</v>
      </c>
      <c r="F32" s="117">
        <v>6.0</v>
      </c>
      <c r="G32" s="117">
        <v>4.0</v>
      </c>
      <c r="H32" s="117">
        <v>4.0</v>
      </c>
      <c r="I32" s="117">
        <v>3.0</v>
      </c>
      <c r="J32" s="117">
        <v>3.0</v>
      </c>
      <c r="K32" s="128"/>
      <c r="L32" s="126">
        <v>10.0</v>
      </c>
      <c r="M32" s="119">
        <v>5.0</v>
      </c>
      <c r="N32" s="119">
        <v>6.0</v>
      </c>
      <c r="O32" s="119">
        <v>5.0</v>
      </c>
      <c r="P32" s="119">
        <v>7.0</v>
      </c>
      <c r="Q32" s="119">
        <v>5.0</v>
      </c>
      <c r="R32" s="119">
        <v>5.0</v>
      </c>
      <c r="S32" s="119">
        <v>3.0</v>
      </c>
      <c r="T32" s="119">
        <v>3.0</v>
      </c>
    </row>
    <row r="33">
      <c r="B33" s="126">
        <v>11.0</v>
      </c>
      <c r="C33" s="117">
        <v>7.0</v>
      </c>
      <c r="D33" s="117">
        <v>7.0</v>
      </c>
      <c r="E33" s="117">
        <v>6.0</v>
      </c>
      <c r="F33" s="117">
        <v>6.0</v>
      </c>
      <c r="G33" s="117">
        <v>4.0</v>
      </c>
      <c r="H33" s="117">
        <v>5.0</v>
      </c>
      <c r="I33" s="117">
        <v>1.0</v>
      </c>
      <c r="J33" s="117">
        <v>1.0</v>
      </c>
      <c r="K33" s="128"/>
      <c r="L33" s="126">
        <v>11.0</v>
      </c>
      <c r="M33" s="119">
        <v>6.0</v>
      </c>
      <c r="N33" s="119">
        <v>6.0</v>
      </c>
      <c r="O33" s="119">
        <v>5.0</v>
      </c>
      <c r="P33" s="119">
        <v>5.0</v>
      </c>
      <c r="Q33" s="119">
        <v>3.0</v>
      </c>
      <c r="R33" s="119">
        <v>3.0</v>
      </c>
      <c r="S33" s="119">
        <v>1.0</v>
      </c>
      <c r="T33" s="119">
        <v>1.0</v>
      </c>
    </row>
    <row r="34">
      <c r="B34" s="126">
        <v>12.0</v>
      </c>
      <c r="C34" s="117">
        <v>7.0</v>
      </c>
      <c r="D34" s="117">
        <v>6.0</v>
      </c>
      <c r="E34" s="117">
        <v>5.0</v>
      </c>
      <c r="F34" s="117">
        <v>6.0</v>
      </c>
      <c r="G34" s="117">
        <v>6.0</v>
      </c>
      <c r="H34" s="117">
        <v>6.0</v>
      </c>
      <c r="I34" s="117">
        <v>3.0</v>
      </c>
      <c r="J34" s="117">
        <v>3.0</v>
      </c>
      <c r="K34" s="128"/>
      <c r="L34" s="126">
        <v>12.0</v>
      </c>
      <c r="M34" s="119">
        <v>7.0</v>
      </c>
      <c r="N34" s="119">
        <v>7.0</v>
      </c>
      <c r="O34" s="119">
        <v>6.0</v>
      </c>
      <c r="P34" s="119">
        <v>6.0</v>
      </c>
      <c r="Q34" s="119">
        <v>5.0</v>
      </c>
      <c r="R34" s="119">
        <v>5.0</v>
      </c>
      <c r="S34" s="119">
        <v>3.0</v>
      </c>
      <c r="T34" s="119">
        <v>3.0</v>
      </c>
    </row>
    <row r="35">
      <c r="B35" s="126">
        <v>13.0</v>
      </c>
      <c r="C35" s="117">
        <v>7.0</v>
      </c>
      <c r="D35" s="117">
        <v>7.0</v>
      </c>
      <c r="E35" s="117">
        <v>6.0</v>
      </c>
      <c r="F35" s="117">
        <v>7.0</v>
      </c>
      <c r="G35" s="117">
        <v>5.0</v>
      </c>
      <c r="H35" s="117">
        <v>5.0</v>
      </c>
      <c r="I35" s="117">
        <v>6.0</v>
      </c>
      <c r="J35" s="117">
        <v>7.0</v>
      </c>
      <c r="K35" s="128"/>
      <c r="L35" s="126">
        <v>13.0</v>
      </c>
      <c r="M35" s="119">
        <v>7.0</v>
      </c>
      <c r="N35" s="119">
        <v>6.0</v>
      </c>
      <c r="O35" s="119">
        <v>6.0</v>
      </c>
      <c r="P35" s="119">
        <v>7.0</v>
      </c>
      <c r="Q35" s="119">
        <v>6.0</v>
      </c>
      <c r="R35" s="119">
        <v>6.0</v>
      </c>
      <c r="S35" s="119">
        <v>6.0</v>
      </c>
      <c r="T35" s="119">
        <v>6.0</v>
      </c>
    </row>
    <row r="36">
      <c r="B36" s="126">
        <v>14.0</v>
      </c>
      <c r="C36" s="117">
        <v>5.0</v>
      </c>
      <c r="D36" s="117">
        <v>5.0</v>
      </c>
      <c r="E36" s="117">
        <v>5.0</v>
      </c>
      <c r="F36" s="117">
        <v>5.0</v>
      </c>
      <c r="G36" s="117">
        <v>6.0</v>
      </c>
      <c r="H36" s="117">
        <v>5.0</v>
      </c>
      <c r="I36" s="117">
        <v>5.0</v>
      </c>
      <c r="J36" s="117">
        <v>4.0</v>
      </c>
      <c r="K36" s="128"/>
      <c r="L36" s="126">
        <v>14.0</v>
      </c>
      <c r="M36" s="119">
        <v>4.0</v>
      </c>
      <c r="N36" s="119">
        <v>4.0</v>
      </c>
      <c r="O36" s="119">
        <v>4.0</v>
      </c>
      <c r="P36" s="119">
        <v>3.0</v>
      </c>
      <c r="Q36" s="119">
        <v>6.0</v>
      </c>
      <c r="R36" s="119">
        <v>5.0</v>
      </c>
      <c r="S36" s="119">
        <v>5.0</v>
      </c>
      <c r="T36" s="119">
        <v>4.0</v>
      </c>
    </row>
    <row r="37">
      <c r="B37" s="126">
        <v>15.0</v>
      </c>
      <c r="C37" s="117">
        <v>7.0</v>
      </c>
      <c r="D37" s="117">
        <v>6.0</v>
      </c>
      <c r="E37" s="117">
        <v>7.0</v>
      </c>
      <c r="F37" s="117">
        <v>6.0</v>
      </c>
      <c r="G37" s="117">
        <v>6.0</v>
      </c>
      <c r="H37" s="117">
        <v>6.0</v>
      </c>
      <c r="I37" s="117">
        <v>4.0</v>
      </c>
      <c r="J37" s="117">
        <v>5.0</v>
      </c>
      <c r="K37" s="128"/>
      <c r="L37" s="126">
        <v>15.0</v>
      </c>
      <c r="M37" s="119">
        <v>6.0</v>
      </c>
      <c r="N37" s="119">
        <v>5.0</v>
      </c>
      <c r="O37" s="119">
        <v>7.0</v>
      </c>
      <c r="P37" s="119">
        <v>5.0</v>
      </c>
      <c r="Q37" s="119">
        <v>6.0</v>
      </c>
      <c r="R37" s="119">
        <v>7.0</v>
      </c>
      <c r="S37" s="119">
        <v>4.0</v>
      </c>
      <c r="T37" s="119">
        <v>5.0</v>
      </c>
    </row>
    <row r="38">
      <c r="B38" s="126">
        <v>16.0</v>
      </c>
      <c r="C38" s="117">
        <v>6.0</v>
      </c>
      <c r="D38" s="117">
        <v>6.0</v>
      </c>
      <c r="E38" s="117">
        <v>7.0</v>
      </c>
      <c r="F38" s="117">
        <v>5.0</v>
      </c>
      <c r="G38" s="117">
        <v>4.0</v>
      </c>
      <c r="H38" s="117">
        <v>4.0</v>
      </c>
      <c r="I38" s="117">
        <v>3.0</v>
      </c>
      <c r="J38" s="117">
        <v>3.0</v>
      </c>
      <c r="K38" s="128"/>
      <c r="L38" s="126">
        <v>16.0</v>
      </c>
      <c r="M38" s="119">
        <v>6.0</v>
      </c>
      <c r="N38" s="119">
        <v>6.0</v>
      </c>
      <c r="O38" s="119">
        <v>7.0</v>
      </c>
      <c r="P38" s="119">
        <v>5.0</v>
      </c>
      <c r="Q38" s="119">
        <v>4.0</v>
      </c>
      <c r="R38" s="119">
        <v>4.0</v>
      </c>
      <c r="S38" s="119">
        <v>3.0</v>
      </c>
      <c r="T38" s="119">
        <v>2.0</v>
      </c>
    </row>
    <row r="39">
      <c r="B39" s="126">
        <v>17.0</v>
      </c>
      <c r="C39" s="117">
        <v>6.0</v>
      </c>
      <c r="D39" s="117">
        <v>7.0</v>
      </c>
      <c r="E39" s="117">
        <v>6.0</v>
      </c>
      <c r="F39" s="117">
        <v>6.0</v>
      </c>
      <c r="G39" s="117">
        <v>2.0</v>
      </c>
      <c r="H39" s="117">
        <v>4.0</v>
      </c>
      <c r="I39" s="117">
        <v>3.0</v>
      </c>
      <c r="J39" s="117">
        <v>3.0</v>
      </c>
      <c r="K39" s="128"/>
      <c r="L39" s="126">
        <v>17.0</v>
      </c>
      <c r="M39" s="119">
        <v>5.0</v>
      </c>
      <c r="N39" s="119">
        <v>4.0</v>
      </c>
      <c r="O39" s="119">
        <v>5.0</v>
      </c>
      <c r="P39" s="119">
        <v>5.0</v>
      </c>
      <c r="Q39" s="119">
        <v>3.0</v>
      </c>
      <c r="R39" s="119">
        <v>3.0</v>
      </c>
      <c r="S39" s="119">
        <v>2.0</v>
      </c>
      <c r="T39" s="119">
        <v>2.0</v>
      </c>
    </row>
    <row r="40">
      <c r="B40" s="126">
        <v>18.0</v>
      </c>
      <c r="C40" s="117">
        <v>5.0</v>
      </c>
      <c r="D40" s="117">
        <v>5.0</v>
      </c>
      <c r="E40" s="117">
        <v>6.0</v>
      </c>
      <c r="F40" s="117">
        <v>5.0</v>
      </c>
      <c r="G40" s="117">
        <v>5.0</v>
      </c>
      <c r="H40" s="117">
        <v>6.0</v>
      </c>
      <c r="I40" s="117">
        <v>4.0</v>
      </c>
      <c r="J40" s="117">
        <v>6.0</v>
      </c>
      <c r="K40" s="128"/>
      <c r="L40" s="126">
        <v>18.0</v>
      </c>
      <c r="M40" s="119">
        <v>7.0</v>
      </c>
      <c r="N40" s="119">
        <v>5.0</v>
      </c>
      <c r="O40" s="119">
        <v>6.0</v>
      </c>
      <c r="P40" s="119">
        <v>6.0</v>
      </c>
      <c r="Q40" s="119">
        <v>3.0</v>
      </c>
      <c r="R40" s="119">
        <v>3.0</v>
      </c>
      <c r="S40" s="119">
        <v>4.0</v>
      </c>
      <c r="T40" s="119">
        <v>6.0</v>
      </c>
    </row>
    <row r="41">
      <c r="B41" s="126">
        <v>19.0</v>
      </c>
      <c r="C41" s="117">
        <v>5.0</v>
      </c>
      <c r="D41" s="117">
        <v>5.0</v>
      </c>
      <c r="E41" s="117">
        <v>7.0</v>
      </c>
      <c r="F41" s="117">
        <v>5.0</v>
      </c>
      <c r="G41" s="117">
        <v>5.0</v>
      </c>
      <c r="H41" s="117">
        <v>6.0</v>
      </c>
      <c r="I41" s="117">
        <v>7.0</v>
      </c>
      <c r="J41" s="117">
        <v>5.0</v>
      </c>
      <c r="K41" s="128"/>
      <c r="L41" s="126">
        <v>19.0</v>
      </c>
      <c r="M41" s="119">
        <v>7.0</v>
      </c>
      <c r="N41" s="119">
        <v>6.0</v>
      </c>
      <c r="O41" s="119">
        <v>7.0</v>
      </c>
      <c r="P41" s="119">
        <v>7.0</v>
      </c>
      <c r="Q41" s="119">
        <v>5.0</v>
      </c>
      <c r="R41" s="119">
        <v>6.0</v>
      </c>
      <c r="S41" s="119">
        <v>6.0</v>
      </c>
      <c r="T41" s="119">
        <v>5.0</v>
      </c>
    </row>
    <row r="42">
      <c r="B42" s="126">
        <v>20.0</v>
      </c>
      <c r="C42" s="124">
        <v>5.0</v>
      </c>
      <c r="D42" s="124">
        <v>5.0</v>
      </c>
      <c r="E42" s="124">
        <v>7.0</v>
      </c>
      <c r="F42" s="124">
        <v>7.0</v>
      </c>
      <c r="G42" s="124">
        <v>5.0</v>
      </c>
      <c r="H42" s="124">
        <v>6.0</v>
      </c>
      <c r="I42" s="124">
        <v>5.0</v>
      </c>
      <c r="J42" s="124">
        <v>5.0</v>
      </c>
      <c r="K42" s="128"/>
      <c r="L42" s="126">
        <v>20.0</v>
      </c>
      <c r="M42" s="119">
        <v>6.0</v>
      </c>
      <c r="N42" s="119">
        <v>6.0</v>
      </c>
      <c r="O42" s="119">
        <v>4.0</v>
      </c>
      <c r="P42" s="119">
        <v>5.0</v>
      </c>
      <c r="Q42" s="119">
        <v>4.0</v>
      </c>
      <c r="R42" s="119">
        <v>6.0</v>
      </c>
      <c r="S42" s="119">
        <v>5.0</v>
      </c>
      <c r="T42" s="119">
        <v>4.0</v>
      </c>
    </row>
    <row r="43">
      <c r="B43" s="129">
        <v>21.0</v>
      </c>
      <c r="C43" s="124">
        <v>7.0</v>
      </c>
      <c r="D43" s="124">
        <v>6.0</v>
      </c>
      <c r="E43" s="124">
        <v>7.0</v>
      </c>
      <c r="F43" s="124">
        <v>6.0</v>
      </c>
      <c r="G43" s="124">
        <v>4.0</v>
      </c>
      <c r="H43" s="124">
        <v>6.0</v>
      </c>
      <c r="I43" s="124">
        <v>2.0</v>
      </c>
      <c r="J43" s="124">
        <v>4.0</v>
      </c>
      <c r="K43" s="128"/>
      <c r="L43" s="129">
        <v>21.0</v>
      </c>
      <c r="M43" s="119">
        <v>3.0</v>
      </c>
      <c r="N43" s="119">
        <v>4.0</v>
      </c>
      <c r="O43" s="119">
        <v>3.0</v>
      </c>
      <c r="P43" s="119">
        <v>2.0</v>
      </c>
      <c r="Q43" s="119">
        <v>4.0</v>
      </c>
      <c r="R43" s="119">
        <v>4.0</v>
      </c>
      <c r="S43" s="119">
        <v>2.0</v>
      </c>
      <c r="T43" s="119">
        <v>2.0</v>
      </c>
    </row>
    <row r="46">
      <c r="D46" s="130" t="s">
        <v>113</v>
      </c>
      <c r="E46" s="130" t="s">
        <v>114</v>
      </c>
      <c r="F46" s="130" t="s">
        <v>115</v>
      </c>
      <c r="G46" s="130" t="s">
        <v>116</v>
      </c>
    </row>
    <row r="47">
      <c r="C47" s="122">
        <v>1.0</v>
      </c>
      <c r="D47" s="36">
        <v>-0.38</v>
      </c>
      <c r="E47" s="80" t="str">
        <f t="shared" ref="E47:E66" si="1">IF(OR(D47&gt;$D$67+2*$D$68, D47&lt;$D$67-2*$D$68), "Outlier", "No")</f>
        <v>No</v>
      </c>
      <c r="F47" s="36">
        <v>-0.25</v>
      </c>
      <c r="G47" s="80" t="str">
        <f t="shared" ref="G47:G66" si="2">IF(OR(F47&gt;$F$67+2*$F$68, F47&lt;$F$67-2*$F$68), "Outlier", "No")</f>
        <v>No</v>
      </c>
    </row>
    <row r="48">
      <c r="C48" s="126">
        <v>2.0</v>
      </c>
      <c r="D48" s="36">
        <v>1.25</v>
      </c>
      <c r="E48" s="80" t="str">
        <f t="shared" si="1"/>
        <v>No</v>
      </c>
      <c r="F48" s="36">
        <v>1.5</v>
      </c>
      <c r="G48" s="80" t="str">
        <f t="shared" si="2"/>
        <v>No</v>
      </c>
    </row>
    <row r="49">
      <c r="C49" s="126">
        <v>4.0</v>
      </c>
      <c r="D49" s="36">
        <v>-0.25</v>
      </c>
      <c r="E49" s="80" t="str">
        <f t="shared" si="1"/>
        <v>No</v>
      </c>
      <c r="F49" s="36">
        <v>0.5</v>
      </c>
      <c r="G49" s="80" t="str">
        <f t="shared" si="2"/>
        <v>No</v>
      </c>
    </row>
    <row r="50">
      <c r="C50" s="126">
        <v>5.0</v>
      </c>
      <c r="D50" s="36">
        <v>-0.25</v>
      </c>
      <c r="E50" s="80" t="str">
        <f t="shared" si="1"/>
        <v>No</v>
      </c>
      <c r="F50" s="36">
        <v>0.38</v>
      </c>
      <c r="G50" s="80" t="str">
        <f t="shared" si="2"/>
        <v>No</v>
      </c>
    </row>
    <row r="51">
      <c r="C51" s="126">
        <v>6.0</v>
      </c>
      <c r="D51" s="36">
        <v>2.63</v>
      </c>
      <c r="E51" s="80" t="str">
        <f t="shared" si="1"/>
        <v>No</v>
      </c>
      <c r="F51" s="36">
        <v>2.63</v>
      </c>
      <c r="G51" s="80" t="str">
        <f t="shared" si="2"/>
        <v>No</v>
      </c>
    </row>
    <row r="52">
      <c r="C52" s="126">
        <v>7.0</v>
      </c>
      <c r="D52" s="36">
        <v>1.38</v>
      </c>
      <c r="E52" s="80" t="str">
        <f t="shared" si="1"/>
        <v>No</v>
      </c>
      <c r="F52" s="36">
        <v>0.0</v>
      </c>
      <c r="G52" s="80" t="str">
        <f t="shared" si="2"/>
        <v>No</v>
      </c>
    </row>
    <row r="53">
      <c r="C53" s="126">
        <v>8.0</v>
      </c>
      <c r="D53" s="36">
        <v>1.88</v>
      </c>
      <c r="E53" s="80" t="str">
        <f t="shared" si="1"/>
        <v>No</v>
      </c>
      <c r="F53" s="36">
        <v>1.25</v>
      </c>
      <c r="G53" s="80" t="str">
        <f t="shared" si="2"/>
        <v>No</v>
      </c>
    </row>
    <row r="54">
      <c r="C54" s="126">
        <v>9.0</v>
      </c>
      <c r="D54" s="36">
        <v>0.38</v>
      </c>
      <c r="E54" s="80" t="str">
        <f t="shared" si="1"/>
        <v>No</v>
      </c>
      <c r="F54" s="36">
        <v>-1.25</v>
      </c>
      <c r="G54" s="80" t="str">
        <f t="shared" si="2"/>
        <v>No</v>
      </c>
    </row>
    <row r="55">
      <c r="C55" s="126">
        <v>10.0</v>
      </c>
      <c r="D55" s="36">
        <v>0.5</v>
      </c>
      <c r="E55" s="80" t="str">
        <f t="shared" si="1"/>
        <v>No</v>
      </c>
      <c r="F55" s="36">
        <v>0.88</v>
      </c>
      <c r="G55" s="80" t="str">
        <f t="shared" si="2"/>
        <v>No</v>
      </c>
    </row>
    <row r="56">
      <c r="C56" s="126">
        <v>11.0</v>
      </c>
      <c r="D56" s="36">
        <v>0.63</v>
      </c>
      <c r="E56" s="80" t="str">
        <f t="shared" si="1"/>
        <v>No</v>
      </c>
      <c r="F56" s="36">
        <v>-0.25</v>
      </c>
      <c r="G56" s="80" t="str">
        <f t="shared" si="2"/>
        <v>No</v>
      </c>
    </row>
    <row r="57">
      <c r="C57" s="126">
        <v>12.0</v>
      </c>
      <c r="D57" s="36">
        <v>1.25</v>
      </c>
      <c r="E57" s="80" t="str">
        <f t="shared" si="1"/>
        <v>No</v>
      </c>
      <c r="F57" s="36">
        <v>1.25</v>
      </c>
      <c r="G57" s="80" t="str">
        <f t="shared" si="2"/>
        <v>No</v>
      </c>
    </row>
    <row r="58">
      <c r="C58" s="126">
        <v>13.0</v>
      </c>
      <c r="D58" s="36">
        <v>2.25</v>
      </c>
      <c r="E58" s="80" t="str">
        <f t="shared" si="1"/>
        <v>No</v>
      </c>
      <c r="F58" s="36">
        <v>2.25</v>
      </c>
      <c r="G58" s="80" t="str">
        <f t="shared" si="2"/>
        <v>No</v>
      </c>
    </row>
    <row r="59">
      <c r="C59" s="126">
        <v>14.0</v>
      </c>
      <c r="D59" s="36">
        <v>1.0</v>
      </c>
      <c r="E59" s="80" t="str">
        <f t="shared" si="1"/>
        <v>No</v>
      </c>
      <c r="F59" s="36">
        <v>0.38</v>
      </c>
      <c r="G59" s="80" t="str">
        <f t="shared" si="2"/>
        <v>No</v>
      </c>
    </row>
    <row r="60">
      <c r="C60" s="126">
        <v>15.0</v>
      </c>
      <c r="D60" s="36">
        <v>1.88</v>
      </c>
      <c r="E60" s="80" t="str">
        <f t="shared" si="1"/>
        <v>No</v>
      </c>
      <c r="F60" s="36">
        <v>1.63</v>
      </c>
      <c r="G60" s="80" t="str">
        <f t="shared" si="2"/>
        <v>No</v>
      </c>
    </row>
    <row r="61">
      <c r="C61" s="126">
        <v>16.0</v>
      </c>
      <c r="D61" s="36">
        <v>0.75</v>
      </c>
      <c r="E61" s="80" t="str">
        <f t="shared" si="1"/>
        <v>No</v>
      </c>
      <c r="F61" s="36">
        <v>0.63</v>
      </c>
      <c r="G61" s="80" t="str">
        <f t="shared" si="2"/>
        <v>No</v>
      </c>
    </row>
    <row r="62">
      <c r="C62" s="126">
        <v>17.0</v>
      </c>
      <c r="D62" s="36">
        <v>0.63</v>
      </c>
      <c r="E62" s="80" t="str">
        <f t="shared" si="1"/>
        <v>No</v>
      </c>
      <c r="F62" s="36">
        <v>-0.38</v>
      </c>
      <c r="G62" s="80" t="str">
        <f t="shared" si="2"/>
        <v>No</v>
      </c>
    </row>
    <row r="63">
      <c r="C63" s="126">
        <v>18.0</v>
      </c>
      <c r="D63" s="36">
        <v>1.25</v>
      </c>
      <c r="E63" s="80" t="str">
        <f t="shared" si="1"/>
        <v>No</v>
      </c>
      <c r="F63" s="36">
        <v>1.0</v>
      </c>
      <c r="G63" s="80" t="str">
        <f t="shared" si="2"/>
        <v>No</v>
      </c>
    </row>
    <row r="64">
      <c r="C64" s="126">
        <v>19.0</v>
      </c>
      <c r="D64" s="36">
        <v>1.63</v>
      </c>
      <c r="E64" s="80" t="str">
        <f t="shared" si="1"/>
        <v>No</v>
      </c>
      <c r="F64" s="36">
        <v>2.13</v>
      </c>
      <c r="G64" s="80" t="str">
        <f t="shared" si="2"/>
        <v>No</v>
      </c>
    </row>
    <row r="65">
      <c r="C65" s="126">
        <v>20.0</v>
      </c>
      <c r="D65" s="36">
        <v>1.63</v>
      </c>
      <c r="E65" s="80" t="str">
        <f t="shared" si="1"/>
        <v>No</v>
      </c>
      <c r="F65" s="36">
        <v>1.0</v>
      </c>
      <c r="G65" s="80" t="str">
        <f t="shared" si="2"/>
        <v>No</v>
      </c>
    </row>
    <row r="66">
      <c r="C66" s="129">
        <v>21.0</v>
      </c>
      <c r="D66" s="36">
        <v>1.25</v>
      </c>
      <c r="E66" s="80" t="str">
        <f t="shared" si="1"/>
        <v>No</v>
      </c>
      <c r="F66" s="36">
        <v>-1.0</v>
      </c>
      <c r="G66" s="80" t="str">
        <f t="shared" si="2"/>
        <v>No</v>
      </c>
    </row>
    <row r="67">
      <c r="C67" s="22" t="s">
        <v>139</v>
      </c>
      <c r="D67" s="26">
        <v>1.065</v>
      </c>
      <c r="F67" s="26">
        <v>0.714</v>
      </c>
    </row>
    <row r="68">
      <c r="C68" s="22" t="s">
        <v>144</v>
      </c>
      <c r="D68" s="26">
        <v>0.823</v>
      </c>
      <c r="F68" s="26">
        <v>1.049</v>
      </c>
    </row>
  </sheetData>
  <mergeCells count="2">
    <mergeCell ref="C23:J23"/>
    <mergeCell ref="M23:T23"/>
  </mergeCells>
  <conditionalFormatting sqref="E47:E66">
    <cfRule type="containsText" dxfId="1" priority="1" operator="containsText" text="Outlier">
      <formula>NOT(ISERROR(SEARCH(("Outlier"),(E47))))</formula>
    </cfRule>
  </conditionalFormatting>
  <conditionalFormatting sqref="G47:G66">
    <cfRule type="containsText" dxfId="1" priority="2" operator="containsText" text="Outlier">
      <formula>NOT(ISERROR(SEARCH(("Outlier"),(G47))))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7.63"/>
    <col customWidth="1" min="2" max="2" width="8.13"/>
    <col customWidth="1" min="3" max="3" width="10.25"/>
    <col customWidth="1" min="4" max="4" width="10.63"/>
    <col customWidth="1" min="5" max="5" width="10.25"/>
    <col customWidth="1" min="6" max="6" width="10.63"/>
    <col customWidth="1" min="7" max="7" width="10.25"/>
    <col customWidth="1" min="8" max="8" width="9.5"/>
    <col customWidth="1" min="9" max="9" width="10.25"/>
    <col customWidth="1" min="10" max="10" width="5.5"/>
    <col customWidth="1" min="11" max="11" width="10.25"/>
    <col customWidth="1" min="12" max="12" width="8.0"/>
    <col customWidth="1" min="13" max="13" width="10.25"/>
    <col customWidth="1" min="14" max="14" width="5.5"/>
    <col customWidth="1" min="15" max="15" width="10.25"/>
    <col customWidth="1" min="16" max="16" width="8.0"/>
    <col customWidth="1" min="17" max="17" width="10.25"/>
    <col customWidth="1" min="18" max="18" width="5.5"/>
    <col customWidth="1" min="19" max="19" width="10.25"/>
    <col customWidth="1" min="20" max="20" width="14.88"/>
    <col customWidth="1" min="21" max="21" width="10.25"/>
    <col customWidth="1" min="22" max="22" width="5.5"/>
    <col customWidth="1" min="23" max="23" width="10.25"/>
    <col customWidth="1" min="24" max="24" width="13.13"/>
    <col customWidth="1" min="25" max="25" width="13.63"/>
    <col customWidth="1" min="26" max="26" width="6.0"/>
    <col customWidth="1" min="27" max="27" width="13.38"/>
    <col customWidth="1" min="28" max="28" width="6.13"/>
    <col customWidth="1" min="29" max="29" width="13.5"/>
    <col customWidth="1" min="30" max="30" width="5.88"/>
    <col customWidth="1" min="31" max="31" width="13.5"/>
    <col customWidth="1" min="32" max="32" width="9.5"/>
    <col customWidth="1" min="33" max="33" width="13.63"/>
    <col customWidth="1" min="34" max="34" width="6.0"/>
    <col customWidth="1" min="35" max="35" width="13.38"/>
    <col customWidth="1" min="36" max="36" width="6.13"/>
    <col customWidth="1" min="37" max="37" width="13.5"/>
    <col customWidth="1" min="38" max="38" width="5.88"/>
    <col customWidth="1" min="39" max="39" width="13.5"/>
    <col customWidth="1" min="40" max="40" width="6.13"/>
    <col customWidth="1" min="41" max="41" width="13.63"/>
    <col customWidth="1" min="42" max="42" width="6.0"/>
    <col customWidth="1" min="43" max="43" width="13.38"/>
    <col customWidth="1" min="44" max="44" width="6.13"/>
    <col customWidth="1" min="45" max="45" width="13.5"/>
    <col customWidth="1" min="46" max="46" width="5.88"/>
    <col customWidth="1" min="47" max="47" width="13.5"/>
    <col customWidth="1" min="48" max="48" width="6.38"/>
    <col customWidth="1" min="49" max="49" width="13.63"/>
    <col customWidth="1" min="50" max="50" width="6.0"/>
    <col customWidth="1" min="51" max="51" width="13.38"/>
    <col customWidth="1" min="52" max="52" width="6.13"/>
    <col customWidth="1" min="53" max="53" width="13.5"/>
    <col customWidth="1" min="54" max="54" width="5.88"/>
    <col customWidth="1" min="55" max="55" width="13.5"/>
    <col customWidth="1" min="56" max="56" width="14.88"/>
    <col customWidth="1" min="57" max="57" width="13.63"/>
    <col customWidth="1" min="58" max="58" width="6.0"/>
    <col customWidth="1" min="59" max="59" width="13.38"/>
    <col customWidth="1" min="60" max="60" width="6.13"/>
    <col customWidth="1" min="61" max="61" width="13.5"/>
    <col customWidth="1" min="62" max="62" width="5.88"/>
    <col customWidth="1" min="63" max="63" width="13.5"/>
    <col customWidth="1" min="64" max="64" width="5.13"/>
    <col customWidth="1" min="65" max="65" width="7.13"/>
    <col customWidth="1" min="66" max="66" width="9.38"/>
    <col customWidth="1" min="67" max="67" width="7.0"/>
    <col customWidth="1" min="68" max="68" width="5.13"/>
    <col customWidth="1" min="69" max="69" width="7.13"/>
    <col customWidth="1" min="70" max="70" width="6.25"/>
    <col customWidth="1" min="71" max="71" width="7.0"/>
    <col customWidth="1" min="72" max="72" width="14.88"/>
    <col customWidth="1" min="73" max="73" width="7.13"/>
  </cols>
  <sheetData>
    <row r="1">
      <c r="A1" s="22"/>
      <c r="B1" s="26"/>
      <c r="C1" s="26"/>
      <c r="D1" s="131" t="s">
        <v>145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3"/>
      <c r="X1" s="134" t="s">
        <v>146</v>
      </c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3"/>
      <c r="BL1" s="135" t="s">
        <v>147</v>
      </c>
      <c r="BM1" s="132"/>
      <c r="BN1" s="132"/>
      <c r="BO1" s="132"/>
      <c r="BP1" s="132"/>
      <c r="BQ1" s="132"/>
      <c r="BR1" s="132"/>
      <c r="BS1" s="132"/>
      <c r="BT1" s="132"/>
      <c r="BU1" s="133"/>
      <c r="BV1" s="26"/>
      <c r="BW1" s="26"/>
      <c r="BX1" s="26"/>
      <c r="BY1" s="26"/>
      <c r="BZ1" s="26"/>
      <c r="CA1" s="26"/>
      <c r="CB1" s="26"/>
      <c r="CC1" s="26"/>
      <c r="CD1" s="26"/>
      <c r="CE1" s="26"/>
    </row>
    <row r="2">
      <c r="A2" s="136" t="s">
        <v>145</v>
      </c>
      <c r="B2" s="137" t="s">
        <v>146</v>
      </c>
      <c r="C2" s="137" t="s">
        <v>147</v>
      </c>
      <c r="D2" s="138" t="s">
        <v>86</v>
      </c>
      <c r="E2" s="132"/>
      <c r="F2" s="132"/>
      <c r="G2" s="133"/>
      <c r="H2" s="139" t="s">
        <v>148</v>
      </c>
      <c r="I2" s="132"/>
      <c r="J2" s="132"/>
      <c r="K2" s="133"/>
      <c r="L2" s="140" t="s">
        <v>149</v>
      </c>
      <c r="M2" s="132"/>
      <c r="N2" s="132"/>
      <c r="O2" s="133"/>
      <c r="P2" s="141" t="s">
        <v>150</v>
      </c>
      <c r="Q2" s="132"/>
      <c r="R2" s="132"/>
      <c r="S2" s="133"/>
      <c r="T2" s="142" t="s">
        <v>95</v>
      </c>
      <c r="U2" s="132"/>
      <c r="V2" s="132"/>
      <c r="W2" s="133"/>
      <c r="X2" s="138" t="s">
        <v>151</v>
      </c>
      <c r="Y2" s="132"/>
      <c r="Z2" s="132"/>
      <c r="AA2" s="132"/>
      <c r="AB2" s="132"/>
      <c r="AC2" s="132"/>
      <c r="AD2" s="132"/>
      <c r="AE2" s="133"/>
      <c r="AF2" s="139" t="s">
        <v>148</v>
      </c>
      <c r="AG2" s="132"/>
      <c r="AH2" s="132"/>
      <c r="AI2" s="132"/>
      <c r="AJ2" s="132"/>
      <c r="AK2" s="132"/>
      <c r="AL2" s="132"/>
      <c r="AM2" s="133"/>
      <c r="AN2" s="140" t="s">
        <v>149</v>
      </c>
      <c r="AO2" s="132"/>
      <c r="AP2" s="132"/>
      <c r="AQ2" s="132"/>
      <c r="AR2" s="132"/>
      <c r="AS2" s="132"/>
      <c r="AT2" s="132"/>
      <c r="AU2" s="133"/>
      <c r="AV2" s="141" t="s">
        <v>150</v>
      </c>
      <c r="AW2" s="132"/>
      <c r="AX2" s="132"/>
      <c r="AY2" s="132"/>
      <c r="AZ2" s="132"/>
      <c r="BA2" s="132"/>
      <c r="BB2" s="132"/>
      <c r="BC2" s="133"/>
      <c r="BD2" s="142" t="s">
        <v>95</v>
      </c>
      <c r="BE2" s="132"/>
      <c r="BF2" s="132"/>
      <c r="BG2" s="132"/>
      <c r="BH2" s="132"/>
      <c r="BI2" s="132"/>
      <c r="BJ2" s="132"/>
      <c r="BK2" s="133"/>
      <c r="BL2" s="143" t="s">
        <v>86</v>
      </c>
      <c r="BM2" s="144"/>
      <c r="BN2" s="145" t="s">
        <v>148</v>
      </c>
      <c r="BO2" s="144"/>
      <c r="BP2" s="29" t="s">
        <v>149</v>
      </c>
      <c r="BQ2" s="146"/>
      <c r="BR2" s="121" t="s">
        <v>150</v>
      </c>
      <c r="BT2" s="147" t="s">
        <v>95</v>
      </c>
      <c r="BU2" s="144"/>
      <c r="BV2" s="26"/>
      <c r="BW2" s="26"/>
      <c r="BX2" s="26"/>
      <c r="BY2" s="26"/>
      <c r="BZ2" s="26"/>
      <c r="CA2" s="26"/>
      <c r="CB2" s="26"/>
      <c r="CC2" s="26"/>
      <c r="CD2" s="26"/>
      <c r="CE2" s="26"/>
    </row>
    <row r="3">
      <c r="A3" s="148" t="s">
        <v>152</v>
      </c>
      <c r="B3" s="148" t="s">
        <v>152</v>
      </c>
      <c r="C3" s="43" t="s">
        <v>153</v>
      </c>
      <c r="D3" s="149" t="s">
        <v>113</v>
      </c>
      <c r="E3" s="150" t="s">
        <v>114</v>
      </c>
      <c r="F3" s="150" t="s">
        <v>115</v>
      </c>
      <c r="G3" s="151" t="s">
        <v>116</v>
      </c>
      <c r="H3" s="152" t="s">
        <v>113</v>
      </c>
      <c r="I3" s="43" t="s">
        <v>114</v>
      </c>
      <c r="J3" s="43" t="s">
        <v>115</v>
      </c>
      <c r="K3" s="148" t="s">
        <v>116</v>
      </c>
      <c r="L3" s="153" t="s">
        <v>113</v>
      </c>
      <c r="M3" s="154" t="s">
        <v>114</v>
      </c>
      <c r="N3" s="154" t="s">
        <v>115</v>
      </c>
      <c r="O3" s="155" t="s">
        <v>116</v>
      </c>
      <c r="P3" s="152" t="s">
        <v>113</v>
      </c>
      <c r="Q3" s="43" t="s">
        <v>114</v>
      </c>
      <c r="R3" s="43" t="s">
        <v>115</v>
      </c>
      <c r="S3" s="148" t="s">
        <v>116</v>
      </c>
      <c r="T3" s="152" t="s">
        <v>113</v>
      </c>
      <c r="U3" s="43" t="s">
        <v>114</v>
      </c>
      <c r="V3" s="43" t="s">
        <v>115</v>
      </c>
      <c r="W3" s="148" t="s">
        <v>116</v>
      </c>
      <c r="X3" s="152" t="s">
        <v>154</v>
      </c>
      <c r="Y3" s="43" t="s">
        <v>155</v>
      </c>
      <c r="Z3" s="43" t="s">
        <v>156</v>
      </c>
      <c r="AA3" s="43" t="s">
        <v>157</v>
      </c>
      <c r="AB3" s="43" t="s">
        <v>158</v>
      </c>
      <c r="AC3" s="43" t="s">
        <v>159</v>
      </c>
      <c r="AD3" s="43" t="s">
        <v>160</v>
      </c>
      <c r="AE3" s="148" t="s">
        <v>161</v>
      </c>
      <c r="AF3" s="152" t="s">
        <v>154</v>
      </c>
      <c r="AG3" s="43" t="s">
        <v>155</v>
      </c>
      <c r="AH3" s="43" t="s">
        <v>156</v>
      </c>
      <c r="AI3" s="43" t="s">
        <v>157</v>
      </c>
      <c r="AJ3" s="43" t="s">
        <v>158</v>
      </c>
      <c r="AK3" s="43" t="s">
        <v>159</v>
      </c>
      <c r="AL3" s="43" t="s">
        <v>160</v>
      </c>
      <c r="AM3" s="148" t="s">
        <v>161</v>
      </c>
      <c r="AN3" s="152" t="s">
        <v>154</v>
      </c>
      <c r="AO3" s="43" t="s">
        <v>155</v>
      </c>
      <c r="AP3" s="43" t="s">
        <v>156</v>
      </c>
      <c r="AQ3" s="43" t="s">
        <v>157</v>
      </c>
      <c r="AR3" s="43" t="s">
        <v>158</v>
      </c>
      <c r="AS3" s="43" t="s">
        <v>159</v>
      </c>
      <c r="AT3" s="43" t="s">
        <v>160</v>
      </c>
      <c r="AU3" s="148" t="s">
        <v>161</v>
      </c>
      <c r="AV3" s="152" t="s">
        <v>154</v>
      </c>
      <c r="AW3" s="43" t="s">
        <v>155</v>
      </c>
      <c r="AX3" s="43" t="s">
        <v>156</v>
      </c>
      <c r="AY3" s="43" t="s">
        <v>157</v>
      </c>
      <c r="AZ3" s="43" t="s">
        <v>158</v>
      </c>
      <c r="BA3" s="43" t="s">
        <v>159</v>
      </c>
      <c r="BB3" s="43" t="s">
        <v>160</v>
      </c>
      <c r="BC3" s="148" t="s">
        <v>161</v>
      </c>
      <c r="BD3" s="152" t="s">
        <v>154</v>
      </c>
      <c r="BE3" s="43" t="s">
        <v>155</v>
      </c>
      <c r="BF3" s="43" t="s">
        <v>156</v>
      </c>
      <c r="BG3" s="43" t="s">
        <v>157</v>
      </c>
      <c r="BH3" s="43" t="s">
        <v>158</v>
      </c>
      <c r="BI3" s="43" t="s">
        <v>159</v>
      </c>
      <c r="BJ3" s="43" t="s">
        <v>160</v>
      </c>
      <c r="BK3" s="148" t="s">
        <v>161</v>
      </c>
      <c r="BL3" s="152"/>
      <c r="BM3" s="148" t="s">
        <v>162</v>
      </c>
      <c r="BN3" s="152"/>
      <c r="BO3" s="148" t="s">
        <v>162</v>
      </c>
      <c r="BP3" s="43"/>
      <c r="BQ3" s="148" t="s">
        <v>162</v>
      </c>
      <c r="BR3" s="43"/>
      <c r="BS3" s="43" t="s">
        <v>162</v>
      </c>
      <c r="BT3" s="152"/>
      <c r="BU3" s="148" t="s">
        <v>162</v>
      </c>
      <c r="BV3" s="26"/>
      <c r="BW3" s="26"/>
      <c r="BX3" s="26"/>
      <c r="BY3" s="26"/>
      <c r="BZ3" s="26"/>
      <c r="CA3" s="26"/>
      <c r="CB3" s="26"/>
      <c r="CC3" s="26"/>
      <c r="CD3" s="26"/>
      <c r="CE3" s="26"/>
    </row>
    <row r="4">
      <c r="A4" s="156" t="s">
        <v>138</v>
      </c>
      <c r="B4" s="157">
        <v>1.0</v>
      </c>
      <c r="C4" s="158" t="s">
        <v>163</v>
      </c>
      <c r="D4" s="159">
        <v>5.0</v>
      </c>
      <c r="E4" s="68" t="s">
        <v>152</v>
      </c>
      <c r="F4" s="68">
        <v>3.0</v>
      </c>
      <c r="G4" s="160" t="s">
        <v>152</v>
      </c>
      <c r="H4" s="161">
        <v>38.88888888888889</v>
      </c>
      <c r="I4" s="88" t="s">
        <v>152</v>
      </c>
      <c r="J4" s="88">
        <v>41.666666666666664</v>
      </c>
      <c r="K4" s="162" t="s">
        <v>152</v>
      </c>
      <c r="L4" s="161">
        <v>72.5</v>
      </c>
      <c r="M4" s="88" t="s">
        <v>152</v>
      </c>
      <c r="N4" s="88">
        <v>65.0</v>
      </c>
      <c r="O4" s="162" t="s">
        <v>152</v>
      </c>
      <c r="P4" s="163">
        <v>-0.38</v>
      </c>
      <c r="Q4" s="68" t="s">
        <v>152</v>
      </c>
      <c r="R4" s="36">
        <v>-0.25</v>
      </c>
      <c r="S4" s="160" t="s">
        <v>152</v>
      </c>
      <c r="T4" s="161">
        <v>50.0</v>
      </c>
      <c r="U4" s="88" t="str">
        <f t="shared" ref="U4:U23" si="1">IF(OR(T4&gt;$T$24+2*$T$25, T4&lt;$T$24-2*$T$25), "Outlier", "No")</f>
        <v>No</v>
      </c>
      <c r="V4" s="88">
        <v>33.333333333333336</v>
      </c>
      <c r="W4" s="160" t="str">
        <f t="shared" ref="W4:W23" si="2">IF(OR(V4&gt;$V$24+2*$V$25, V4&lt;$V$24-2*$V$25), "Outlier", "No")</f>
        <v>No</v>
      </c>
      <c r="X4" s="163">
        <v>5.0</v>
      </c>
      <c r="Y4" s="36" t="str">
        <f t="shared" ref="Y4:Y13" si="3">IF(OR(X4&gt;$X$14+2*$X$15, X4&lt;$X$14-2*$X$15), "Outlier", "No")</f>
        <v>No</v>
      </c>
      <c r="Z4" s="36">
        <v>5.0</v>
      </c>
      <c r="AA4" s="36" t="str">
        <f t="shared" ref="AA4:AA13" si="4">IF(OR(Z4&gt;$Z$14+2*$Z$15, Z4&lt;$Z$14-2*$Z$15), "Outlier", "No")</f>
        <v>No</v>
      </c>
      <c r="AB4" s="36">
        <v>3.0</v>
      </c>
      <c r="AC4" s="36" t="str">
        <f t="shared" ref="AC4:AC13" si="5">IF(OR(AB4&gt;$AB$14+2*$AB$15, AB4&lt;$AB$14-2*$AB$15), "Outlier", "No")</f>
        <v>No</v>
      </c>
      <c r="AD4" s="36">
        <v>3.0</v>
      </c>
      <c r="AE4" s="164" t="str">
        <f t="shared" ref="AE4:AE13" si="6">IF(OR(AD4&gt;$AD$14+2*$AD$15, AD4&lt;$AD$14-2*$AD$15), "Outlier", "No")</f>
        <v>No</v>
      </c>
      <c r="AF4" s="163">
        <v>38.89</v>
      </c>
      <c r="AG4" s="68" t="str">
        <f t="shared" ref="AG4:AG13" si="7">IF(OR(AF4&gt;$AF$14+2*$AF$15, AF4&lt;$AF$14-2*$AF$15), "Outlier", "No")</f>
        <v>No</v>
      </c>
      <c r="AH4" s="36">
        <v>41.67</v>
      </c>
      <c r="AI4" s="68" t="str">
        <f t="shared" ref="AI4:AI13" si="8">IF(OR(AH4&gt;$AH$14+2*$AH$15, AH4&lt;$AH$14-2*$AH$15), "Outlier", "No")</f>
        <v>No</v>
      </c>
      <c r="AJ4" s="36">
        <v>66.67</v>
      </c>
      <c r="AK4" s="68" t="str">
        <f t="shared" ref="AK4:AK13" si="9">IF(OR(AJ4&gt;$AJ$14+2*$AJ$15, AJ4&lt;$AJ$14-2*$AJ$15), "Outlier", "No")</f>
        <v>No</v>
      </c>
      <c r="AL4" s="36">
        <v>41.67</v>
      </c>
      <c r="AM4" s="164" t="str">
        <f t="shared" ref="AM4:AM13" si="10">IF(OR(AL4&gt;$AL$14+2*$AL$15, AL4&lt;$AL$14-2*$AL$15), "Outlier", "No")</f>
        <v>No</v>
      </c>
      <c r="AN4" s="163">
        <v>72.5</v>
      </c>
      <c r="AO4" s="68" t="str">
        <f t="shared" ref="AO4:AO13" si="11">IF(OR(AN4&gt;$AN$14+2*$AN$15, AN4&lt;$AN$14-2*$AN$15), "Outlier", "No")</f>
        <v>No</v>
      </c>
      <c r="AP4" s="36">
        <v>90.0</v>
      </c>
      <c r="AQ4" s="68" t="str">
        <f t="shared" ref="AQ4:AQ13" si="12">IF(OR(AP4&gt;$AP$14+2*$AP$15, AP4&lt;$AP$14-2*$AP$15), "Outlier", "No")</f>
        <v>No</v>
      </c>
      <c r="AR4" s="36">
        <v>52.5</v>
      </c>
      <c r="AS4" s="68" t="str">
        <f t="shared" ref="AS4:AS13" si="13">IF(OR(AR4&gt;$AR$14+2*$AR$15, AR4&lt;$AR$14-2*$AR$15), "Outlier", "No")</f>
        <v>No</v>
      </c>
      <c r="AT4" s="36">
        <v>65.0</v>
      </c>
      <c r="AU4" s="164" t="str">
        <f t="shared" ref="AU4:AU13" si="14">IF(OR(AT4&gt;$AT$14+2*$AT$15, AT4&lt;$AT$14-2*$AT$15), "Outlier", "No")</f>
        <v>No</v>
      </c>
      <c r="AV4" s="163">
        <v>-0.38</v>
      </c>
      <c r="AW4" s="68" t="str">
        <f t="shared" ref="AW4:AW13" si="15">IF(OR(AV4&gt;$AV$14+2*$AV$15, AV4&lt;$AV$14-2*$AV$15), "Outlier", "No")</f>
        <v>No</v>
      </c>
      <c r="AX4" s="36">
        <v>1.5</v>
      </c>
      <c r="AY4" s="68" t="str">
        <f t="shared" ref="AY4:AY13" si="16">IF(OR(AX4&gt;$AX$14+2*$AX$15, AX4&lt;$AX$14-2*$AX$15), "Outlier", "No")</f>
        <v>No</v>
      </c>
      <c r="AZ4" s="36">
        <v>1.25</v>
      </c>
      <c r="BA4" s="68" t="str">
        <f t="shared" ref="BA4:BA13" si="17">IF(OR(AZ4&gt;$AZ$14+2*$AZ$15, AZ4&lt;$AZ$14-2*$AZ$15), "Outlier", "No")</f>
        <v>No</v>
      </c>
      <c r="BB4" s="36">
        <v>-0.25</v>
      </c>
      <c r="BC4" s="164" t="str">
        <f t="shared" ref="BC4:BC13" si="18">IF(OR(BB4&gt;$BB$14+2*$BB$15, BB4&lt;$BB$14-2*$BB$15), "Outlier", "No")</f>
        <v>No</v>
      </c>
      <c r="BD4" s="163">
        <v>50.0</v>
      </c>
      <c r="BE4" s="68" t="str">
        <f t="shared" ref="BE4:BE13" si="19">IF(OR(BD4&gt;$BD$14+2*$BD$15, BD4&lt;$BD$14-2*$BD$15), "Outlier", "No")</f>
        <v>No</v>
      </c>
      <c r="BF4" s="36">
        <v>33.33</v>
      </c>
      <c r="BG4" s="68" t="str">
        <f t="shared" ref="BG4:BG13" si="20">IF(OR(BF4&gt;$BF$14+2*$BF$15, BF4&lt;$BF$14-2*$BF$15), "Outlier", "No")</f>
        <v>No</v>
      </c>
      <c r="BH4" s="165">
        <v>83.33</v>
      </c>
      <c r="BI4" s="68" t="str">
        <f t="shared" ref="BI4:BI13" si="21">IF(OR(BH4&gt;$BH$14+2*$BH$15, BH4&lt;$BH$14-2*$BH$15), "Outlier", "No")</f>
        <v>Outlier</v>
      </c>
      <c r="BJ4" s="36">
        <v>33.33</v>
      </c>
      <c r="BK4" s="164" t="str">
        <f t="shared" ref="BK4:BK13" si="22">IF(OR(BJ4&gt;$BJ$14+2*$BJ$15, BJ4&lt;$BJ$14-2*$BJ$15), "Outlier", "No")</f>
        <v>No</v>
      </c>
      <c r="BL4" s="163">
        <v>5.0</v>
      </c>
      <c r="BM4" s="164" t="str">
        <f t="shared" ref="BM4:BM43" si="23">IF(OR(BL4&gt;$BL$44+2*$BL$45, BL4&lt;$BL$44-2*$BL$45), "Outlier", "No")</f>
        <v>No</v>
      </c>
      <c r="BN4" s="163">
        <v>38.89</v>
      </c>
      <c r="BO4" s="164" t="str">
        <f t="shared" ref="BO4:BO43" si="24">IF(OR(BN4&gt;$BN$44+2*$BN$45, BN4&lt;$BN$44-2*$BN$45), "Outlier", "No")</f>
        <v>No</v>
      </c>
      <c r="BP4" s="36">
        <v>72.5</v>
      </c>
      <c r="BQ4" s="164" t="str">
        <f t="shared" ref="BQ4:BQ43" si="25">IF(OR(BP4&gt;$BP$44+2*$BP$45, BP4&lt;$BP$44-2*$BP$45), "Outlier", "No")</f>
        <v>No</v>
      </c>
      <c r="BR4" s="36">
        <v>-0.38</v>
      </c>
      <c r="BS4" s="36" t="str">
        <f t="shared" ref="BS4:BS43" si="26">IF(OR(BR4&gt;$BR$44+2*$BR$45, BR4&lt;$BR$44-2*$BR$45), "Outlier", "No")</f>
        <v>No</v>
      </c>
      <c r="BT4" s="163">
        <v>50.0</v>
      </c>
      <c r="BU4" s="164" t="str">
        <f t="shared" ref="BU4:BU43" si="27">IF(OR(BT4&gt;$BT$44+2*$BT$45, BT4&lt;$BT$44-2*$BT$45), "Outlier", "No")</f>
        <v>No</v>
      </c>
      <c r="BV4" s="36"/>
      <c r="BW4" s="36"/>
      <c r="BX4" s="36"/>
      <c r="BY4" s="36"/>
      <c r="BZ4" s="36"/>
      <c r="CA4" s="36"/>
      <c r="CB4" s="36"/>
      <c r="CC4" s="36"/>
      <c r="CD4" s="36"/>
      <c r="CE4" s="36"/>
    </row>
    <row r="5">
      <c r="A5" s="156" t="s">
        <v>121</v>
      </c>
      <c r="B5" s="157">
        <v>2.0</v>
      </c>
      <c r="C5" s="166" t="s">
        <v>163</v>
      </c>
      <c r="D5" s="167">
        <v>3.0</v>
      </c>
      <c r="E5" s="68" t="s">
        <v>164</v>
      </c>
      <c r="F5" s="68">
        <v>5.0</v>
      </c>
      <c r="G5" s="160" t="s">
        <v>152</v>
      </c>
      <c r="H5" s="168">
        <v>66.66666666666667</v>
      </c>
      <c r="I5" s="88" t="s">
        <v>164</v>
      </c>
      <c r="J5" s="88">
        <v>41.666666666666664</v>
      </c>
      <c r="K5" s="162" t="s">
        <v>152</v>
      </c>
      <c r="L5" s="168">
        <v>52.5</v>
      </c>
      <c r="M5" s="88" t="s">
        <v>164</v>
      </c>
      <c r="N5" s="88">
        <v>90.0</v>
      </c>
      <c r="O5" s="162" t="s">
        <v>152</v>
      </c>
      <c r="P5" s="163">
        <v>1.25</v>
      </c>
      <c r="Q5" s="68" t="s">
        <v>152</v>
      </c>
      <c r="R5" s="36">
        <v>1.5</v>
      </c>
      <c r="S5" s="160" t="s">
        <v>152</v>
      </c>
      <c r="T5" s="161">
        <v>83.33333333333333</v>
      </c>
      <c r="U5" s="88" t="str">
        <f t="shared" si="1"/>
        <v>Outlier</v>
      </c>
      <c r="V5" s="88">
        <v>33.333333333333336</v>
      </c>
      <c r="W5" s="160" t="str">
        <f t="shared" si="2"/>
        <v>No</v>
      </c>
      <c r="X5" s="163">
        <v>5.0</v>
      </c>
      <c r="Y5" s="36" t="str">
        <f t="shared" si="3"/>
        <v>No</v>
      </c>
      <c r="Z5" s="36">
        <v>6.0</v>
      </c>
      <c r="AA5" s="36" t="str">
        <f t="shared" si="4"/>
        <v>No</v>
      </c>
      <c r="AB5" s="36">
        <v>5.0</v>
      </c>
      <c r="AC5" s="36" t="str">
        <f t="shared" si="5"/>
        <v>No</v>
      </c>
      <c r="AD5" s="36">
        <v>3.0</v>
      </c>
      <c r="AE5" s="164" t="str">
        <f t="shared" si="6"/>
        <v>No</v>
      </c>
      <c r="AF5" s="163">
        <v>38.89</v>
      </c>
      <c r="AG5" s="68" t="str">
        <f t="shared" si="7"/>
        <v>No</v>
      </c>
      <c r="AH5" s="36">
        <v>25.0</v>
      </c>
      <c r="AI5" s="68" t="str">
        <f t="shared" si="8"/>
        <v>No</v>
      </c>
      <c r="AJ5" s="36">
        <v>30.56</v>
      </c>
      <c r="AK5" s="68" t="str">
        <f t="shared" si="9"/>
        <v>No</v>
      </c>
      <c r="AL5" s="36">
        <v>52.78</v>
      </c>
      <c r="AM5" s="164" t="str">
        <f t="shared" si="10"/>
        <v>No</v>
      </c>
      <c r="AN5" s="163">
        <v>75.0</v>
      </c>
      <c r="AO5" s="68" t="str">
        <f t="shared" si="11"/>
        <v>No</v>
      </c>
      <c r="AP5" s="36">
        <v>97.5</v>
      </c>
      <c r="AQ5" s="68" t="str">
        <f t="shared" si="12"/>
        <v>No</v>
      </c>
      <c r="AR5" s="36">
        <v>95.0</v>
      </c>
      <c r="AS5" s="68" t="str">
        <f t="shared" si="13"/>
        <v>No</v>
      </c>
      <c r="AT5" s="36">
        <v>70.0</v>
      </c>
      <c r="AU5" s="164" t="str">
        <f t="shared" si="14"/>
        <v>No</v>
      </c>
      <c r="AV5" s="163">
        <v>-0.25</v>
      </c>
      <c r="AW5" s="68" t="str">
        <f t="shared" si="15"/>
        <v>No</v>
      </c>
      <c r="AX5" s="36">
        <v>2.63</v>
      </c>
      <c r="AY5" s="68" t="str">
        <f t="shared" si="16"/>
        <v>No</v>
      </c>
      <c r="AZ5" s="165">
        <v>2.63</v>
      </c>
      <c r="BA5" s="68" t="str">
        <f t="shared" si="17"/>
        <v>Outlier</v>
      </c>
      <c r="BB5" s="36">
        <v>0.38</v>
      </c>
      <c r="BC5" s="164" t="str">
        <f t="shared" si="18"/>
        <v>No</v>
      </c>
      <c r="BD5" s="163">
        <v>50.0</v>
      </c>
      <c r="BE5" s="68" t="str">
        <f t="shared" si="19"/>
        <v>No</v>
      </c>
      <c r="BF5" s="36">
        <v>16.67</v>
      </c>
      <c r="BG5" s="68" t="str">
        <f t="shared" si="20"/>
        <v>No</v>
      </c>
      <c r="BH5" s="36">
        <v>33.33</v>
      </c>
      <c r="BI5" s="68" t="str">
        <f t="shared" si="21"/>
        <v>No</v>
      </c>
      <c r="BJ5" s="36">
        <v>66.67</v>
      </c>
      <c r="BK5" s="164" t="str">
        <f t="shared" si="22"/>
        <v>No</v>
      </c>
      <c r="BL5" s="163">
        <v>5.0</v>
      </c>
      <c r="BM5" s="164" t="str">
        <f t="shared" si="23"/>
        <v>No</v>
      </c>
      <c r="BN5" s="163">
        <v>38.89</v>
      </c>
      <c r="BO5" s="164" t="str">
        <f t="shared" si="24"/>
        <v>No</v>
      </c>
      <c r="BP5" s="36">
        <v>75.0</v>
      </c>
      <c r="BQ5" s="164" t="str">
        <f t="shared" si="25"/>
        <v>No</v>
      </c>
      <c r="BR5" s="36">
        <v>-0.25</v>
      </c>
      <c r="BS5" s="36" t="str">
        <f t="shared" si="26"/>
        <v>No</v>
      </c>
      <c r="BT5" s="163">
        <v>50.0</v>
      </c>
      <c r="BU5" s="164" t="str">
        <f t="shared" si="27"/>
        <v>No</v>
      </c>
      <c r="BV5" s="36"/>
      <c r="BW5" s="36"/>
      <c r="BX5" s="36"/>
      <c r="BY5" s="36"/>
      <c r="BZ5" s="36"/>
      <c r="CA5" s="36"/>
      <c r="CB5" s="36"/>
      <c r="CC5" s="36"/>
      <c r="CD5" s="36"/>
      <c r="CE5" s="36"/>
    </row>
    <row r="6">
      <c r="A6" s="169" t="s">
        <v>143</v>
      </c>
      <c r="B6" s="157">
        <v>3.0</v>
      </c>
      <c r="C6" s="166" t="s">
        <v>163</v>
      </c>
      <c r="D6" s="159">
        <v>6.0</v>
      </c>
      <c r="E6" s="68" t="s">
        <v>152</v>
      </c>
      <c r="F6" s="68">
        <v>3.0</v>
      </c>
      <c r="G6" s="160" t="s">
        <v>152</v>
      </c>
      <c r="H6" s="161">
        <v>41.666666666666664</v>
      </c>
      <c r="I6" s="88" t="s">
        <v>152</v>
      </c>
      <c r="J6" s="88">
        <v>58.333333333333336</v>
      </c>
      <c r="K6" s="162" t="s">
        <v>152</v>
      </c>
      <c r="L6" s="161">
        <v>80.0</v>
      </c>
      <c r="M6" s="88" t="s">
        <v>152</v>
      </c>
      <c r="N6" s="88">
        <v>75.0</v>
      </c>
      <c r="O6" s="162" t="s">
        <v>152</v>
      </c>
      <c r="P6" s="163">
        <v>-0.25</v>
      </c>
      <c r="Q6" s="68" t="s">
        <v>152</v>
      </c>
      <c r="R6" s="36">
        <v>0.5</v>
      </c>
      <c r="S6" s="160" t="s">
        <v>152</v>
      </c>
      <c r="T6" s="161">
        <v>33.333333333333336</v>
      </c>
      <c r="U6" s="88" t="str">
        <f t="shared" si="1"/>
        <v>No</v>
      </c>
      <c r="V6" s="88">
        <v>50.0</v>
      </c>
      <c r="W6" s="160" t="str">
        <f t="shared" si="2"/>
        <v>No</v>
      </c>
      <c r="X6" s="163">
        <v>6.0</v>
      </c>
      <c r="Y6" s="36" t="str">
        <f t="shared" si="3"/>
        <v>No</v>
      </c>
      <c r="Z6" s="36">
        <v>6.0</v>
      </c>
      <c r="AA6" s="36" t="str">
        <f t="shared" si="4"/>
        <v>No</v>
      </c>
      <c r="AB6" s="36">
        <v>6.0</v>
      </c>
      <c r="AC6" s="36" t="str">
        <f t="shared" si="5"/>
        <v>No</v>
      </c>
      <c r="AD6" s="36">
        <v>4.0</v>
      </c>
      <c r="AE6" s="164" t="str">
        <f t="shared" si="6"/>
        <v>No</v>
      </c>
      <c r="AF6" s="163">
        <v>27.78</v>
      </c>
      <c r="AG6" s="68" t="str">
        <f t="shared" si="7"/>
        <v>No</v>
      </c>
      <c r="AH6" s="36">
        <v>19.44</v>
      </c>
      <c r="AI6" s="68" t="str">
        <f t="shared" si="8"/>
        <v>No</v>
      </c>
      <c r="AJ6" s="36">
        <v>11.11</v>
      </c>
      <c r="AK6" s="68" t="str">
        <f t="shared" si="9"/>
        <v>No</v>
      </c>
      <c r="AL6" s="36">
        <v>47.22</v>
      </c>
      <c r="AM6" s="164" t="str">
        <f t="shared" si="10"/>
        <v>No</v>
      </c>
      <c r="AN6" s="163">
        <v>90.0</v>
      </c>
      <c r="AO6" s="68" t="str">
        <f t="shared" si="11"/>
        <v>No</v>
      </c>
      <c r="AP6" s="36">
        <v>82.5</v>
      </c>
      <c r="AQ6" s="68" t="str">
        <f t="shared" si="12"/>
        <v>No</v>
      </c>
      <c r="AR6" s="36">
        <v>90.0</v>
      </c>
      <c r="AS6" s="68" t="str">
        <f t="shared" si="13"/>
        <v>No</v>
      </c>
      <c r="AT6" s="36">
        <v>75.0</v>
      </c>
      <c r="AU6" s="164" t="str">
        <f t="shared" si="14"/>
        <v>No</v>
      </c>
      <c r="AV6" s="163">
        <v>0.38</v>
      </c>
      <c r="AW6" s="68" t="str">
        <f t="shared" si="15"/>
        <v>No</v>
      </c>
      <c r="AX6" s="36">
        <v>0.88</v>
      </c>
      <c r="AY6" s="68" t="str">
        <f t="shared" si="16"/>
        <v>No</v>
      </c>
      <c r="AZ6" s="36">
        <v>0.5</v>
      </c>
      <c r="BA6" s="68" t="str">
        <f t="shared" si="17"/>
        <v>No</v>
      </c>
      <c r="BB6" s="36">
        <v>-1.25</v>
      </c>
      <c r="BC6" s="164" t="str">
        <f t="shared" si="18"/>
        <v>No</v>
      </c>
      <c r="BD6" s="163">
        <v>16.67</v>
      </c>
      <c r="BE6" s="68" t="str">
        <f t="shared" si="19"/>
        <v>No</v>
      </c>
      <c r="BF6" s="36">
        <v>0.0</v>
      </c>
      <c r="BG6" s="68" t="str">
        <f t="shared" si="20"/>
        <v>No</v>
      </c>
      <c r="BH6" s="36">
        <v>16.67</v>
      </c>
      <c r="BI6" s="68" t="str">
        <f t="shared" si="21"/>
        <v>No</v>
      </c>
      <c r="BJ6" s="36">
        <v>50.0</v>
      </c>
      <c r="BK6" s="164" t="str">
        <f t="shared" si="22"/>
        <v>No</v>
      </c>
      <c r="BL6" s="163">
        <v>6.0</v>
      </c>
      <c r="BM6" s="164" t="str">
        <f t="shared" si="23"/>
        <v>No</v>
      </c>
      <c r="BN6" s="163">
        <v>27.78</v>
      </c>
      <c r="BO6" s="164" t="str">
        <f t="shared" si="24"/>
        <v>No</v>
      </c>
      <c r="BP6" s="36">
        <v>90.0</v>
      </c>
      <c r="BQ6" s="164" t="str">
        <f t="shared" si="25"/>
        <v>No</v>
      </c>
      <c r="BR6" s="36">
        <v>0.38</v>
      </c>
      <c r="BS6" s="36" t="str">
        <f t="shared" si="26"/>
        <v>No</v>
      </c>
      <c r="BT6" s="163">
        <v>16.67</v>
      </c>
      <c r="BU6" s="164" t="str">
        <f t="shared" si="27"/>
        <v>No</v>
      </c>
      <c r="BV6" s="36"/>
      <c r="BW6" s="36"/>
      <c r="BX6" s="36"/>
      <c r="BY6" s="36"/>
      <c r="BZ6" s="36"/>
      <c r="CA6" s="36"/>
      <c r="CB6" s="36"/>
      <c r="CC6" s="36"/>
      <c r="CD6" s="36"/>
      <c r="CE6" s="36"/>
    </row>
    <row r="7">
      <c r="A7" s="169" t="s">
        <v>122</v>
      </c>
      <c r="B7" s="157">
        <v>4.0</v>
      </c>
      <c r="C7" s="166" t="s">
        <v>163</v>
      </c>
      <c r="D7" s="159">
        <v>5.0</v>
      </c>
      <c r="E7" s="68" t="s">
        <v>152</v>
      </c>
      <c r="F7" s="68">
        <v>3.0</v>
      </c>
      <c r="G7" s="160" t="s">
        <v>152</v>
      </c>
      <c r="H7" s="161">
        <v>38.88888888888889</v>
      </c>
      <c r="I7" s="88" t="s">
        <v>152</v>
      </c>
      <c r="J7" s="88">
        <v>52.77777777777778</v>
      </c>
      <c r="K7" s="162" t="s">
        <v>152</v>
      </c>
      <c r="L7" s="161">
        <v>75.0</v>
      </c>
      <c r="M7" s="88" t="s">
        <v>152</v>
      </c>
      <c r="N7" s="88">
        <v>70.0</v>
      </c>
      <c r="O7" s="162" t="s">
        <v>152</v>
      </c>
      <c r="P7" s="163">
        <v>-0.25</v>
      </c>
      <c r="Q7" s="68" t="s">
        <v>152</v>
      </c>
      <c r="R7" s="36">
        <v>0.38</v>
      </c>
      <c r="S7" s="160" t="s">
        <v>152</v>
      </c>
      <c r="T7" s="161">
        <v>50.0</v>
      </c>
      <c r="U7" s="88" t="str">
        <f t="shared" si="1"/>
        <v>No</v>
      </c>
      <c r="V7" s="88">
        <v>66.66666666666667</v>
      </c>
      <c r="W7" s="160" t="str">
        <f t="shared" si="2"/>
        <v>No</v>
      </c>
      <c r="X7" s="163">
        <v>6.0</v>
      </c>
      <c r="Y7" s="36" t="str">
        <f t="shared" si="3"/>
        <v>No</v>
      </c>
      <c r="Z7" s="36">
        <v>4.0</v>
      </c>
      <c r="AA7" s="36" t="str">
        <f t="shared" si="4"/>
        <v>No</v>
      </c>
      <c r="AB7" s="36">
        <v>4.0</v>
      </c>
      <c r="AC7" s="36" t="str">
        <f t="shared" si="5"/>
        <v>No</v>
      </c>
      <c r="AD7" s="36">
        <v>4.0</v>
      </c>
      <c r="AE7" s="164" t="str">
        <f t="shared" si="6"/>
        <v>No</v>
      </c>
      <c r="AF7" s="163">
        <v>30.56</v>
      </c>
      <c r="AG7" s="68" t="str">
        <f t="shared" si="7"/>
        <v>No</v>
      </c>
      <c r="AH7" s="36">
        <v>44.44</v>
      </c>
      <c r="AI7" s="68" t="str">
        <f t="shared" si="8"/>
        <v>No</v>
      </c>
      <c r="AJ7" s="36">
        <v>52.78</v>
      </c>
      <c r="AK7" s="68" t="str">
        <f t="shared" si="9"/>
        <v>No</v>
      </c>
      <c r="AL7" s="36">
        <v>38.89</v>
      </c>
      <c r="AM7" s="164" t="str">
        <f t="shared" si="10"/>
        <v>No</v>
      </c>
      <c r="AN7" s="163">
        <v>95.0</v>
      </c>
      <c r="AO7" s="68" t="str">
        <f t="shared" si="11"/>
        <v>No</v>
      </c>
      <c r="AP7" s="36">
        <v>35.0</v>
      </c>
      <c r="AQ7" s="68" t="str">
        <f t="shared" si="12"/>
        <v>No</v>
      </c>
      <c r="AR7" s="36">
        <v>57.5</v>
      </c>
      <c r="AS7" s="68" t="str">
        <f t="shared" si="13"/>
        <v>No</v>
      </c>
      <c r="AT7" s="36">
        <v>95.0</v>
      </c>
      <c r="AU7" s="164" t="str">
        <f t="shared" si="14"/>
        <v>No</v>
      </c>
      <c r="AV7" s="163">
        <v>2.25</v>
      </c>
      <c r="AW7" s="68" t="str">
        <f t="shared" si="15"/>
        <v>No</v>
      </c>
      <c r="AX7" s="36">
        <v>0.38</v>
      </c>
      <c r="AY7" s="68" t="str">
        <f t="shared" si="16"/>
        <v>No</v>
      </c>
      <c r="AZ7" s="36">
        <v>1.0</v>
      </c>
      <c r="BA7" s="68" t="str">
        <f t="shared" si="17"/>
        <v>No</v>
      </c>
      <c r="BB7" s="36">
        <v>2.25</v>
      </c>
      <c r="BC7" s="164" t="str">
        <f t="shared" si="18"/>
        <v>No</v>
      </c>
      <c r="BD7" s="163">
        <v>16.67</v>
      </c>
      <c r="BE7" s="68" t="str">
        <f t="shared" si="19"/>
        <v>No</v>
      </c>
      <c r="BF7" s="36">
        <v>33.33</v>
      </c>
      <c r="BG7" s="68" t="str">
        <f t="shared" si="20"/>
        <v>No</v>
      </c>
      <c r="BH7" s="36">
        <v>66.67</v>
      </c>
      <c r="BI7" s="68" t="str">
        <f t="shared" si="21"/>
        <v>No</v>
      </c>
      <c r="BJ7" s="36">
        <v>50.0</v>
      </c>
      <c r="BK7" s="164" t="str">
        <f t="shared" si="22"/>
        <v>No</v>
      </c>
      <c r="BL7" s="163">
        <v>6.0</v>
      </c>
      <c r="BM7" s="164" t="str">
        <f t="shared" si="23"/>
        <v>No</v>
      </c>
      <c r="BN7" s="163">
        <v>30.56</v>
      </c>
      <c r="BO7" s="164" t="str">
        <f t="shared" si="24"/>
        <v>No</v>
      </c>
      <c r="BP7" s="36">
        <v>95.0</v>
      </c>
      <c r="BQ7" s="164" t="str">
        <f t="shared" si="25"/>
        <v>No</v>
      </c>
      <c r="BR7" s="36">
        <v>2.25</v>
      </c>
      <c r="BS7" s="36" t="str">
        <f t="shared" si="26"/>
        <v>No</v>
      </c>
      <c r="BT7" s="163">
        <v>16.67</v>
      </c>
      <c r="BU7" s="164" t="str">
        <f t="shared" si="27"/>
        <v>No</v>
      </c>
      <c r="BV7" s="36"/>
      <c r="BW7" s="36"/>
      <c r="BX7" s="36"/>
      <c r="BY7" s="36"/>
      <c r="BZ7" s="36"/>
      <c r="CA7" s="36"/>
      <c r="CB7" s="36"/>
      <c r="CC7" s="36"/>
      <c r="CD7" s="36"/>
      <c r="CE7" s="36"/>
    </row>
    <row r="8">
      <c r="A8" s="169" t="s">
        <v>123</v>
      </c>
      <c r="B8" s="157">
        <v>5.0</v>
      </c>
      <c r="C8" s="166" t="s">
        <v>163</v>
      </c>
      <c r="D8" s="159">
        <v>5.0</v>
      </c>
      <c r="E8" s="68" t="s">
        <v>152</v>
      </c>
      <c r="F8" s="68">
        <v>6.0</v>
      </c>
      <c r="G8" s="160" t="s">
        <v>152</v>
      </c>
      <c r="H8" s="161">
        <v>30.555555555555557</v>
      </c>
      <c r="I8" s="88" t="s">
        <v>152</v>
      </c>
      <c r="J8" s="88">
        <v>25.0</v>
      </c>
      <c r="K8" s="162" t="s">
        <v>152</v>
      </c>
      <c r="L8" s="161">
        <v>95.0</v>
      </c>
      <c r="M8" s="88" t="s">
        <v>152</v>
      </c>
      <c r="N8" s="88">
        <v>97.5</v>
      </c>
      <c r="O8" s="162" t="s">
        <v>152</v>
      </c>
      <c r="P8" s="163">
        <v>2.63</v>
      </c>
      <c r="Q8" s="68" t="s">
        <v>152</v>
      </c>
      <c r="R8" s="36">
        <v>2.63</v>
      </c>
      <c r="S8" s="160" t="s">
        <v>152</v>
      </c>
      <c r="T8" s="161">
        <v>33.333333333333336</v>
      </c>
      <c r="U8" s="88" t="str">
        <f t="shared" si="1"/>
        <v>No</v>
      </c>
      <c r="V8" s="88">
        <v>16.666666666666668</v>
      </c>
      <c r="W8" s="160" t="str">
        <f t="shared" si="2"/>
        <v>No</v>
      </c>
      <c r="X8" s="163">
        <v>6.0</v>
      </c>
      <c r="Y8" s="36" t="str">
        <f t="shared" si="3"/>
        <v>No</v>
      </c>
      <c r="Z8" s="36">
        <v>4.0</v>
      </c>
      <c r="AA8" s="36" t="str">
        <f t="shared" si="4"/>
        <v>No</v>
      </c>
      <c r="AB8" s="36">
        <v>5.0</v>
      </c>
      <c r="AC8" s="36" t="str">
        <f t="shared" si="5"/>
        <v>No</v>
      </c>
      <c r="AD8" s="36">
        <v>5.0</v>
      </c>
      <c r="AE8" s="164" t="str">
        <f t="shared" si="6"/>
        <v>No</v>
      </c>
      <c r="AF8" s="163">
        <v>36.11</v>
      </c>
      <c r="AG8" s="68" t="str">
        <f t="shared" si="7"/>
        <v>No</v>
      </c>
      <c r="AH8" s="36">
        <v>41.67</v>
      </c>
      <c r="AI8" s="68" t="str">
        <f t="shared" si="8"/>
        <v>No</v>
      </c>
      <c r="AJ8" s="36">
        <v>38.89</v>
      </c>
      <c r="AK8" s="68" t="str">
        <f t="shared" si="9"/>
        <v>No</v>
      </c>
      <c r="AL8" s="36">
        <v>50.0</v>
      </c>
      <c r="AM8" s="164" t="str">
        <f t="shared" si="10"/>
        <v>No</v>
      </c>
      <c r="AN8" s="163">
        <v>82.5</v>
      </c>
      <c r="AO8" s="68" t="str">
        <f t="shared" si="11"/>
        <v>No</v>
      </c>
      <c r="AP8" s="36">
        <v>72.5</v>
      </c>
      <c r="AQ8" s="68" t="str">
        <f t="shared" si="12"/>
        <v>No</v>
      </c>
      <c r="AR8" s="36">
        <v>60.0</v>
      </c>
      <c r="AS8" s="68" t="str">
        <f t="shared" si="13"/>
        <v>No</v>
      </c>
      <c r="AT8" s="36">
        <v>65.0</v>
      </c>
      <c r="AU8" s="164" t="str">
        <f t="shared" si="14"/>
        <v>No</v>
      </c>
      <c r="AV8" s="163">
        <v>0.63</v>
      </c>
      <c r="AW8" s="68" t="str">
        <f t="shared" si="15"/>
        <v>No</v>
      </c>
      <c r="AX8" s="36">
        <v>1.0</v>
      </c>
      <c r="AY8" s="68" t="str">
        <f t="shared" si="16"/>
        <v>No</v>
      </c>
      <c r="AZ8" s="36">
        <v>1.25</v>
      </c>
      <c r="BA8" s="68" t="str">
        <f t="shared" si="17"/>
        <v>No</v>
      </c>
      <c r="BB8" s="36">
        <v>-0.38</v>
      </c>
      <c r="BC8" s="164" t="str">
        <f t="shared" si="18"/>
        <v>No</v>
      </c>
      <c r="BD8" s="163">
        <v>16.67</v>
      </c>
      <c r="BE8" s="68" t="str">
        <f t="shared" si="19"/>
        <v>No</v>
      </c>
      <c r="BF8" s="36">
        <v>16.67</v>
      </c>
      <c r="BG8" s="68" t="str">
        <f t="shared" si="20"/>
        <v>No</v>
      </c>
      <c r="BH8" s="36">
        <v>33.33</v>
      </c>
      <c r="BI8" s="68" t="str">
        <f t="shared" si="21"/>
        <v>No</v>
      </c>
      <c r="BJ8" s="36">
        <v>66.67</v>
      </c>
      <c r="BK8" s="164" t="str">
        <f t="shared" si="22"/>
        <v>No</v>
      </c>
      <c r="BL8" s="163">
        <v>6.0</v>
      </c>
      <c r="BM8" s="164" t="str">
        <f t="shared" si="23"/>
        <v>No</v>
      </c>
      <c r="BN8" s="163">
        <v>36.11</v>
      </c>
      <c r="BO8" s="164" t="str">
        <f t="shared" si="24"/>
        <v>No</v>
      </c>
      <c r="BP8" s="36">
        <v>82.5</v>
      </c>
      <c r="BQ8" s="164" t="str">
        <f t="shared" si="25"/>
        <v>No</v>
      </c>
      <c r="BR8" s="36">
        <v>0.63</v>
      </c>
      <c r="BS8" s="36" t="str">
        <f t="shared" si="26"/>
        <v>No</v>
      </c>
      <c r="BT8" s="163">
        <v>16.67</v>
      </c>
      <c r="BU8" s="164" t="str">
        <f t="shared" si="27"/>
        <v>No</v>
      </c>
      <c r="BV8" s="36"/>
      <c r="BW8" s="36"/>
      <c r="BX8" s="36"/>
      <c r="BY8" s="36"/>
      <c r="BZ8" s="36"/>
      <c r="CA8" s="36"/>
      <c r="CB8" s="36"/>
      <c r="CC8" s="36"/>
      <c r="CD8" s="36"/>
      <c r="CE8" s="36"/>
    </row>
    <row r="9">
      <c r="A9" s="169" t="s">
        <v>124</v>
      </c>
      <c r="B9" s="157">
        <v>6.0</v>
      </c>
      <c r="C9" s="166" t="s">
        <v>165</v>
      </c>
      <c r="D9" s="167">
        <v>3.0</v>
      </c>
      <c r="E9" s="68" t="s">
        <v>164</v>
      </c>
      <c r="F9" s="68">
        <v>3.0</v>
      </c>
      <c r="G9" s="160" t="s">
        <v>152</v>
      </c>
      <c r="H9" s="161">
        <v>41.666666666666664</v>
      </c>
      <c r="I9" s="88" t="s">
        <v>152</v>
      </c>
      <c r="J9" s="88">
        <v>58.333333333333336</v>
      </c>
      <c r="K9" s="162" t="s">
        <v>152</v>
      </c>
      <c r="L9" s="161">
        <v>72.5</v>
      </c>
      <c r="M9" s="88" t="s">
        <v>152</v>
      </c>
      <c r="N9" s="88">
        <v>47.5</v>
      </c>
      <c r="O9" s="162" t="s">
        <v>152</v>
      </c>
      <c r="P9" s="163">
        <v>1.38</v>
      </c>
      <c r="Q9" s="68" t="s">
        <v>152</v>
      </c>
      <c r="R9" s="36">
        <v>0.0</v>
      </c>
      <c r="S9" s="160" t="s">
        <v>152</v>
      </c>
      <c r="T9" s="161">
        <v>50.0</v>
      </c>
      <c r="U9" s="88" t="str">
        <f t="shared" si="1"/>
        <v>No</v>
      </c>
      <c r="V9" s="88">
        <v>66.66666666666667</v>
      </c>
      <c r="W9" s="160" t="str">
        <f t="shared" si="2"/>
        <v>No</v>
      </c>
      <c r="X9" s="163">
        <v>6.0</v>
      </c>
      <c r="Y9" s="36" t="str">
        <f t="shared" si="3"/>
        <v>No</v>
      </c>
      <c r="Z9" s="36">
        <v>3.0</v>
      </c>
      <c r="AA9" s="36" t="str">
        <f t="shared" si="4"/>
        <v>No</v>
      </c>
      <c r="AB9" s="36">
        <v>3.0</v>
      </c>
      <c r="AC9" s="36" t="str">
        <f t="shared" si="5"/>
        <v>No</v>
      </c>
      <c r="AD9" s="36">
        <v>3.0</v>
      </c>
      <c r="AE9" s="164" t="str">
        <f t="shared" si="6"/>
        <v>No</v>
      </c>
      <c r="AF9" s="163">
        <v>41.67</v>
      </c>
      <c r="AG9" s="68" t="str">
        <f t="shared" si="7"/>
        <v>No</v>
      </c>
      <c r="AH9" s="36">
        <v>58.33</v>
      </c>
      <c r="AI9" s="68" t="str">
        <f t="shared" si="8"/>
        <v>No</v>
      </c>
      <c r="AJ9" s="36">
        <v>41.67</v>
      </c>
      <c r="AK9" s="68" t="str">
        <f t="shared" si="9"/>
        <v>No</v>
      </c>
      <c r="AL9" s="36">
        <v>58.33</v>
      </c>
      <c r="AM9" s="164" t="str">
        <f t="shared" si="10"/>
        <v>No</v>
      </c>
      <c r="AN9" s="163">
        <v>80.0</v>
      </c>
      <c r="AO9" s="68" t="str">
        <f t="shared" si="11"/>
        <v>No</v>
      </c>
      <c r="AP9" s="36">
        <v>47.5</v>
      </c>
      <c r="AQ9" s="68" t="str">
        <f t="shared" si="12"/>
        <v>No</v>
      </c>
      <c r="AR9" s="36">
        <v>72.5</v>
      </c>
      <c r="AS9" s="68" t="str">
        <f t="shared" si="13"/>
        <v>No</v>
      </c>
      <c r="AT9" s="36">
        <v>75.0</v>
      </c>
      <c r="AU9" s="164" t="str">
        <f t="shared" si="14"/>
        <v>No</v>
      </c>
      <c r="AV9" s="163">
        <v>-0.25</v>
      </c>
      <c r="AW9" s="68" t="str">
        <f t="shared" si="15"/>
        <v>No</v>
      </c>
      <c r="AX9" s="36">
        <v>0.0</v>
      </c>
      <c r="AY9" s="68" t="str">
        <f t="shared" si="16"/>
        <v>No</v>
      </c>
      <c r="AZ9" s="36">
        <v>1.38</v>
      </c>
      <c r="BA9" s="68" t="str">
        <f t="shared" si="17"/>
        <v>No</v>
      </c>
      <c r="BB9" s="36">
        <v>0.5</v>
      </c>
      <c r="BC9" s="164" t="str">
        <f t="shared" si="18"/>
        <v>No</v>
      </c>
      <c r="BD9" s="163">
        <v>33.33</v>
      </c>
      <c r="BE9" s="68" t="str">
        <f t="shared" si="19"/>
        <v>No</v>
      </c>
      <c r="BF9" s="165">
        <v>66.67</v>
      </c>
      <c r="BG9" s="68" t="str">
        <f t="shared" si="20"/>
        <v>Outlier</v>
      </c>
      <c r="BH9" s="36">
        <v>50.0</v>
      </c>
      <c r="BI9" s="68" t="str">
        <f t="shared" si="21"/>
        <v>No</v>
      </c>
      <c r="BJ9" s="36">
        <v>50.0</v>
      </c>
      <c r="BK9" s="164" t="str">
        <f t="shared" si="22"/>
        <v>No</v>
      </c>
      <c r="BL9" s="163">
        <v>3.0</v>
      </c>
      <c r="BM9" s="164" t="str">
        <f t="shared" si="23"/>
        <v>No</v>
      </c>
      <c r="BN9" s="163">
        <v>41.67</v>
      </c>
      <c r="BO9" s="164" t="str">
        <f t="shared" si="24"/>
        <v>No</v>
      </c>
      <c r="BP9" s="36">
        <v>65.0</v>
      </c>
      <c r="BQ9" s="164" t="str">
        <f t="shared" si="25"/>
        <v>No</v>
      </c>
      <c r="BR9" s="36">
        <v>-0.25</v>
      </c>
      <c r="BS9" s="36" t="str">
        <f t="shared" si="26"/>
        <v>No</v>
      </c>
      <c r="BT9" s="163">
        <v>33.33</v>
      </c>
      <c r="BU9" s="164" t="str">
        <f t="shared" si="27"/>
        <v>No</v>
      </c>
      <c r="BV9" s="36"/>
      <c r="BW9" s="36"/>
      <c r="BX9" s="36"/>
      <c r="BY9" s="36"/>
      <c r="BZ9" s="36"/>
      <c r="CA9" s="36"/>
      <c r="CB9" s="36"/>
      <c r="CC9" s="36"/>
      <c r="CD9" s="36"/>
      <c r="CE9" s="36"/>
    </row>
    <row r="10">
      <c r="A10" s="169" t="s">
        <v>125</v>
      </c>
      <c r="B10" s="157">
        <v>7.0</v>
      </c>
      <c r="C10" s="166" t="s">
        <v>165</v>
      </c>
      <c r="D10" s="159">
        <v>7.0</v>
      </c>
      <c r="E10" s="68" t="s">
        <v>152</v>
      </c>
      <c r="F10" s="68">
        <v>5.0</v>
      </c>
      <c r="G10" s="160" t="s">
        <v>152</v>
      </c>
      <c r="H10" s="161">
        <v>16.666666666666668</v>
      </c>
      <c r="I10" s="88" t="s">
        <v>152</v>
      </c>
      <c r="J10" s="88">
        <v>36.11111111111111</v>
      </c>
      <c r="K10" s="162" t="s">
        <v>152</v>
      </c>
      <c r="L10" s="161">
        <v>100.0</v>
      </c>
      <c r="M10" s="88" t="s">
        <v>152</v>
      </c>
      <c r="N10" s="88">
        <v>97.5</v>
      </c>
      <c r="O10" s="162" t="s">
        <v>152</v>
      </c>
      <c r="P10" s="163">
        <v>1.88</v>
      </c>
      <c r="Q10" s="68" t="s">
        <v>152</v>
      </c>
      <c r="R10" s="36">
        <v>1.25</v>
      </c>
      <c r="S10" s="160" t="s">
        <v>152</v>
      </c>
      <c r="T10" s="161">
        <v>0.0</v>
      </c>
      <c r="U10" s="88" t="str">
        <f t="shared" si="1"/>
        <v>No</v>
      </c>
      <c r="V10" s="88">
        <v>83.33333333333333</v>
      </c>
      <c r="W10" s="160" t="str">
        <f t="shared" si="2"/>
        <v>No</v>
      </c>
      <c r="X10" s="163">
        <v>7.0</v>
      </c>
      <c r="Y10" s="36" t="str">
        <f t="shared" si="3"/>
        <v>No</v>
      </c>
      <c r="Z10" s="36">
        <v>5.0</v>
      </c>
      <c r="AA10" s="36" t="str">
        <f t="shared" si="4"/>
        <v>No</v>
      </c>
      <c r="AB10" s="36">
        <v>6.0</v>
      </c>
      <c r="AC10" s="36" t="str">
        <f t="shared" si="5"/>
        <v>No</v>
      </c>
      <c r="AD10" s="36">
        <v>5.0</v>
      </c>
      <c r="AE10" s="164" t="str">
        <f t="shared" si="6"/>
        <v>No</v>
      </c>
      <c r="AF10" s="163">
        <v>16.67</v>
      </c>
      <c r="AG10" s="68" t="str">
        <f t="shared" si="7"/>
        <v>No</v>
      </c>
      <c r="AH10" s="36">
        <v>19.44</v>
      </c>
      <c r="AI10" s="68" t="str">
        <f t="shared" si="8"/>
        <v>No</v>
      </c>
      <c r="AJ10" s="36">
        <v>38.89</v>
      </c>
      <c r="AK10" s="68" t="str">
        <f t="shared" si="9"/>
        <v>No</v>
      </c>
      <c r="AL10" s="36">
        <v>36.11</v>
      </c>
      <c r="AM10" s="164" t="str">
        <f t="shared" si="10"/>
        <v>No</v>
      </c>
      <c r="AN10" s="163">
        <v>100.0</v>
      </c>
      <c r="AO10" s="68" t="str">
        <f t="shared" si="11"/>
        <v>No</v>
      </c>
      <c r="AP10" s="36">
        <v>92.5</v>
      </c>
      <c r="AQ10" s="68" t="str">
        <f t="shared" si="12"/>
        <v>No</v>
      </c>
      <c r="AR10" s="36">
        <v>97.5</v>
      </c>
      <c r="AS10" s="68" t="str">
        <f t="shared" si="13"/>
        <v>No</v>
      </c>
      <c r="AT10" s="36">
        <v>97.5</v>
      </c>
      <c r="AU10" s="164" t="str">
        <f t="shared" si="14"/>
        <v>No</v>
      </c>
      <c r="AV10" s="163">
        <v>1.88</v>
      </c>
      <c r="AW10" s="68" t="str">
        <f t="shared" si="15"/>
        <v>No</v>
      </c>
      <c r="AX10" s="36">
        <v>-0.25</v>
      </c>
      <c r="AY10" s="68" t="str">
        <f t="shared" si="16"/>
        <v>No</v>
      </c>
      <c r="AZ10" s="36">
        <v>0.63</v>
      </c>
      <c r="BA10" s="68" t="str">
        <f t="shared" si="17"/>
        <v>No</v>
      </c>
      <c r="BB10" s="36">
        <v>1.25</v>
      </c>
      <c r="BC10" s="164" t="str">
        <f t="shared" si="18"/>
        <v>No</v>
      </c>
      <c r="BD10" s="163">
        <v>0.0</v>
      </c>
      <c r="BE10" s="68" t="str">
        <f t="shared" si="19"/>
        <v>No</v>
      </c>
      <c r="BF10" s="36">
        <v>16.67</v>
      </c>
      <c r="BG10" s="68" t="str">
        <f t="shared" si="20"/>
        <v>No</v>
      </c>
      <c r="BH10" s="36">
        <v>33.33</v>
      </c>
      <c r="BI10" s="68" t="str">
        <f t="shared" si="21"/>
        <v>No</v>
      </c>
      <c r="BJ10" s="36">
        <v>83.33</v>
      </c>
      <c r="BK10" s="164" t="str">
        <f t="shared" si="22"/>
        <v>No</v>
      </c>
      <c r="BL10" s="163">
        <v>3.0</v>
      </c>
      <c r="BM10" s="164" t="str">
        <f t="shared" si="23"/>
        <v>No</v>
      </c>
      <c r="BN10" s="163">
        <v>52.78</v>
      </c>
      <c r="BO10" s="164" t="str">
        <f t="shared" si="24"/>
        <v>No</v>
      </c>
      <c r="BP10" s="36">
        <v>70.0</v>
      </c>
      <c r="BQ10" s="164" t="str">
        <f t="shared" si="25"/>
        <v>No</v>
      </c>
      <c r="BR10" s="36">
        <v>0.38</v>
      </c>
      <c r="BS10" s="36" t="str">
        <f t="shared" si="26"/>
        <v>No</v>
      </c>
      <c r="BT10" s="163">
        <v>66.67</v>
      </c>
      <c r="BU10" s="164" t="str">
        <f t="shared" si="27"/>
        <v>No</v>
      </c>
      <c r="BV10" s="36"/>
      <c r="BW10" s="36"/>
      <c r="BX10" s="36"/>
      <c r="BY10" s="36"/>
      <c r="BZ10" s="36"/>
      <c r="CA10" s="36"/>
      <c r="CB10" s="36"/>
      <c r="CC10" s="36"/>
      <c r="CD10" s="36"/>
      <c r="CE10" s="36"/>
    </row>
    <row r="11">
      <c r="A11" s="169" t="s">
        <v>126</v>
      </c>
      <c r="B11" s="157">
        <v>8.0</v>
      </c>
      <c r="C11" s="166" t="s">
        <v>165</v>
      </c>
      <c r="D11" s="159">
        <v>6.0</v>
      </c>
      <c r="E11" s="68" t="s">
        <v>152</v>
      </c>
      <c r="F11" s="68">
        <v>4.0</v>
      </c>
      <c r="G11" s="160" t="s">
        <v>152</v>
      </c>
      <c r="H11" s="161">
        <v>27.777777777777775</v>
      </c>
      <c r="I11" s="88" t="s">
        <v>152</v>
      </c>
      <c r="J11" s="88">
        <v>47.22222222222223</v>
      </c>
      <c r="K11" s="162" t="s">
        <v>152</v>
      </c>
      <c r="L11" s="161">
        <v>90.0</v>
      </c>
      <c r="M11" s="88" t="s">
        <v>152</v>
      </c>
      <c r="N11" s="88">
        <v>75.0</v>
      </c>
      <c r="O11" s="162" t="s">
        <v>152</v>
      </c>
      <c r="P11" s="163">
        <v>0.38</v>
      </c>
      <c r="Q11" s="68" t="s">
        <v>152</v>
      </c>
      <c r="R11" s="36">
        <v>-1.25</v>
      </c>
      <c r="S11" s="160" t="s">
        <v>152</v>
      </c>
      <c r="T11" s="161">
        <v>16.666666666666668</v>
      </c>
      <c r="U11" s="88" t="str">
        <f t="shared" si="1"/>
        <v>No</v>
      </c>
      <c r="V11" s="88">
        <v>50.0</v>
      </c>
      <c r="W11" s="160" t="str">
        <f t="shared" si="2"/>
        <v>No</v>
      </c>
      <c r="X11" s="163">
        <v>5.0</v>
      </c>
      <c r="Y11" s="36" t="str">
        <f t="shared" si="3"/>
        <v>No</v>
      </c>
      <c r="Z11" s="36">
        <v>7.0</v>
      </c>
      <c r="AA11" s="36" t="str">
        <f t="shared" si="4"/>
        <v>No</v>
      </c>
      <c r="AB11" s="36">
        <v>6.0</v>
      </c>
      <c r="AC11" s="36" t="str">
        <f t="shared" si="5"/>
        <v>No</v>
      </c>
      <c r="AD11" s="36">
        <v>6.0</v>
      </c>
      <c r="AE11" s="164" t="str">
        <f t="shared" si="6"/>
        <v>No</v>
      </c>
      <c r="AF11" s="163">
        <v>22.22</v>
      </c>
      <c r="AG11" s="68" t="str">
        <f t="shared" si="7"/>
        <v>No</v>
      </c>
      <c r="AH11" s="36">
        <v>22.22</v>
      </c>
      <c r="AI11" s="68" t="str">
        <f t="shared" si="8"/>
        <v>No</v>
      </c>
      <c r="AJ11" s="36">
        <v>25.0</v>
      </c>
      <c r="AK11" s="68" t="str">
        <f t="shared" si="9"/>
        <v>No</v>
      </c>
      <c r="AL11" s="36">
        <v>25.0</v>
      </c>
      <c r="AM11" s="164" t="str">
        <f t="shared" si="10"/>
        <v>No</v>
      </c>
      <c r="AN11" s="163">
        <v>90.0</v>
      </c>
      <c r="AO11" s="68" t="str">
        <f t="shared" si="11"/>
        <v>No</v>
      </c>
      <c r="AP11" s="36">
        <v>95.0</v>
      </c>
      <c r="AQ11" s="68" t="str">
        <f t="shared" si="12"/>
        <v>No</v>
      </c>
      <c r="AR11" s="36">
        <v>97.5</v>
      </c>
      <c r="AS11" s="68" t="str">
        <f t="shared" si="13"/>
        <v>No</v>
      </c>
      <c r="AT11" s="36">
        <v>90.0</v>
      </c>
      <c r="AU11" s="164" t="str">
        <f t="shared" si="14"/>
        <v>No</v>
      </c>
      <c r="AV11" s="163">
        <v>1.25</v>
      </c>
      <c r="AW11" s="68" t="str">
        <f t="shared" si="15"/>
        <v>No</v>
      </c>
      <c r="AX11" s="36">
        <v>1.63</v>
      </c>
      <c r="AY11" s="68" t="str">
        <f t="shared" si="16"/>
        <v>No</v>
      </c>
      <c r="AZ11" s="36">
        <v>1.88</v>
      </c>
      <c r="BA11" s="68" t="str">
        <f t="shared" si="17"/>
        <v>No</v>
      </c>
      <c r="BB11" s="36">
        <v>1.25</v>
      </c>
      <c r="BC11" s="164" t="str">
        <f t="shared" si="18"/>
        <v>No</v>
      </c>
      <c r="BD11" s="163">
        <v>33.33</v>
      </c>
      <c r="BE11" s="68" t="str">
        <f t="shared" si="19"/>
        <v>No</v>
      </c>
      <c r="BF11" s="36">
        <v>0.0</v>
      </c>
      <c r="BG11" s="68" t="str">
        <f t="shared" si="20"/>
        <v>No</v>
      </c>
      <c r="BH11" s="36">
        <v>16.67</v>
      </c>
      <c r="BI11" s="68" t="str">
        <f t="shared" si="21"/>
        <v>No</v>
      </c>
      <c r="BJ11" s="36">
        <v>66.67</v>
      </c>
      <c r="BK11" s="164" t="str">
        <f t="shared" si="22"/>
        <v>No</v>
      </c>
      <c r="BL11" s="163">
        <v>4.0</v>
      </c>
      <c r="BM11" s="164" t="str">
        <f t="shared" si="23"/>
        <v>No</v>
      </c>
      <c r="BN11" s="163">
        <v>47.22</v>
      </c>
      <c r="BO11" s="164" t="str">
        <f t="shared" si="24"/>
        <v>No</v>
      </c>
      <c r="BP11" s="36">
        <v>75.0</v>
      </c>
      <c r="BQ11" s="164" t="str">
        <f t="shared" si="25"/>
        <v>No</v>
      </c>
      <c r="BR11" s="36">
        <v>-1.25</v>
      </c>
      <c r="BS11" s="36" t="str">
        <f t="shared" si="26"/>
        <v>Outlier</v>
      </c>
      <c r="BT11" s="163">
        <v>50.0</v>
      </c>
      <c r="BU11" s="164" t="str">
        <f t="shared" si="27"/>
        <v>No</v>
      </c>
      <c r="BV11" s="36"/>
      <c r="BW11" s="36"/>
      <c r="BX11" s="36"/>
      <c r="BY11" s="36"/>
      <c r="BZ11" s="36"/>
      <c r="CA11" s="36"/>
      <c r="CB11" s="36"/>
      <c r="CC11" s="36"/>
      <c r="CD11" s="36"/>
      <c r="CE11" s="36"/>
    </row>
    <row r="12">
      <c r="A12" s="169" t="s">
        <v>127</v>
      </c>
      <c r="B12" s="157">
        <v>9.0</v>
      </c>
      <c r="C12" s="166" t="s">
        <v>165</v>
      </c>
      <c r="D12" s="159">
        <v>6.0</v>
      </c>
      <c r="E12" s="68" t="s">
        <v>152</v>
      </c>
      <c r="F12" s="68">
        <v>6.0</v>
      </c>
      <c r="G12" s="160" t="s">
        <v>152</v>
      </c>
      <c r="H12" s="161">
        <v>11.111111111111112</v>
      </c>
      <c r="I12" s="88" t="s">
        <v>152</v>
      </c>
      <c r="J12" s="88">
        <v>19.444444444444443</v>
      </c>
      <c r="K12" s="162" t="s">
        <v>152</v>
      </c>
      <c r="L12" s="161">
        <v>90.0</v>
      </c>
      <c r="M12" s="88" t="s">
        <v>152</v>
      </c>
      <c r="N12" s="88">
        <v>82.5</v>
      </c>
      <c r="O12" s="162" t="s">
        <v>152</v>
      </c>
      <c r="P12" s="163">
        <v>0.5</v>
      </c>
      <c r="Q12" s="68" t="s">
        <v>152</v>
      </c>
      <c r="R12" s="36">
        <v>0.88</v>
      </c>
      <c r="S12" s="160" t="s">
        <v>152</v>
      </c>
      <c r="T12" s="161">
        <v>16.666666666666668</v>
      </c>
      <c r="U12" s="88" t="str">
        <f t="shared" si="1"/>
        <v>No</v>
      </c>
      <c r="V12" s="88">
        <v>0.0</v>
      </c>
      <c r="W12" s="160" t="str">
        <f t="shared" si="2"/>
        <v>No</v>
      </c>
      <c r="X12" s="163">
        <v>6.0</v>
      </c>
      <c r="Y12" s="36" t="str">
        <f t="shared" si="3"/>
        <v>No</v>
      </c>
      <c r="Z12" s="36">
        <v>7.0</v>
      </c>
      <c r="AA12" s="36" t="str">
        <f t="shared" si="4"/>
        <v>No</v>
      </c>
      <c r="AB12" s="36">
        <v>5.0</v>
      </c>
      <c r="AC12" s="36" t="str">
        <f t="shared" si="5"/>
        <v>No</v>
      </c>
      <c r="AD12" s="36">
        <v>5.0</v>
      </c>
      <c r="AE12" s="164" t="str">
        <f t="shared" si="6"/>
        <v>No</v>
      </c>
      <c r="AF12" s="163">
        <v>25.0</v>
      </c>
      <c r="AG12" s="68" t="str">
        <f t="shared" si="7"/>
        <v>No</v>
      </c>
      <c r="AH12" s="36">
        <v>36.11</v>
      </c>
      <c r="AI12" s="68" t="str">
        <f t="shared" si="8"/>
        <v>No</v>
      </c>
      <c r="AJ12" s="36">
        <v>50.0</v>
      </c>
      <c r="AK12" s="68" t="str">
        <f t="shared" si="9"/>
        <v>No</v>
      </c>
      <c r="AL12" s="36">
        <v>22.22</v>
      </c>
      <c r="AM12" s="164" t="str">
        <f t="shared" si="10"/>
        <v>No</v>
      </c>
      <c r="AN12" s="163">
        <v>87.5</v>
      </c>
      <c r="AO12" s="68" t="str">
        <f t="shared" si="11"/>
        <v>No</v>
      </c>
      <c r="AP12" s="36">
        <v>77.5</v>
      </c>
      <c r="AQ12" s="68" t="str">
        <f t="shared" si="12"/>
        <v>No</v>
      </c>
      <c r="AR12" s="36">
        <v>67.5</v>
      </c>
      <c r="AS12" s="68" t="str">
        <f t="shared" si="13"/>
        <v>No</v>
      </c>
      <c r="AT12" s="36">
        <v>80.0</v>
      </c>
      <c r="AU12" s="164" t="str">
        <f t="shared" si="14"/>
        <v>No</v>
      </c>
      <c r="AV12" s="163">
        <v>0.75</v>
      </c>
      <c r="AW12" s="68" t="str">
        <f t="shared" si="15"/>
        <v>No</v>
      </c>
      <c r="AX12" s="36">
        <v>2.13</v>
      </c>
      <c r="AY12" s="68" t="str">
        <f t="shared" si="16"/>
        <v>No</v>
      </c>
      <c r="AZ12" s="36">
        <v>1.63</v>
      </c>
      <c r="BA12" s="68" t="str">
        <f t="shared" si="17"/>
        <v>No</v>
      </c>
      <c r="BB12" s="36">
        <v>0.63</v>
      </c>
      <c r="BC12" s="164" t="str">
        <f t="shared" si="18"/>
        <v>No</v>
      </c>
      <c r="BD12" s="163">
        <v>16.67</v>
      </c>
      <c r="BE12" s="68" t="str">
        <f t="shared" si="19"/>
        <v>No</v>
      </c>
      <c r="BF12" s="36">
        <v>0.0</v>
      </c>
      <c r="BG12" s="68" t="str">
        <f t="shared" si="20"/>
        <v>No</v>
      </c>
      <c r="BH12" s="36">
        <v>16.67</v>
      </c>
      <c r="BI12" s="68" t="str">
        <f t="shared" si="21"/>
        <v>No</v>
      </c>
      <c r="BJ12" s="36">
        <v>16.67</v>
      </c>
      <c r="BK12" s="164" t="str">
        <f t="shared" si="22"/>
        <v>No</v>
      </c>
      <c r="BL12" s="163">
        <v>4.0</v>
      </c>
      <c r="BM12" s="164" t="str">
        <f t="shared" si="23"/>
        <v>No</v>
      </c>
      <c r="BN12" s="163">
        <v>38.89</v>
      </c>
      <c r="BO12" s="164" t="str">
        <f t="shared" si="24"/>
        <v>No</v>
      </c>
      <c r="BP12" s="36">
        <v>95.0</v>
      </c>
      <c r="BQ12" s="164" t="str">
        <f t="shared" si="25"/>
        <v>No</v>
      </c>
      <c r="BR12" s="36">
        <v>2.25</v>
      </c>
      <c r="BS12" s="36" t="str">
        <f t="shared" si="26"/>
        <v>No</v>
      </c>
      <c r="BT12" s="163">
        <v>50.0</v>
      </c>
      <c r="BU12" s="164" t="str">
        <f t="shared" si="27"/>
        <v>No</v>
      </c>
      <c r="BV12" s="36"/>
      <c r="BW12" s="36"/>
      <c r="BX12" s="36"/>
      <c r="BY12" s="36"/>
      <c r="BZ12" s="36"/>
      <c r="CA12" s="36"/>
      <c r="CB12" s="36"/>
      <c r="CC12" s="36"/>
      <c r="CD12" s="36"/>
      <c r="CE12" s="36"/>
    </row>
    <row r="13">
      <c r="A13" s="169" t="s">
        <v>166</v>
      </c>
      <c r="B13" s="157">
        <v>10.0</v>
      </c>
      <c r="C13" s="166" t="s">
        <v>165</v>
      </c>
      <c r="D13" s="159">
        <v>6.0</v>
      </c>
      <c r="E13" s="68" t="s">
        <v>152</v>
      </c>
      <c r="F13" s="68">
        <v>5.0</v>
      </c>
      <c r="G13" s="160" t="s">
        <v>152</v>
      </c>
      <c r="H13" s="161">
        <v>38.88888888888889</v>
      </c>
      <c r="I13" s="88" t="s">
        <v>152</v>
      </c>
      <c r="J13" s="88">
        <v>19.444444444444443</v>
      </c>
      <c r="K13" s="162" t="s">
        <v>152</v>
      </c>
      <c r="L13" s="161">
        <v>97.5</v>
      </c>
      <c r="M13" s="88" t="s">
        <v>152</v>
      </c>
      <c r="N13" s="88">
        <v>92.5</v>
      </c>
      <c r="O13" s="162" t="s">
        <v>152</v>
      </c>
      <c r="P13" s="163">
        <v>0.63</v>
      </c>
      <c r="Q13" s="68" t="s">
        <v>152</v>
      </c>
      <c r="R13" s="36">
        <v>-0.25</v>
      </c>
      <c r="S13" s="160" t="s">
        <v>152</v>
      </c>
      <c r="T13" s="161">
        <v>33.333333333333336</v>
      </c>
      <c r="U13" s="88" t="str">
        <f t="shared" si="1"/>
        <v>No</v>
      </c>
      <c r="V13" s="88">
        <v>16.666666666666668</v>
      </c>
      <c r="W13" s="160" t="str">
        <f t="shared" si="2"/>
        <v>No</v>
      </c>
      <c r="X13" s="163">
        <v>7.0</v>
      </c>
      <c r="Y13" s="36" t="str">
        <f t="shared" si="3"/>
        <v>No</v>
      </c>
      <c r="Z13" s="36">
        <v>2.0</v>
      </c>
      <c r="AA13" s="36" t="str">
        <f t="shared" si="4"/>
        <v>No</v>
      </c>
      <c r="AB13" s="36">
        <v>6.0</v>
      </c>
      <c r="AC13" s="36" t="str">
        <f t="shared" si="5"/>
        <v>No</v>
      </c>
      <c r="AD13" s="36">
        <v>6.0</v>
      </c>
      <c r="AE13" s="164" t="str">
        <f t="shared" si="6"/>
        <v>No</v>
      </c>
      <c r="AF13" s="163">
        <v>38.89</v>
      </c>
      <c r="AG13" s="68" t="str">
        <f t="shared" si="7"/>
        <v>No</v>
      </c>
      <c r="AH13" s="36">
        <v>52.78</v>
      </c>
      <c r="AI13" s="68" t="str">
        <f t="shared" si="8"/>
        <v>No</v>
      </c>
      <c r="AJ13" s="36">
        <v>41.67</v>
      </c>
      <c r="AK13" s="68" t="str">
        <f t="shared" si="9"/>
        <v>No</v>
      </c>
      <c r="AL13" s="36">
        <v>50.0</v>
      </c>
      <c r="AM13" s="164" t="str">
        <f t="shared" si="10"/>
        <v>No</v>
      </c>
      <c r="AN13" s="163">
        <v>87.5</v>
      </c>
      <c r="AO13" s="68" t="str">
        <f t="shared" si="11"/>
        <v>No</v>
      </c>
      <c r="AP13" s="36">
        <v>37.5</v>
      </c>
      <c r="AQ13" s="68" t="str">
        <f t="shared" si="12"/>
        <v>No</v>
      </c>
      <c r="AR13" s="36">
        <v>92.5</v>
      </c>
      <c r="AS13" s="68" t="str">
        <f t="shared" si="13"/>
        <v>No</v>
      </c>
      <c r="AT13" s="36">
        <v>77.5</v>
      </c>
      <c r="AU13" s="164" t="str">
        <f t="shared" si="14"/>
        <v>No</v>
      </c>
      <c r="AV13" s="163">
        <v>1.63</v>
      </c>
      <c r="AW13" s="68" t="str">
        <f t="shared" si="15"/>
        <v>No</v>
      </c>
      <c r="AX13" s="36">
        <v>-1.0</v>
      </c>
      <c r="AY13" s="68" t="str">
        <f t="shared" si="16"/>
        <v>No</v>
      </c>
      <c r="AZ13" s="36">
        <v>1.25</v>
      </c>
      <c r="BA13" s="68" t="str">
        <f t="shared" si="17"/>
        <v>No</v>
      </c>
      <c r="BB13" s="36">
        <v>1.0</v>
      </c>
      <c r="BC13" s="164" t="str">
        <f t="shared" si="18"/>
        <v>No</v>
      </c>
      <c r="BD13" s="163">
        <v>50.0</v>
      </c>
      <c r="BE13" s="68" t="str">
        <f t="shared" si="19"/>
        <v>No</v>
      </c>
      <c r="BF13" s="36">
        <v>16.67</v>
      </c>
      <c r="BG13" s="68" t="str">
        <f t="shared" si="20"/>
        <v>No</v>
      </c>
      <c r="BH13" s="36">
        <v>16.67</v>
      </c>
      <c r="BI13" s="68" t="str">
        <f t="shared" si="21"/>
        <v>No</v>
      </c>
      <c r="BJ13" s="36">
        <v>83.33</v>
      </c>
      <c r="BK13" s="164" t="str">
        <f t="shared" si="22"/>
        <v>No</v>
      </c>
      <c r="BL13" s="163">
        <v>5.0</v>
      </c>
      <c r="BM13" s="164" t="str">
        <f t="shared" si="23"/>
        <v>No</v>
      </c>
      <c r="BN13" s="163">
        <v>50.0</v>
      </c>
      <c r="BO13" s="164" t="str">
        <f t="shared" si="24"/>
        <v>No</v>
      </c>
      <c r="BP13" s="36">
        <v>65.0</v>
      </c>
      <c r="BQ13" s="164" t="str">
        <f t="shared" si="25"/>
        <v>No</v>
      </c>
      <c r="BR13" s="36">
        <v>-0.38</v>
      </c>
      <c r="BS13" s="36" t="str">
        <f t="shared" si="26"/>
        <v>No</v>
      </c>
      <c r="BT13" s="163">
        <v>66.67</v>
      </c>
      <c r="BU13" s="164" t="str">
        <f t="shared" si="27"/>
        <v>No</v>
      </c>
      <c r="BV13" s="36"/>
      <c r="BW13" s="36"/>
      <c r="BX13" s="36"/>
      <c r="BY13" s="36"/>
      <c r="BZ13" s="36"/>
      <c r="CA13" s="36"/>
      <c r="CB13" s="36"/>
      <c r="CC13" s="36"/>
      <c r="CD13" s="36"/>
      <c r="CE13" s="36"/>
    </row>
    <row r="14">
      <c r="A14" s="169" t="s">
        <v>167</v>
      </c>
      <c r="B14" s="170" t="s">
        <v>129</v>
      </c>
      <c r="C14" s="166" t="s">
        <v>168</v>
      </c>
      <c r="D14" s="159">
        <v>5.0</v>
      </c>
      <c r="E14" s="68" t="s">
        <v>152</v>
      </c>
      <c r="F14" s="68">
        <v>6.0</v>
      </c>
      <c r="G14" s="160" t="s">
        <v>152</v>
      </c>
      <c r="H14" s="161">
        <v>22.222222222222225</v>
      </c>
      <c r="I14" s="88" t="s">
        <v>152</v>
      </c>
      <c r="J14" s="88">
        <v>25.0</v>
      </c>
      <c r="K14" s="162" t="s">
        <v>152</v>
      </c>
      <c r="L14" s="161">
        <v>90.0</v>
      </c>
      <c r="M14" s="88" t="s">
        <v>152</v>
      </c>
      <c r="N14" s="88">
        <v>90.0</v>
      </c>
      <c r="O14" s="162" t="s">
        <v>152</v>
      </c>
      <c r="P14" s="163">
        <v>1.25</v>
      </c>
      <c r="Q14" s="68" t="s">
        <v>152</v>
      </c>
      <c r="R14" s="36">
        <v>1.25</v>
      </c>
      <c r="S14" s="160" t="s">
        <v>152</v>
      </c>
      <c r="T14" s="161">
        <v>33.333333333333336</v>
      </c>
      <c r="U14" s="88" t="str">
        <f t="shared" si="1"/>
        <v>No</v>
      </c>
      <c r="V14" s="88">
        <v>66.66666666666667</v>
      </c>
      <c r="W14" s="160" t="str">
        <f t="shared" si="2"/>
        <v>No</v>
      </c>
      <c r="X14" s="171">
        <v>5.9</v>
      </c>
      <c r="Y14" s="172"/>
      <c r="Z14" s="173">
        <v>4.9</v>
      </c>
      <c r="AA14" s="172"/>
      <c r="AB14" s="173">
        <v>4.9</v>
      </c>
      <c r="AC14" s="172"/>
      <c r="AD14" s="173">
        <v>4.4</v>
      </c>
      <c r="AE14" s="174"/>
      <c r="AF14" s="171">
        <v>31.67</v>
      </c>
      <c r="AG14" s="172"/>
      <c r="AH14" s="173">
        <v>36.11</v>
      </c>
      <c r="AI14" s="172"/>
      <c r="AJ14" s="173">
        <v>39.72</v>
      </c>
      <c r="AK14" s="172"/>
      <c r="AL14" s="173">
        <v>42.22</v>
      </c>
      <c r="AM14" s="174"/>
      <c r="AN14" s="171">
        <v>86.0</v>
      </c>
      <c r="AO14" s="172"/>
      <c r="AP14" s="173">
        <v>72.75</v>
      </c>
      <c r="AQ14" s="172"/>
      <c r="AR14" s="173">
        <v>78.25</v>
      </c>
      <c r="AS14" s="172"/>
      <c r="AT14" s="173">
        <v>79.0</v>
      </c>
      <c r="AU14" s="174"/>
      <c r="AV14" s="171">
        <v>0.789</v>
      </c>
      <c r="AW14" s="172"/>
      <c r="AX14" s="173">
        <v>0.89</v>
      </c>
      <c r="AY14" s="172"/>
      <c r="AZ14" s="173">
        <v>1.34</v>
      </c>
      <c r="BA14" s="172"/>
      <c r="BB14" s="173">
        <v>0.53</v>
      </c>
      <c r="BC14" s="174"/>
      <c r="BD14" s="171">
        <v>28.33</v>
      </c>
      <c r="BE14" s="172"/>
      <c r="BF14" s="173">
        <v>20.0</v>
      </c>
      <c r="BG14" s="172"/>
      <c r="BH14" s="173">
        <v>36.67</v>
      </c>
      <c r="BI14" s="172"/>
      <c r="BJ14" s="173">
        <v>56.67</v>
      </c>
      <c r="BK14" s="174"/>
      <c r="BL14" s="163">
        <v>5.0</v>
      </c>
      <c r="BM14" s="164" t="str">
        <f t="shared" si="23"/>
        <v>No</v>
      </c>
      <c r="BN14" s="163">
        <v>41.67</v>
      </c>
      <c r="BO14" s="164" t="str">
        <f t="shared" si="24"/>
        <v>No</v>
      </c>
      <c r="BP14" s="36">
        <v>90.0</v>
      </c>
      <c r="BQ14" s="164" t="str">
        <f t="shared" si="25"/>
        <v>No</v>
      </c>
      <c r="BR14" s="36">
        <v>1.5</v>
      </c>
      <c r="BS14" s="36" t="str">
        <f t="shared" si="26"/>
        <v>No</v>
      </c>
      <c r="BT14" s="163">
        <v>33.33</v>
      </c>
      <c r="BU14" s="164" t="str">
        <f t="shared" si="27"/>
        <v>No</v>
      </c>
      <c r="BV14" s="36"/>
      <c r="BW14" s="36"/>
      <c r="BX14" s="36"/>
      <c r="BY14" s="36"/>
      <c r="BZ14" s="36"/>
      <c r="CA14" s="36"/>
      <c r="CB14" s="36"/>
      <c r="CC14" s="36"/>
      <c r="CD14" s="36"/>
      <c r="CE14" s="36"/>
    </row>
    <row r="15">
      <c r="A15" s="169" t="s">
        <v>169</v>
      </c>
      <c r="B15" s="175" t="s">
        <v>144</v>
      </c>
      <c r="C15" s="166" t="s">
        <v>168</v>
      </c>
      <c r="D15" s="159">
        <v>6.0</v>
      </c>
      <c r="E15" s="68" t="s">
        <v>152</v>
      </c>
      <c r="F15" s="68">
        <v>4.0</v>
      </c>
      <c r="G15" s="160" t="s">
        <v>152</v>
      </c>
      <c r="H15" s="161">
        <v>30.555555555555557</v>
      </c>
      <c r="I15" s="88" t="s">
        <v>152</v>
      </c>
      <c r="J15" s="88">
        <v>38.88888888888889</v>
      </c>
      <c r="K15" s="162" t="s">
        <v>152</v>
      </c>
      <c r="L15" s="161">
        <v>95.0</v>
      </c>
      <c r="M15" s="88" t="s">
        <v>152</v>
      </c>
      <c r="N15" s="88">
        <v>95.0</v>
      </c>
      <c r="O15" s="162" t="s">
        <v>152</v>
      </c>
      <c r="P15" s="163">
        <v>2.25</v>
      </c>
      <c r="Q15" s="68" t="s">
        <v>152</v>
      </c>
      <c r="R15" s="36">
        <v>2.25</v>
      </c>
      <c r="S15" s="160" t="s">
        <v>152</v>
      </c>
      <c r="T15" s="161">
        <v>16.666666666666668</v>
      </c>
      <c r="U15" s="88" t="str">
        <f t="shared" si="1"/>
        <v>No</v>
      </c>
      <c r="V15" s="88">
        <v>50.0</v>
      </c>
      <c r="W15" s="160" t="str">
        <f t="shared" si="2"/>
        <v>No</v>
      </c>
      <c r="X15" s="176">
        <v>0.738</v>
      </c>
      <c r="Y15" s="177"/>
      <c r="Z15" s="178">
        <v>1.663</v>
      </c>
      <c r="AA15" s="177"/>
      <c r="AB15" s="178">
        <v>1.197</v>
      </c>
      <c r="AC15" s="177"/>
      <c r="AD15" s="178">
        <v>1.174</v>
      </c>
      <c r="AE15" s="164"/>
      <c r="AF15" s="176">
        <v>8.507</v>
      </c>
      <c r="AG15" s="177"/>
      <c r="AH15" s="178">
        <v>14.04</v>
      </c>
      <c r="AI15" s="177"/>
      <c r="AJ15" s="178">
        <v>15.39</v>
      </c>
      <c r="AK15" s="177"/>
      <c r="AL15" s="178">
        <v>11.84</v>
      </c>
      <c r="AM15" s="179"/>
      <c r="AN15" s="176">
        <v>8.596</v>
      </c>
      <c r="AO15" s="177"/>
      <c r="AP15" s="178">
        <v>24.08</v>
      </c>
      <c r="AQ15" s="177"/>
      <c r="AR15" s="178">
        <v>18.07</v>
      </c>
      <c r="AS15" s="177"/>
      <c r="AT15" s="178">
        <v>11.68</v>
      </c>
      <c r="AU15" s="179"/>
      <c r="AV15" s="176">
        <v>0.941</v>
      </c>
      <c r="AW15" s="177"/>
      <c r="AX15" s="178">
        <v>1.12</v>
      </c>
      <c r="AY15" s="177"/>
      <c r="AZ15" s="178">
        <v>0.614</v>
      </c>
      <c r="BA15" s="177"/>
      <c r="BB15" s="178">
        <v>0.992</v>
      </c>
      <c r="BC15" s="179"/>
      <c r="BD15" s="176">
        <v>17.65</v>
      </c>
      <c r="BE15" s="177"/>
      <c r="BF15" s="178">
        <v>20.49</v>
      </c>
      <c r="BG15" s="177"/>
      <c r="BH15" s="178">
        <v>23.31</v>
      </c>
      <c r="BI15" s="177"/>
      <c r="BJ15" s="178">
        <v>21.08</v>
      </c>
      <c r="BK15" s="164"/>
      <c r="BL15" s="163">
        <v>6.0</v>
      </c>
      <c r="BM15" s="164" t="str">
        <f t="shared" si="23"/>
        <v>No</v>
      </c>
      <c r="BN15" s="163">
        <v>25.0</v>
      </c>
      <c r="BO15" s="164" t="str">
        <f t="shared" si="24"/>
        <v>No</v>
      </c>
      <c r="BP15" s="36">
        <v>97.5</v>
      </c>
      <c r="BQ15" s="164" t="str">
        <f t="shared" si="25"/>
        <v>No</v>
      </c>
      <c r="BR15" s="36">
        <v>2.63</v>
      </c>
      <c r="BS15" s="36" t="str">
        <f t="shared" si="26"/>
        <v>No</v>
      </c>
      <c r="BT15" s="163">
        <v>16.67</v>
      </c>
      <c r="BU15" s="164" t="str">
        <f t="shared" si="27"/>
        <v>No</v>
      </c>
      <c r="BV15" s="36"/>
      <c r="BW15" s="36"/>
      <c r="BX15" s="36"/>
      <c r="BY15" s="36"/>
      <c r="BZ15" s="36"/>
      <c r="CA15" s="36"/>
      <c r="CB15" s="36"/>
      <c r="CC15" s="36"/>
      <c r="CD15" s="36"/>
      <c r="CE15" s="36"/>
    </row>
    <row r="16">
      <c r="A16" s="169" t="s">
        <v>170</v>
      </c>
      <c r="B16" s="160"/>
      <c r="C16" s="166" t="s">
        <v>168</v>
      </c>
      <c r="D16" s="159">
        <v>4.0</v>
      </c>
      <c r="E16" s="68" t="s">
        <v>152</v>
      </c>
      <c r="F16" s="68">
        <v>4.0</v>
      </c>
      <c r="G16" s="160" t="s">
        <v>152</v>
      </c>
      <c r="H16" s="161">
        <v>52.77777777777778</v>
      </c>
      <c r="I16" s="88" t="s">
        <v>152</v>
      </c>
      <c r="J16" s="88">
        <v>44.444444444444436</v>
      </c>
      <c r="K16" s="162" t="s">
        <v>152</v>
      </c>
      <c r="L16" s="161">
        <v>57.5</v>
      </c>
      <c r="M16" s="88" t="s">
        <v>152</v>
      </c>
      <c r="N16" s="180">
        <v>35.0</v>
      </c>
      <c r="O16" s="162" t="s">
        <v>164</v>
      </c>
      <c r="P16" s="163">
        <v>1.0</v>
      </c>
      <c r="Q16" s="68" t="s">
        <v>152</v>
      </c>
      <c r="R16" s="36">
        <v>0.38</v>
      </c>
      <c r="S16" s="160" t="s">
        <v>152</v>
      </c>
      <c r="T16" s="161">
        <v>66.66666666666667</v>
      </c>
      <c r="U16" s="88" t="str">
        <f t="shared" si="1"/>
        <v>No</v>
      </c>
      <c r="V16" s="88">
        <v>33.333333333333336</v>
      </c>
      <c r="W16" s="160" t="str">
        <f t="shared" si="2"/>
        <v>No</v>
      </c>
      <c r="AE16" s="173"/>
      <c r="AM16" s="36"/>
      <c r="BK16" s="173"/>
      <c r="BL16" s="163">
        <v>6.0</v>
      </c>
      <c r="BM16" s="164" t="str">
        <f t="shared" si="23"/>
        <v>No</v>
      </c>
      <c r="BN16" s="163">
        <v>19.44</v>
      </c>
      <c r="BO16" s="164" t="str">
        <f t="shared" si="24"/>
        <v>No</v>
      </c>
      <c r="BP16" s="36">
        <v>82.5</v>
      </c>
      <c r="BQ16" s="164" t="str">
        <f t="shared" si="25"/>
        <v>No</v>
      </c>
      <c r="BR16" s="36">
        <v>0.88</v>
      </c>
      <c r="BS16" s="36" t="str">
        <f t="shared" si="26"/>
        <v>No</v>
      </c>
      <c r="BT16" s="163">
        <v>0.0</v>
      </c>
      <c r="BU16" s="164" t="str">
        <f t="shared" si="27"/>
        <v>No</v>
      </c>
    </row>
    <row r="17">
      <c r="A17" s="169" t="s">
        <v>171</v>
      </c>
      <c r="B17" s="160"/>
      <c r="C17" s="166" t="s">
        <v>168</v>
      </c>
      <c r="D17" s="159">
        <v>6.0</v>
      </c>
      <c r="E17" s="68" t="s">
        <v>152</v>
      </c>
      <c r="F17" s="68">
        <v>7.0</v>
      </c>
      <c r="G17" s="160" t="s">
        <v>152</v>
      </c>
      <c r="H17" s="161">
        <v>25.0</v>
      </c>
      <c r="I17" s="88" t="s">
        <v>152</v>
      </c>
      <c r="J17" s="88">
        <v>22.222222222222225</v>
      </c>
      <c r="K17" s="162" t="s">
        <v>152</v>
      </c>
      <c r="L17" s="161">
        <v>97.5</v>
      </c>
      <c r="M17" s="88" t="s">
        <v>152</v>
      </c>
      <c r="N17" s="88">
        <v>95.0</v>
      </c>
      <c r="O17" s="162" t="s">
        <v>152</v>
      </c>
      <c r="P17" s="163">
        <v>1.88</v>
      </c>
      <c r="Q17" s="68" t="s">
        <v>152</v>
      </c>
      <c r="R17" s="36">
        <v>1.63</v>
      </c>
      <c r="S17" s="160" t="s">
        <v>152</v>
      </c>
      <c r="T17" s="161">
        <v>16.666666666666668</v>
      </c>
      <c r="U17" s="88" t="str">
        <f t="shared" si="1"/>
        <v>No</v>
      </c>
      <c r="V17" s="88">
        <v>0.0</v>
      </c>
      <c r="W17" s="160" t="str">
        <f t="shared" si="2"/>
        <v>No</v>
      </c>
      <c r="AE17" s="36"/>
      <c r="AM17" s="36"/>
      <c r="BK17" s="36"/>
      <c r="BL17" s="163">
        <v>4.0</v>
      </c>
      <c r="BM17" s="164" t="str">
        <f t="shared" si="23"/>
        <v>No</v>
      </c>
      <c r="BN17" s="163">
        <v>44.44</v>
      </c>
      <c r="BO17" s="164" t="str">
        <f t="shared" si="24"/>
        <v>No</v>
      </c>
      <c r="BP17" s="36">
        <v>35.0</v>
      </c>
      <c r="BQ17" s="164" t="str">
        <f t="shared" si="25"/>
        <v>Outlier</v>
      </c>
      <c r="BR17" s="36">
        <v>0.38</v>
      </c>
      <c r="BS17" s="36" t="str">
        <f t="shared" si="26"/>
        <v>No</v>
      </c>
      <c r="BT17" s="163">
        <v>33.33</v>
      </c>
      <c r="BU17" s="164" t="str">
        <f t="shared" si="27"/>
        <v>No</v>
      </c>
    </row>
    <row r="18">
      <c r="A18" s="169" t="s">
        <v>172</v>
      </c>
      <c r="B18" s="160"/>
      <c r="C18" s="166" t="s">
        <v>168</v>
      </c>
      <c r="D18" s="159">
        <v>6.0</v>
      </c>
      <c r="E18" s="68" t="s">
        <v>152</v>
      </c>
      <c r="F18" s="68">
        <v>5.0</v>
      </c>
      <c r="G18" s="160" t="s">
        <v>152</v>
      </c>
      <c r="H18" s="161">
        <v>25.0</v>
      </c>
      <c r="I18" s="88" t="s">
        <v>152</v>
      </c>
      <c r="J18" s="88">
        <v>22.222222222222225</v>
      </c>
      <c r="K18" s="162" t="s">
        <v>152</v>
      </c>
      <c r="L18" s="161">
        <v>87.5</v>
      </c>
      <c r="M18" s="88" t="s">
        <v>152</v>
      </c>
      <c r="N18" s="88">
        <v>80.0</v>
      </c>
      <c r="O18" s="162" t="s">
        <v>152</v>
      </c>
      <c r="P18" s="163">
        <v>0.75</v>
      </c>
      <c r="Q18" s="68" t="s">
        <v>152</v>
      </c>
      <c r="R18" s="36">
        <v>0.63</v>
      </c>
      <c r="S18" s="160" t="s">
        <v>152</v>
      </c>
      <c r="T18" s="161">
        <v>16.666666666666668</v>
      </c>
      <c r="U18" s="88" t="str">
        <f t="shared" si="1"/>
        <v>No</v>
      </c>
      <c r="V18" s="88">
        <v>16.666666666666668</v>
      </c>
      <c r="W18" s="160" t="str">
        <f t="shared" si="2"/>
        <v>No</v>
      </c>
      <c r="AE18" s="36"/>
      <c r="AM18" s="36"/>
      <c r="BK18" s="36"/>
      <c r="BL18" s="163">
        <v>4.0</v>
      </c>
      <c r="BM18" s="164" t="str">
        <f t="shared" si="23"/>
        <v>No</v>
      </c>
      <c r="BN18" s="163">
        <v>41.67</v>
      </c>
      <c r="BO18" s="164" t="str">
        <f t="shared" si="24"/>
        <v>No</v>
      </c>
      <c r="BP18" s="36">
        <v>72.5</v>
      </c>
      <c r="BQ18" s="164" t="str">
        <f t="shared" si="25"/>
        <v>No</v>
      </c>
      <c r="BR18" s="36">
        <v>1.0</v>
      </c>
      <c r="BS18" s="36" t="str">
        <f t="shared" si="26"/>
        <v>No</v>
      </c>
      <c r="BT18" s="163">
        <v>16.67</v>
      </c>
      <c r="BU18" s="164" t="str">
        <f t="shared" si="27"/>
        <v>No</v>
      </c>
    </row>
    <row r="19">
      <c r="A19" s="169" t="s">
        <v>173</v>
      </c>
      <c r="B19" s="160"/>
      <c r="C19" s="166" t="s">
        <v>174</v>
      </c>
      <c r="D19" s="159">
        <v>6.0</v>
      </c>
      <c r="E19" s="68" t="s">
        <v>152</v>
      </c>
      <c r="F19" s="68">
        <v>5.0</v>
      </c>
      <c r="G19" s="160" t="s">
        <v>152</v>
      </c>
      <c r="H19" s="161">
        <v>36.11111111111111</v>
      </c>
      <c r="I19" s="88" t="s">
        <v>152</v>
      </c>
      <c r="J19" s="88">
        <v>50.0</v>
      </c>
      <c r="K19" s="162" t="s">
        <v>152</v>
      </c>
      <c r="L19" s="161">
        <v>82.5</v>
      </c>
      <c r="M19" s="88" t="s">
        <v>152</v>
      </c>
      <c r="N19" s="88">
        <v>65.0</v>
      </c>
      <c r="O19" s="162" t="s">
        <v>152</v>
      </c>
      <c r="P19" s="163">
        <v>0.63</v>
      </c>
      <c r="Q19" s="68" t="s">
        <v>152</v>
      </c>
      <c r="R19" s="36">
        <v>-0.38</v>
      </c>
      <c r="S19" s="160" t="s">
        <v>152</v>
      </c>
      <c r="T19" s="161">
        <v>16.666666666666668</v>
      </c>
      <c r="U19" s="88" t="str">
        <f t="shared" si="1"/>
        <v>No</v>
      </c>
      <c r="V19" s="88">
        <v>66.66666666666667</v>
      </c>
      <c r="W19" s="160" t="str">
        <f t="shared" si="2"/>
        <v>No</v>
      </c>
      <c r="AE19" s="36"/>
      <c r="AM19" s="36"/>
      <c r="BK19" s="36"/>
      <c r="BL19" s="163">
        <v>3.0</v>
      </c>
      <c r="BM19" s="164" t="str">
        <f t="shared" si="23"/>
        <v>No</v>
      </c>
      <c r="BN19" s="163">
        <v>66.67</v>
      </c>
      <c r="BO19" s="164" t="str">
        <f t="shared" si="24"/>
        <v>Outlier</v>
      </c>
      <c r="BP19" s="36">
        <v>52.5</v>
      </c>
      <c r="BQ19" s="164" t="str">
        <f t="shared" si="25"/>
        <v>No</v>
      </c>
      <c r="BR19" s="36">
        <v>1.25</v>
      </c>
      <c r="BS19" s="36" t="str">
        <f t="shared" si="26"/>
        <v>No</v>
      </c>
      <c r="BT19" s="163">
        <v>83.33</v>
      </c>
      <c r="BU19" s="164" t="str">
        <f t="shared" si="27"/>
        <v>No</v>
      </c>
    </row>
    <row r="20">
      <c r="A20" s="169" t="s">
        <v>175</v>
      </c>
      <c r="B20" s="160"/>
      <c r="C20" s="166" t="s">
        <v>174</v>
      </c>
      <c r="D20" s="159">
        <v>5.0</v>
      </c>
      <c r="E20" s="68" t="s">
        <v>152</v>
      </c>
      <c r="F20" s="68">
        <v>4.0</v>
      </c>
      <c r="G20" s="160" t="s">
        <v>152</v>
      </c>
      <c r="H20" s="161">
        <v>38.88888888888889</v>
      </c>
      <c r="I20" s="88" t="s">
        <v>152</v>
      </c>
      <c r="J20" s="88">
        <v>41.666666666666664</v>
      </c>
      <c r="K20" s="162" t="s">
        <v>152</v>
      </c>
      <c r="L20" s="161">
        <v>60.0</v>
      </c>
      <c r="M20" s="88" t="s">
        <v>152</v>
      </c>
      <c r="N20" s="88">
        <v>72.5</v>
      </c>
      <c r="O20" s="162" t="s">
        <v>152</v>
      </c>
      <c r="P20" s="163">
        <v>1.25</v>
      </c>
      <c r="Q20" s="68" t="s">
        <v>152</v>
      </c>
      <c r="R20" s="36">
        <v>1.0</v>
      </c>
      <c r="S20" s="160" t="s">
        <v>152</v>
      </c>
      <c r="T20" s="161">
        <v>33.333333333333336</v>
      </c>
      <c r="U20" s="88" t="str">
        <f t="shared" si="1"/>
        <v>No</v>
      </c>
      <c r="V20" s="88">
        <v>16.666666666666668</v>
      </c>
      <c r="W20" s="160" t="str">
        <f t="shared" si="2"/>
        <v>No</v>
      </c>
      <c r="AE20" s="36"/>
      <c r="AM20" s="36"/>
      <c r="BK20" s="36"/>
      <c r="BL20" s="163">
        <v>5.0</v>
      </c>
      <c r="BM20" s="164" t="str">
        <f t="shared" si="23"/>
        <v>No</v>
      </c>
      <c r="BN20" s="163">
        <v>30.56</v>
      </c>
      <c r="BO20" s="164" t="str">
        <f t="shared" si="24"/>
        <v>No</v>
      </c>
      <c r="BP20" s="36">
        <v>95.0</v>
      </c>
      <c r="BQ20" s="164" t="str">
        <f t="shared" si="25"/>
        <v>No</v>
      </c>
      <c r="BR20" s="36">
        <v>2.63</v>
      </c>
      <c r="BS20" s="36" t="str">
        <f t="shared" si="26"/>
        <v>No</v>
      </c>
      <c r="BT20" s="163">
        <v>33.33</v>
      </c>
      <c r="BU20" s="164" t="str">
        <f t="shared" si="27"/>
        <v>No</v>
      </c>
    </row>
    <row r="21">
      <c r="A21" s="169" t="s">
        <v>176</v>
      </c>
      <c r="B21" s="160"/>
      <c r="C21" s="166" t="s">
        <v>174</v>
      </c>
      <c r="D21" s="159">
        <v>5.0</v>
      </c>
      <c r="E21" s="68" t="s">
        <v>152</v>
      </c>
      <c r="F21" s="68">
        <v>7.0</v>
      </c>
      <c r="G21" s="160" t="s">
        <v>152</v>
      </c>
      <c r="H21" s="161">
        <v>50.0</v>
      </c>
      <c r="I21" s="88" t="s">
        <v>152</v>
      </c>
      <c r="J21" s="88">
        <v>36.11111111111111</v>
      </c>
      <c r="K21" s="162" t="s">
        <v>152</v>
      </c>
      <c r="L21" s="161">
        <v>67.5</v>
      </c>
      <c r="M21" s="88" t="s">
        <v>152</v>
      </c>
      <c r="N21" s="88">
        <v>77.5</v>
      </c>
      <c r="O21" s="162" t="s">
        <v>152</v>
      </c>
      <c r="P21" s="163">
        <v>1.63</v>
      </c>
      <c r="Q21" s="68" t="s">
        <v>152</v>
      </c>
      <c r="R21" s="36">
        <v>2.13</v>
      </c>
      <c r="S21" s="160" t="s">
        <v>152</v>
      </c>
      <c r="T21" s="161">
        <v>16.666666666666668</v>
      </c>
      <c r="U21" s="88" t="str">
        <f t="shared" si="1"/>
        <v>No</v>
      </c>
      <c r="V21" s="88">
        <v>0.0</v>
      </c>
      <c r="W21" s="160" t="str">
        <f t="shared" si="2"/>
        <v>No</v>
      </c>
      <c r="AE21" s="36"/>
      <c r="AM21" s="36"/>
      <c r="BK21" s="36"/>
      <c r="BL21" s="163">
        <v>6.0</v>
      </c>
      <c r="BM21" s="164" t="str">
        <f t="shared" si="23"/>
        <v>No</v>
      </c>
      <c r="BN21" s="163">
        <v>11.11</v>
      </c>
      <c r="BO21" s="164" t="str">
        <f t="shared" si="24"/>
        <v>Outlier</v>
      </c>
      <c r="BP21" s="36">
        <v>90.0</v>
      </c>
      <c r="BQ21" s="164" t="str">
        <f t="shared" si="25"/>
        <v>No</v>
      </c>
      <c r="BR21" s="36">
        <v>0.5</v>
      </c>
      <c r="BS21" s="36" t="str">
        <f t="shared" si="26"/>
        <v>No</v>
      </c>
      <c r="BT21" s="163">
        <v>16.67</v>
      </c>
      <c r="BU21" s="164" t="str">
        <f t="shared" si="27"/>
        <v>No</v>
      </c>
    </row>
    <row r="22">
      <c r="A22" s="169" t="s">
        <v>177</v>
      </c>
      <c r="B22" s="160"/>
      <c r="C22" s="166" t="s">
        <v>174</v>
      </c>
      <c r="D22" s="159">
        <v>7.0</v>
      </c>
      <c r="E22" s="68" t="s">
        <v>152</v>
      </c>
      <c r="F22" s="68">
        <v>6.0</v>
      </c>
      <c r="G22" s="160" t="s">
        <v>152</v>
      </c>
      <c r="H22" s="161">
        <v>38.88888888888889</v>
      </c>
      <c r="I22" s="88" t="s">
        <v>152</v>
      </c>
      <c r="J22" s="88">
        <v>50.0</v>
      </c>
      <c r="K22" s="162" t="s">
        <v>152</v>
      </c>
      <c r="L22" s="161">
        <v>87.5</v>
      </c>
      <c r="M22" s="88" t="s">
        <v>152</v>
      </c>
      <c r="N22" s="88">
        <v>77.5</v>
      </c>
      <c r="O22" s="162" t="s">
        <v>152</v>
      </c>
      <c r="P22" s="163">
        <v>1.63</v>
      </c>
      <c r="Q22" s="68" t="s">
        <v>152</v>
      </c>
      <c r="R22" s="36">
        <v>1.0</v>
      </c>
      <c r="S22" s="160" t="s">
        <v>152</v>
      </c>
      <c r="T22" s="161">
        <v>50.0</v>
      </c>
      <c r="U22" s="88" t="str">
        <f t="shared" si="1"/>
        <v>No</v>
      </c>
      <c r="V22" s="88">
        <v>83.33333333333333</v>
      </c>
      <c r="W22" s="160" t="str">
        <f t="shared" si="2"/>
        <v>No</v>
      </c>
      <c r="AE22" s="36"/>
      <c r="AM22" s="36"/>
      <c r="BK22" s="36"/>
      <c r="BL22" s="163">
        <v>4.0</v>
      </c>
      <c r="BM22" s="164" t="str">
        <f t="shared" si="23"/>
        <v>No</v>
      </c>
      <c r="BN22" s="163">
        <v>52.78</v>
      </c>
      <c r="BO22" s="164" t="str">
        <f t="shared" si="24"/>
        <v>No</v>
      </c>
      <c r="BP22" s="36">
        <v>57.5</v>
      </c>
      <c r="BQ22" s="164" t="str">
        <f t="shared" si="25"/>
        <v>No</v>
      </c>
      <c r="BR22" s="36">
        <v>1.0</v>
      </c>
      <c r="BS22" s="36" t="str">
        <f t="shared" si="26"/>
        <v>No</v>
      </c>
      <c r="BT22" s="163">
        <v>66.67</v>
      </c>
      <c r="BU22" s="164" t="str">
        <f t="shared" si="27"/>
        <v>No</v>
      </c>
    </row>
    <row r="23">
      <c r="A23" s="169" t="s">
        <v>178</v>
      </c>
      <c r="B23" s="160"/>
      <c r="C23" s="166" t="s">
        <v>174</v>
      </c>
      <c r="D23" s="159">
        <v>6.0</v>
      </c>
      <c r="E23" s="68" t="s">
        <v>152</v>
      </c>
      <c r="F23" s="68">
        <v>2.0</v>
      </c>
      <c r="G23" s="160" t="s">
        <v>152</v>
      </c>
      <c r="H23" s="161">
        <v>41.666666666666664</v>
      </c>
      <c r="I23" s="88" t="s">
        <v>152</v>
      </c>
      <c r="J23" s="88">
        <v>52.77777777777778</v>
      </c>
      <c r="K23" s="162" t="s">
        <v>152</v>
      </c>
      <c r="L23" s="161">
        <v>92.5</v>
      </c>
      <c r="M23" s="88" t="s">
        <v>152</v>
      </c>
      <c r="N23" s="180">
        <v>37.5</v>
      </c>
      <c r="O23" s="162" t="s">
        <v>164</v>
      </c>
      <c r="P23" s="163">
        <v>1.25</v>
      </c>
      <c r="Q23" s="68" t="s">
        <v>152</v>
      </c>
      <c r="R23" s="36">
        <v>-1.0</v>
      </c>
      <c r="S23" s="160" t="s">
        <v>152</v>
      </c>
      <c r="T23" s="161">
        <v>16.666666666666668</v>
      </c>
      <c r="U23" s="88" t="str">
        <f t="shared" si="1"/>
        <v>No</v>
      </c>
      <c r="V23" s="88">
        <v>16.666666666666668</v>
      </c>
      <c r="W23" s="160" t="str">
        <f t="shared" si="2"/>
        <v>No</v>
      </c>
      <c r="AE23" s="36"/>
      <c r="AM23" s="36"/>
      <c r="BK23" s="36"/>
      <c r="BL23" s="163">
        <v>5.0</v>
      </c>
      <c r="BM23" s="164" t="str">
        <f t="shared" si="23"/>
        <v>No</v>
      </c>
      <c r="BN23" s="163">
        <v>38.89</v>
      </c>
      <c r="BO23" s="164" t="str">
        <f t="shared" si="24"/>
        <v>No</v>
      </c>
      <c r="BP23" s="36">
        <v>60.0</v>
      </c>
      <c r="BQ23" s="164" t="str">
        <f t="shared" si="25"/>
        <v>No</v>
      </c>
      <c r="BR23" s="36">
        <v>1.25</v>
      </c>
      <c r="BS23" s="36" t="str">
        <f t="shared" si="26"/>
        <v>No</v>
      </c>
      <c r="BT23" s="163">
        <v>33.33</v>
      </c>
      <c r="BU23" s="164" t="str">
        <f t="shared" si="27"/>
        <v>No</v>
      </c>
    </row>
    <row r="24">
      <c r="A24" s="181" t="s">
        <v>129</v>
      </c>
      <c r="B24" s="182"/>
      <c r="C24" s="166" t="s">
        <v>179</v>
      </c>
      <c r="D24" s="172">
        <v>5.4</v>
      </c>
      <c r="E24" s="172"/>
      <c r="F24" s="172">
        <v>4.65</v>
      </c>
      <c r="G24" s="183"/>
      <c r="H24" s="173">
        <v>35.7</v>
      </c>
      <c r="I24" s="184"/>
      <c r="J24" s="173">
        <v>39.17</v>
      </c>
      <c r="K24" s="185"/>
      <c r="L24" s="173">
        <v>82.13</v>
      </c>
      <c r="M24" s="184"/>
      <c r="N24" s="173">
        <v>75.88</v>
      </c>
      <c r="O24" s="185"/>
      <c r="P24" s="173">
        <v>1.065</v>
      </c>
      <c r="Q24" s="172"/>
      <c r="R24" s="173">
        <v>0.714</v>
      </c>
      <c r="S24" s="183"/>
      <c r="T24" s="173">
        <v>32.5</v>
      </c>
      <c r="U24" s="172"/>
      <c r="V24" s="173">
        <v>38.33</v>
      </c>
      <c r="W24" s="183"/>
      <c r="AE24" s="36"/>
      <c r="AM24" s="36"/>
      <c r="BK24" s="36"/>
      <c r="BL24" s="163">
        <v>3.0</v>
      </c>
      <c r="BM24" s="164" t="str">
        <f t="shared" si="23"/>
        <v>No</v>
      </c>
      <c r="BN24" s="163">
        <v>41.67</v>
      </c>
      <c r="BO24" s="164" t="str">
        <f t="shared" si="24"/>
        <v>No</v>
      </c>
      <c r="BP24" s="36">
        <v>72.5</v>
      </c>
      <c r="BQ24" s="164" t="str">
        <f t="shared" si="25"/>
        <v>No</v>
      </c>
      <c r="BR24" s="36">
        <v>1.38</v>
      </c>
      <c r="BS24" s="36" t="str">
        <f t="shared" si="26"/>
        <v>No</v>
      </c>
      <c r="BT24" s="163">
        <v>50.0</v>
      </c>
      <c r="BU24" s="164" t="str">
        <f t="shared" si="27"/>
        <v>No</v>
      </c>
    </row>
    <row r="25">
      <c r="A25" s="186" t="s">
        <v>132</v>
      </c>
      <c r="B25" s="187"/>
      <c r="C25" s="166" t="s">
        <v>179</v>
      </c>
      <c r="D25" s="177">
        <v>1.0954451150103321</v>
      </c>
      <c r="E25" s="177"/>
      <c r="F25" s="177">
        <v>1.4244112357114613</v>
      </c>
      <c r="G25" s="188"/>
      <c r="H25" s="176">
        <v>12.79</v>
      </c>
      <c r="I25" s="189"/>
      <c r="J25" s="178">
        <v>13.03</v>
      </c>
      <c r="K25" s="190"/>
      <c r="L25" s="176">
        <v>14.33</v>
      </c>
      <c r="M25" s="189"/>
      <c r="N25" s="178">
        <v>18.7</v>
      </c>
      <c r="O25" s="190"/>
      <c r="P25" s="176">
        <v>0.823</v>
      </c>
      <c r="Q25" s="177"/>
      <c r="R25" s="178">
        <v>1.049</v>
      </c>
      <c r="S25" s="188"/>
      <c r="T25" s="176">
        <v>20.57</v>
      </c>
      <c r="U25" s="177"/>
      <c r="V25" s="178">
        <v>27.62</v>
      </c>
      <c r="W25" s="188"/>
      <c r="AE25" s="36"/>
      <c r="AM25" s="36"/>
      <c r="BK25" s="36"/>
      <c r="BL25" s="163">
        <v>6.0</v>
      </c>
      <c r="BM25" s="164" t="str">
        <f t="shared" si="23"/>
        <v>No</v>
      </c>
      <c r="BN25" s="163">
        <v>38.89</v>
      </c>
      <c r="BO25" s="164" t="str">
        <f t="shared" si="24"/>
        <v>No</v>
      </c>
      <c r="BP25" s="36">
        <v>97.5</v>
      </c>
      <c r="BQ25" s="164" t="str">
        <f t="shared" si="25"/>
        <v>No</v>
      </c>
      <c r="BR25" s="36">
        <v>0.63</v>
      </c>
      <c r="BS25" s="36" t="str">
        <f t="shared" si="26"/>
        <v>No</v>
      </c>
      <c r="BT25" s="163">
        <v>33.33</v>
      </c>
      <c r="BU25" s="164" t="str">
        <f t="shared" si="27"/>
        <v>No</v>
      </c>
    </row>
    <row r="26">
      <c r="A26" s="191">
        <v>23.0</v>
      </c>
      <c r="C26" s="166" t="s">
        <v>179</v>
      </c>
      <c r="BL26" s="163">
        <v>6.0</v>
      </c>
      <c r="BM26" s="164" t="str">
        <f t="shared" si="23"/>
        <v>No</v>
      </c>
      <c r="BN26" s="163">
        <v>25.0</v>
      </c>
      <c r="BO26" s="164" t="str">
        <f t="shared" si="24"/>
        <v>No</v>
      </c>
      <c r="BP26" s="36">
        <v>97.5</v>
      </c>
      <c r="BQ26" s="164" t="str">
        <f t="shared" si="25"/>
        <v>No</v>
      </c>
      <c r="BR26" s="36">
        <v>1.88</v>
      </c>
      <c r="BS26" s="36" t="str">
        <f t="shared" si="26"/>
        <v>No</v>
      </c>
      <c r="BT26" s="163">
        <v>16.67</v>
      </c>
      <c r="BU26" s="164" t="str">
        <f t="shared" si="27"/>
        <v>No</v>
      </c>
    </row>
    <row r="27">
      <c r="A27" s="191">
        <v>24.0</v>
      </c>
      <c r="C27" s="166" t="s">
        <v>179</v>
      </c>
      <c r="BL27" s="163">
        <v>5.0</v>
      </c>
      <c r="BM27" s="164" t="str">
        <f t="shared" si="23"/>
        <v>No</v>
      </c>
      <c r="BN27" s="163">
        <v>50.0</v>
      </c>
      <c r="BO27" s="164" t="str">
        <f t="shared" si="24"/>
        <v>No</v>
      </c>
      <c r="BP27" s="36">
        <v>67.5</v>
      </c>
      <c r="BQ27" s="164" t="str">
        <f t="shared" si="25"/>
        <v>No</v>
      </c>
      <c r="BR27" s="36">
        <v>1.63</v>
      </c>
      <c r="BS27" s="36" t="str">
        <f t="shared" si="26"/>
        <v>No</v>
      </c>
      <c r="BT27" s="163">
        <v>16.67</v>
      </c>
      <c r="BU27" s="164" t="str">
        <f t="shared" si="27"/>
        <v>No</v>
      </c>
    </row>
    <row r="28">
      <c r="A28" s="191">
        <v>25.0</v>
      </c>
      <c r="C28" s="166" t="s">
        <v>179</v>
      </c>
      <c r="BL28" s="163">
        <v>6.0</v>
      </c>
      <c r="BM28" s="164" t="str">
        <f t="shared" si="23"/>
        <v>No</v>
      </c>
      <c r="BN28" s="163">
        <v>41.67</v>
      </c>
      <c r="BO28" s="164" t="str">
        <f t="shared" si="24"/>
        <v>No</v>
      </c>
      <c r="BP28" s="36">
        <v>92.5</v>
      </c>
      <c r="BQ28" s="164" t="str">
        <f t="shared" si="25"/>
        <v>No</v>
      </c>
      <c r="BR28" s="36">
        <v>1.25</v>
      </c>
      <c r="BS28" s="36" t="str">
        <f t="shared" si="26"/>
        <v>No</v>
      </c>
      <c r="BT28" s="163">
        <v>16.67</v>
      </c>
      <c r="BU28" s="164" t="str">
        <f t="shared" si="27"/>
        <v>No</v>
      </c>
    </row>
    <row r="29">
      <c r="A29" s="191">
        <v>26.0</v>
      </c>
      <c r="C29" s="166" t="s">
        <v>180</v>
      </c>
      <c r="BL29" s="163">
        <v>3.0</v>
      </c>
      <c r="BM29" s="164" t="str">
        <f t="shared" si="23"/>
        <v>No</v>
      </c>
      <c r="BN29" s="163">
        <v>58.33</v>
      </c>
      <c r="BO29" s="164" t="str">
        <f t="shared" si="24"/>
        <v>No</v>
      </c>
      <c r="BP29" s="36">
        <v>47.5</v>
      </c>
      <c r="BQ29" s="164" t="str">
        <f t="shared" si="25"/>
        <v>No</v>
      </c>
      <c r="BR29" s="36">
        <v>0.0</v>
      </c>
      <c r="BS29" s="36" t="str">
        <f t="shared" si="26"/>
        <v>No</v>
      </c>
      <c r="BT29" s="163">
        <v>66.67</v>
      </c>
      <c r="BU29" s="164" t="str">
        <f t="shared" si="27"/>
        <v>No</v>
      </c>
    </row>
    <row r="30">
      <c r="A30" s="191">
        <v>27.0</v>
      </c>
      <c r="C30" s="166" t="s">
        <v>180</v>
      </c>
      <c r="BL30" s="163">
        <v>5.0</v>
      </c>
      <c r="BM30" s="164" t="str">
        <f t="shared" si="23"/>
        <v>No</v>
      </c>
      <c r="BN30" s="163">
        <v>19.44</v>
      </c>
      <c r="BO30" s="164" t="str">
        <f t="shared" si="24"/>
        <v>No</v>
      </c>
      <c r="BP30" s="36">
        <v>92.5</v>
      </c>
      <c r="BQ30" s="164" t="str">
        <f t="shared" si="25"/>
        <v>No</v>
      </c>
      <c r="BR30" s="36">
        <v>-0.25</v>
      </c>
      <c r="BS30" s="36" t="str">
        <f t="shared" si="26"/>
        <v>No</v>
      </c>
      <c r="BT30" s="163">
        <v>16.67</v>
      </c>
      <c r="BU30" s="164" t="str">
        <f t="shared" si="27"/>
        <v>No</v>
      </c>
    </row>
    <row r="31">
      <c r="A31" s="191">
        <v>28.0</v>
      </c>
      <c r="C31" s="166" t="s">
        <v>180</v>
      </c>
      <c r="BL31" s="163">
        <v>7.0</v>
      </c>
      <c r="BM31" s="164" t="str">
        <f t="shared" si="23"/>
        <v>No</v>
      </c>
      <c r="BN31" s="163">
        <v>22.22</v>
      </c>
      <c r="BO31" s="164" t="str">
        <f t="shared" si="24"/>
        <v>No</v>
      </c>
      <c r="BP31" s="36">
        <v>95.0</v>
      </c>
      <c r="BQ31" s="164" t="str">
        <f t="shared" si="25"/>
        <v>No</v>
      </c>
      <c r="BR31" s="36">
        <v>1.63</v>
      </c>
      <c r="BS31" s="36" t="str">
        <f t="shared" si="26"/>
        <v>No</v>
      </c>
      <c r="BT31" s="163">
        <v>0.0</v>
      </c>
      <c r="BU31" s="164" t="str">
        <f t="shared" si="27"/>
        <v>No</v>
      </c>
    </row>
    <row r="32">
      <c r="A32" s="191">
        <v>29.0</v>
      </c>
      <c r="C32" s="166" t="s">
        <v>180</v>
      </c>
      <c r="BL32" s="163">
        <v>7.0</v>
      </c>
      <c r="BM32" s="164" t="str">
        <f t="shared" si="23"/>
        <v>No</v>
      </c>
      <c r="BN32" s="163">
        <v>36.11</v>
      </c>
      <c r="BO32" s="164" t="str">
        <f t="shared" si="24"/>
        <v>No</v>
      </c>
      <c r="BP32" s="36">
        <v>77.5</v>
      </c>
      <c r="BQ32" s="164" t="str">
        <f t="shared" si="25"/>
        <v>No</v>
      </c>
      <c r="BR32" s="36">
        <v>2.13</v>
      </c>
      <c r="BS32" s="36" t="str">
        <f t="shared" si="26"/>
        <v>No</v>
      </c>
      <c r="BT32" s="163">
        <v>0.0</v>
      </c>
      <c r="BU32" s="164" t="str">
        <f t="shared" si="27"/>
        <v>No</v>
      </c>
    </row>
    <row r="33">
      <c r="A33" s="191">
        <v>30.0</v>
      </c>
      <c r="C33" s="166" t="s">
        <v>180</v>
      </c>
      <c r="BL33" s="163">
        <v>2.0</v>
      </c>
      <c r="BM33" s="164" t="str">
        <f t="shared" si="23"/>
        <v>Outlier</v>
      </c>
      <c r="BN33" s="163">
        <v>52.78</v>
      </c>
      <c r="BO33" s="164" t="str">
        <f t="shared" si="24"/>
        <v>No</v>
      </c>
      <c r="BP33" s="36">
        <v>37.5</v>
      </c>
      <c r="BQ33" s="164" t="str">
        <f t="shared" si="25"/>
        <v>Outlier</v>
      </c>
      <c r="BR33" s="36">
        <v>-1.0</v>
      </c>
      <c r="BS33" s="36" t="str">
        <f t="shared" si="26"/>
        <v>No</v>
      </c>
      <c r="BT33" s="163">
        <v>16.67</v>
      </c>
      <c r="BU33" s="164" t="str">
        <f t="shared" si="27"/>
        <v>No</v>
      </c>
    </row>
    <row r="34">
      <c r="A34" s="191">
        <v>31.0</v>
      </c>
      <c r="C34" s="166" t="s">
        <v>181</v>
      </c>
      <c r="BL34" s="163">
        <v>3.0</v>
      </c>
      <c r="BM34" s="164" t="str">
        <f t="shared" si="23"/>
        <v>No</v>
      </c>
      <c r="BN34" s="163">
        <v>58.33</v>
      </c>
      <c r="BO34" s="164" t="str">
        <f t="shared" si="24"/>
        <v>No</v>
      </c>
      <c r="BP34" s="36">
        <v>75.0</v>
      </c>
      <c r="BQ34" s="164" t="str">
        <f t="shared" si="25"/>
        <v>No</v>
      </c>
      <c r="BR34" s="36">
        <v>0.5</v>
      </c>
      <c r="BS34" s="36" t="str">
        <f t="shared" si="26"/>
        <v>No</v>
      </c>
      <c r="BT34" s="163">
        <v>50.0</v>
      </c>
      <c r="BU34" s="164" t="str">
        <f t="shared" si="27"/>
        <v>No</v>
      </c>
    </row>
    <row r="35">
      <c r="A35" s="191">
        <v>32.0</v>
      </c>
      <c r="C35" s="166" t="s">
        <v>181</v>
      </c>
      <c r="BL35" s="163">
        <v>5.0</v>
      </c>
      <c r="BM35" s="164" t="str">
        <f t="shared" si="23"/>
        <v>No</v>
      </c>
      <c r="BN35" s="163">
        <v>36.11</v>
      </c>
      <c r="BO35" s="164" t="str">
        <f t="shared" si="24"/>
        <v>No</v>
      </c>
      <c r="BP35" s="36">
        <v>97.5</v>
      </c>
      <c r="BQ35" s="164" t="str">
        <f t="shared" si="25"/>
        <v>No</v>
      </c>
      <c r="BR35" s="36">
        <v>1.25</v>
      </c>
      <c r="BS35" s="36" t="str">
        <f t="shared" si="26"/>
        <v>No</v>
      </c>
      <c r="BT35" s="163">
        <v>83.33</v>
      </c>
      <c r="BU35" s="164" t="str">
        <f t="shared" si="27"/>
        <v>No</v>
      </c>
    </row>
    <row r="36">
      <c r="A36" s="191">
        <v>33.0</v>
      </c>
      <c r="C36" s="166" t="s">
        <v>181</v>
      </c>
      <c r="BL36" s="163">
        <v>6.0</v>
      </c>
      <c r="BM36" s="164" t="str">
        <f t="shared" si="23"/>
        <v>No</v>
      </c>
      <c r="BN36" s="163">
        <v>25.0</v>
      </c>
      <c r="BO36" s="164" t="str">
        <f t="shared" si="24"/>
        <v>No</v>
      </c>
      <c r="BP36" s="36">
        <v>90.0</v>
      </c>
      <c r="BQ36" s="164" t="str">
        <f t="shared" si="25"/>
        <v>No</v>
      </c>
      <c r="BR36" s="36">
        <v>1.25</v>
      </c>
      <c r="BS36" s="36" t="str">
        <f t="shared" si="26"/>
        <v>No</v>
      </c>
      <c r="BT36" s="163">
        <v>66.67</v>
      </c>
      <c r="BU36" s="164" t="str">
        <f t="shared" si="27"/>
        <v>No</v>
      </c>
    </row>
    <row r="37">
      <c r="A37" s="191">
        <v>34.0</v>
      </c>
      <c r="C37" s="166" t="s">
        <v>181</v>
      </c>
      <c r="BL37" s="163">
        <v>5.0</v>
      </c>
      <c r="BM37" s="164" t="str">
        <f t="shared" si="23"/>
        <v>No</v>
      </c>
      <c r="BN37" s="163">
        <v>22.22</v>
      </c>
      <c r="BO37" s="164" t="str">
        <f t="shared" si="24"/>
        <v>No</v>
      </c>
      <c r="BP37" s="36">
        <v>80.0</v>
      </c>
      <c r="BQ37" s="164" t="str">
        <f t="shared" si="25"/>
        <v>No</v>
      </c>
      <c r="BR37" s="36">
        <v>0.63</v>
      </c>
      <c r="BS37" s="36" t="str">
        <f t="shared" si="26"/>
        <v>No</v>
      </c>
      <c r="BT37" s="163">
        <v>16.67</v>
      </c>
      <c r="BU37" s="164" t="str">
        <f t="shared" si="27"/>
        <v>No</v>
      </c>
    </row>
    <row r="38">
      <c r="A38" s="191">
        <v>35.0</v>
      </c>
      <c r="C38" s="166" t="s">
        <v>181</v>
      </c>
      <c r="BL38" s="163">
        <v>6.0</v>
      </c>
      <c r="BM38" s="164" t="str">
        <f t="shared" si="23"/>
        <v>No</v>
      </c>
      <c r="BN38" s="163">
        <v>50.0</v>
      </c>
      <c r="BO38" s="164" t="str">
        <f t="shared" si="24"/>
        <v>No</v>
      </c>
      <c r="BP38" s="36">
        <v>77.5</v>
      </c>
      <c r="BQ38" s="164" t="str">
        <f t="shared" si="25"/>
        <v>No</v>
      </c>
      <c r="BR38" s="36">
        <v>1.0</v>
      </c>
      <c r="BS38" s="36" t="str">
        <f t="shared" si="26"/>
        <v>No</v>
      </c>
      <c r="BT38" s="163">
        <v>83.33</v>
      </c>
      <c r="BU38" s="164" t="str">
        <f t="shared" si="27"/>
        <v>No</v>
      </c>
    </row>
    <row r="39">
      <c r="A39" s="191">
        <v>36.0</v>
      </c>
      <c r="C39" s="166" t="s">
        <v>182</v>
      </c>
      <c r="BL39" s="163">
        <v>6.0</v>
      </c>
      <c r="BM39" s="164" t="str">
        <f t="shared" si="23"/>
        <v>No</v>
      </c>
      <c r="BN39" s="163">
        <v>41.67</v>
      </c>
      <c r="BO39" s="164" t="str">
        <f t="shared" si="24"/>
        <v>No</v>
      </c>
      <c r="BP39" s="36">
        <v>80.0</v>
      </c>
      <c r="BQ39" s="164" t="str">
        <f t="shared" si="25"/>
        <v>No</v>
      </c>
      <c r="BR39" s="36">
        <v>-0.25</v>
      </c>
      <c r="BS39" s="36" t="str">
        <f t="shared" si="26"/>
        <v>No</v>
      </c>
      <c r="BT39" s="163">
        <v>33.33</v>
      </c>
      <c r="BU39" s="164" t="str">
        <f t="shared" si="27"/>
        <v>No</v>
      </c>
    </row>
    <row r="40">
      <c r="A40" s="191">
        <v>37.0</v>
      </c>
      <c r="C40" s="166" t="s">
        <v>182</v>
      </c>
      <c r="BL40" s="163">
        <v>7.0</v>
      </c>
      <c r="BM40" s="164" t="str">
        <f t="shared" si="23"/>
        <v>No</v>
      </c>
      <c r="BN40" s="163">
        <v>16.67</v>
      </c>
      <c r="BO40" s="164" t="str">
        <f t="shared" si="24"/>
        <v>No</v>
      </c>
      <c r="BP40" s="36">
        <v>100.0</v>
      </c>
      <c r="BQ40" s="164" t="str">
        <f t="shared" si="25"/>
        <v>No</v>
      </c>
      <c r="BR40" s="36">
        <v>1.88</v>
      </c>
      <c r="BS40" s="36" t="str">
        <f t="shared" si="26"/>
        <v>No</v>
      </c>
      <c r="BT40" s="163">
        <v>0.0</v>
      </c>
      <c r="BU40" s="164" t="str">
        <f t="shared" si="27"/>
        <v>No</v>
      </c>
    </row>
    <row r="41">
      <c r="A41" s="191">
        <v>38.0</v>
      </c>
      <c r="C41" s="166" t="s">
        <v>182</v>
      </c>
      <c r="BL41" s="163">
        <v>5.0</v>
      </c>
      <c r="BM41" s="164" t="str">
        <f t="shared" si="23"/>
        <v>No</v>
      </c>
      <c r="BN41" s="163">
        <v>22.22</v>
      </c>
      <c r="BO41" s="164" t="str">
        <f t="shared" si="24"/>
        <v>No</v>
      </c>
      <c r="BP41" s="36">
        <v>90.0</v>
      </c>
      <c r="BQ41" s="164" t="str">
        <f t="shared" si="25"/>
        <v>No</v>
      </c>
      <c r="BR41" s="36">
        <v>1.25</v>
      </c>
      <c r="BS41" s="36" t="str">
        <f t="shared" si="26"/>
        <v>No</v>
      </c>
      <c r="BT41" s="163">
        <v>33.33</v>
      </c>
      <c r="BU41" s="164" t="str">
        <f t="shared" si="27"/>
        <v>No</v>
      </c>
    </row>
    <row r="42">
      <c r="A42" s="191">
        <v>39.0</v>
      </c>
      <c r="C42" s="166" t="s">
        <v>182</v>
      </c>
      <c r="BL42" s="163">
        <v>6.0</v>
      </c>
      <c r="BM42" s="164" t="str">
        <f t="shared" si="23"/>
        <v>No</v>
      </c>
      <c r="BN42" s="163">
        <v>25.0</v>
      </c>
      <c r="BO42" s="164" t="str">
        <f t="shared" si="24"/>
        <v>No</v>
      </c>
      <c r="BP42" s="36">
        <v>87.5</v>
      </c>
      <c r="BQ42" s="164" t="str">
        <f t="shared" si="25"/>
        <v>No</v>
      </c>
      <c r="BR42" s="36">
        <v>0.75</v>
      </c>
      <c r="BS42" s="36" t="str">
        <f t="shared" si="26"/>
        <v>No</v>
      </c>
      <c r="BT42" s="163">
        <v>16.67</v>
      </c>
      <c r="BU42" s="164" t="str">
        <f t="shared" si="27"/>
        <v>No</v>
      </c>
    </row>
    <row r="43">
      <c r="A43" s="191">
        <v>40.0</v>
      </c>
      <c r="C43" s="192" t="s">
        <v>182</v>
      </c>
      <c r="BL43" s="163">
        <v>7.0</v>
      </c>
      <c r="BM43" s="164" t="str">
        <f t="shared" si="23"/>
        <v>No</v>
      </c>
      <c r="BN43" s="163">
        <v>38.89</v>
      </c>
      <c r="BO43" s="164" t="str">
        <f t="shared" si="24"/>
        <v>No</v>
      </c>
      <c r="BP43" s="36">
        <v>87.5</v>
      </c>
      <c r="BQ43" s="164" t="str">
        <f t="shared" si="25"/>
        <v>No</v>
      </c>
      <c r="BR43" s="36">
        <v>1.63</v>
      </c>
      <c r="BS43" s="36" t="str">
        <f t="shared" si="26"/>
        <v>No</v>
      </c>
      <c r="BT43" s="163">
        <v>50.0</v>
      </c>
      <c r="BU43" s="164" t="str">
        <f t="shared" si="27"/>
        <v>No</v>
      </c>
    </row>
    <row r="44">
      <c r="C44" s="193" t="s">
        <v>183</v>
      </c>
      <c r="BL44" s="171">
        <v>5.025</v>
      </c>
      <c r="BM44" s="174"/>
      <c r="BN44" s="171">
        <v>37.43</v>
      </c>
      <c r="BO44" s="183"/>
      <c r="BP44" s="173">
        <v>79.0</v>
      </c>
      <c r="BQ44" s="183"/>
      <c r="BR44" s="173">
        <v>0.889</v>
      </c>
      <c r="BS44" s="172"/>
      <c r="BT44" s="171">
        <v>35.42</v>
      </c>
      <c r="BU44" s="183"/>
    </row>
    <row r="45">
      <c r="C45" s="194" t="s">
        <v>141</v>
      </c>
      <c r="BL45" s="176">
        <v>1.31</v>
      </c>
      <c r="BM45" s="179"/>
      <c r="BN45" s="176">
        <v>12.86</v>
      </c>
      <c r="BO45" s="188"/>
      <c r="BP45" s="178">
        <v>16.74</v>
      </c>
      <c r="BQ45" s="188"/>
      <c r="BR45" s="178">
        <v>0.947</v>
      </c>
      <c r="BS45" s="177"/>
      <c r="BT45" s="176">
        <v>24.22</v>
      </c>
      <c r="BU45" s="188"/>
    </row>
  </sheetData>
  <mergeCells count="18">
    <mergeCell ref="T2:W2"/>
    <mergeCell ref="X2:AE2"/>
    <mergeCell ref="AF2:AM2"/>
    <mergeCell ref="AN2:AU2"/>
    <mergeCell ref="AV2:BC2"/>
    <mergeCell ref="BD2:BK2"/>
    <mergeCell ref="BL2:BM2"/>
    <mergeCell ref="BN2:BO2"/>
    <mergeCell ref="BP2:BQ2"/>
    <mergeCell ref="BR2:BS2"/>
    <mergeCell ref="D1:W1"/>
    <mergeCell ref="X1:BK1"/>
    <mergeCell ref="BL1:BU1"/>
    <mergeCell ref="D2:G2"/>
    <mergeCell ref="H2:K2"/>
    <mergeCell ref="L2:O2"/>
    <mergeCell ref="P2:S2"/>
    <mergeCell ref="BT2:BU2"/>
  </mergeCells>
  <conditionalFormatting sqref="D4:BU45">
    <cfRule type="containsText" dxfId="1" priority="1" operator="containsText" text="Outlier">
      <formula>NOT(ISERROR(SEARCH(("Outlier"),(D4))))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88"/>
    <col customWidth="1" min="2" max="3" width="21.13"/>
    <col customWidth="1" min="4" max="4" width="12.88"/>
    <col customWidth="1" min="5" max="6" width="16.88"/>
    <col customWidth="1" min="7" max="8" width="21.88"/>
    <col customWidth="1" min="9" max="9" width="18.88"/>
    <col customWidth="1" min="10" max="10" width="21.13"/>
    <col customWidth="1" min="11" max="11" width="19.5"/>
    <col customWidth="1" min="12" max="12" width="16.88"/>
    <col customWidth="1" min="13" max="13" width="25.25"/>
    <col customWidth="1" min="14" max="14" width="24.75"/>
    <col customWidth="1" min="20" max="21" width="13.25"/>
  </cols>
  <sheetData>
    <row r="1">
      <c r="A1" s="97"/>
      <c r="B1" s="28" t="s">
        <v>85</v>
      </c>
      <c r="D1" s="97"/>
      <c r="E1" s="97"/>
      <c r="F1" s="97"/>
      <c r="G1" s="97" t="s">
        <v>100</v>
      </c>
      <c r="H1" s="97" t="s">
        <v>100</v>
      </c>
      <c r="I1" s="195"/>
      <c r="J1" s="195"/>
      <c r="K1" s="195"/>
      <c r="L1" s="195"/>
      <c r="M1" s="28" t="s">
        <v>184</v>
      </c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>
      <c r="A2" s="196" t="s">
        <v>2</v>
      </c>
      <c r="B2" s="197" t="s">
        <v>87</v>
      </c>
      <c r="C2" s="197" t="s">
        <v>88</v>
      </c>
      <c r="D2" s="196" t="s">
        <v>153</v>
      </c>
      <c r="E2" s="43" t="s">
        <v>111</v>
      </c>
      <c r="F2" s="43" t="s">
        <v>112</v>
      </c>
      <c r="G2" s="43" t="s">
        <v>185</v>
      </c>
      <c r="H2" s="43" t="s">
        <v>186</v>
      </c>
      <c r="I2" s="154" t="s">
        <v>187</v>
      </c>
      <c r="J2" s="154" t="s">
        <v>188</v>
      </c>
      <c r="K2" s="43" t="s">
        <v>189</v>
      </c>
      <c r="L2" s="43" t="s">
        <v>190</v>
      </c>
      <c r="M2" s="43" t="s">
        <v>87</v>
      </c>
      <c r="N2" s="43" t="s">
        <v>88</v>
      </c>
      <c r="O2" s="196" t="s">
        <v>153</v>
      </c>
      <c r="P2" s="198"/>
      <c r="Q2" s="198"/>
      <c r="R2" s="198"/>
      <c r="S2" s="198"/>
      <c r="T2" s="199"/>
      <c r="U2" s="199"/>
      <c r="V2" s="199"/>
      <c r="W2" s="198"/>
      <c r="X2" s="198"/>
      <c r="Y2" s="198"/>
      <c r="Z2" s="198"/>
    </row>
    <row r="3">
      <c r="A3" s="80">
        <v>1.0</v>
      </c>
      <c r="B3" s="200" t="s">
        <v>40</v>
      </c>
      <c r="C3" s="200" t="s">
        <v>41</v>
      </c>
      <c r="D3" s="51">
        <v>1.0</v>
      </c>
      <c r="E3" s="60">
        <v>5.0</v>
      </c>
      <c r="F3" s="60">
        <v>3.0</v>
      </c>
      <c r="G3" s="201">
        <v>38.88888888888889</v>
      </c>
      <c r="H3" s="201">
        <v>41.666666666666664</v>
      </c>
      <c r="I3" s="202">
        <v>72.5</v>
      </c>
      <c r="J3" s="202">
        <v>65.0</v>
      </c>
      <c r="K3" s="203">
        <v>-0.38</v>
      </c>
      <c r="L3" s="203">
        <v>-0.25</v>
      </c>
      <c r="M3" s="204">
        <v>50.0</v>
      </c>
      <c r="N3" s="204">
        <v>33.333333333333336</v>
      </c>
      <c r="O3" s="51">
        <v>1.0</v>
      </c>
      <c r="T3" s="199"/>
      <c r="U3" s="199"/>
      <c r="V3" s="199"/>
    </row>
    <row r="4">
      <c r="A4" s="80">
        <v>2.0</v>
      </c>
      <c r="B4" s="200" t="s">
        <v>37</v>
      </c>
      <c r="C4" s="200" t="s">
        <v>36</v>
      </c>
      <c r="D4" s="51">
        <v>2.0</v>
      </c>
      <c r="E4" s="60">
        <v>5.0</v>
      </c>
      <c r="F4" s="60">
        <v>3.0</v>
      </c>
      <c r="G4" s="201">
        <v>41.666666666666664</v>
      </c>
      <c r="H4" s="201">
        <v>66.66666666666667</v>
      </c>
      <c r="I4" s="202">
        <v>90.0</v>
      </c>
      <c r="J4" s="202">
        <v>52.5</v>
      </c>
      <c r="K4" s="203">
        <v>1.5</v>
      </c>
      <c r="L4" s="203">
        <v>1.25</v>
      </c>
      <c r="M4" s="204">
        <v>33.333333333333336</v>
      </c>
      <c r="N4" s="204">
        <v>83.33333333333333</v>
      </c>
      <c r="O4" s="51">
        <v>2.0</v>
      </c>
      <c r="T4" s="199"/>
      <c r="U4" s="199"/>
      <c r="V4" s="199"/>
    </row>
    <row r="5">
      <c r="A5" s="80">
        <v>4.0</v>
      </c>
      <c r="B5" s="200" t="s">
        <v>41</v>
      </c>
      <c r="C5" s="200" t="s">
        <v>40</v>
      </c>
      <c r="D5" s="51">
        <v>4.0</v>
      </c>
      <c r="E5" s="60">
        <v>3.0</v>
      </c>
      <c r="F5" s="60">
        <v>6.0</v>
      </c>
      <c r="G5" s="201">
        <v>58.333333333333336</v>
      </c>
      <c r="H5" s="201">
        <v>41.666666666666664</v>
      </c>
      <c r="I5" s="202">
        <v>75.0</v>
      </c>
      <c r="J5" s="202">
        <v>80.0</v>
      </c>
      <c r="K5" s="203">
        <v>0.5</v>
      </c>
      <c r="L5" s="203">
        <v>-0.25</v>
      </c>
      <c r="M5" s="204">
        <v>50.0</v>
      </c>
      <c r="N5" s="204">
        <v>33.333333333333336</v>
      </c>
      <c r="O5" s="51">
        <v>4.0</v>
      </c>
      <c r="T5" s="199"/>
      <c r="U5" s="199"/>
      <c r="V5" s="199"/>
    </row>
    <row r="6">
      <c r="A6" s="80">
        <v>5.0</v>
      </c>
      <c r="B6" s="200" t="s">
        <v>40</v>
      </c>
      <c r="C6" s="200" t="s">
        <v>41</v>
      </c>
      <c r="D6" s="51">
        <v>1.0</v>
      </c>
      <c r="E6" s="60">
        <v>5.0</v>
      </c>
      <c r="F6" s="60">
        <v>3.0</v>
      </c>
      <c r="G6" s="201">
        <v>38.88888888888889</v>
      </c>
      <c r="H6" s="201">
        <v>52.77777777777778</v>
      </c>
      <c r="I6" s="202">
        <v>75.0</v>
      </c>
      <c r="J6" s="202">
        <v>70.0</v>
      </c>
      <c r="K6" s="203">
        <v>-0.25</v>
      </c>
      <c r="L6" s="203">
        <v>0.38</v>
      </c>
      <c r="M6" s="204">
        <v>50.0</v>
      </c>
      <c r="N6" s="204">
        <v>66.66666666666667</v>
      </c>
      <c r="O6" s="51">
        <v>1.0</v>
      </c>
      <c r="T6" s="199"/>
      <c r="U6" s="199"/>
      <c r="V6" s="199"/>
    </row>
    <row r="7">
      <c r="A7" s="80">
        <v>6.0</v>
      </c>
      <c r="B7" s="200" t="s">
        <v>37</v>
      </c>
      <c r="C7" s="200" t="s">
        <v>36</v>
      </c>
      <c r="D7" s="51">
        <v>2.0</v>
      </c>
      <c r="E7" s="60">
        <v>6.0</v>
      </c>
      <c r="F7" s="60">
        <v>5.0</v>
      </c>
      <c r="G7" s="201">
        <v>25.0</v>
      </c>
      <c r="H7" s="201">
        <v>30.555555555555557</v>
      </c>
      <c r="I7" s="202">
        <v>97.5</v>
      </c>
      <c r="J7" s="202">
        <v>95.0</v>
      </c>
      <c r="K7" s="203">
        <v>2.63</v>
      </c>
      <c r="L7" s="203">
        <v>2.63</v>
      </c>
      <c r="M7" s="204">
        <v>16.666666666666668</v>
      </c>
      <c r="N7" s="204">
        <v>33.333333333333336</v>
      </c>
      <c r="O7" s="51">
        <v>2.0</v>
      </c>
      <c r="T7" s="199"/>
      <c r="U7" s="199"/>
      <c r="V7" s="199"/>
    </row>
    <row r="8">
      <c r="A8" s="80">
        <v>7.0</v>
      </c>
      <c r="B8" s="200" t="s">
        <v>36</v>
      </c>
      <c r="C8" s="200" t="s">
        <v>37</v>
      </c>
      <c r="D8" s="51">
        <v>3.0</v>
      </c>
      <c r="E8" s="60">
        <v>3.0</v>
      </c>
      <c r="F8" s="60">
        <v>3.0</v>
      </c>
      <c r="G8" s="201">
        <v>41.666666666666664</v>
      </c>
      <c r="H8" s="201">
        <v>58.333333333333336</v>
      </c>
      <c r="I8" s="202">
        <v>72.5</v>
      </c>
      <c r="J8" s="202">
        <v>47.5</v>
      </c>
      <c r="K8" s="203">
        <v>1.38</v>
      </c>
      <c r="L8" s="203">
        <v>0.0</v>
      </c>
      <c r="M8" s="204">
        <v>50.0</v>
      </c>
      <c r="N8" s="204">
        <v>66.66666666666667</v>
      </c>
      <c r="O8" s="51">
        <v>3.0</v>
      </c>
      <c r="T8" s="199"/>
      <c r="U8" s="199"/>
      <c r="V8" s="199"/>
    </row>
    <row r="9">
      <c r="A9" s="80">
        <v>8.0</v>
      </c>
      <c r="B9" s="200" t="s">
        <v>41</v>
      </c>
      <c r="C9" s="200" t="s">
        <v>40</v>
      </c>
      <c r="D9" s="51">
        <v>4.0</v>
      </c>
      <c r="E9" s="60">
        <v>5.0</v>
      </c>
      <c r="F9" s="60">
        <v>7.0</v>
      </c>
      <c r="G9" s="201">
        <v>36.11111111111111</v>
      </c>
      <c r="H9" s="201">
        <v>16.666666666666668</v>
      </c>
      <c r="I9" s="202">
        <v>97.5</v>
      </c>
      <c r="J9" s="202">
        <v>100.0</v>
      </c>
      <c r="K9" s="203">
        <v>1.25</v>
      </c>
      <c r="L9" s="203">
        <v>1.88</v>
      </c>
      <c r="M9" s="204">
        <v>83.33333333333333</v>
      </c>
      <c r="N9" s="204">
        <v>0.0</v>
      </c>
      <c r="O9" s="51">
        <v>4.0</v>
      </c>
      <c r="T9" s="199"/>
      <c r="U9" s="199"/>
      <c r="V9" s="199"/>
    </row>
    <row r="10">
      <c r="A10" s="80">
        <v>9.0</v>
      </c>
      <c r="B10" s="200" t="s">
        <v>40</v>
      </c>
      <c r="C10" s="200" t="s">
        <v>41</v>
      </c>
      <c r="D10" s="51">
        <v>1.0</v>
      </c>
      <c r="E10" s="60">
        <v>6.0</v>
      </c>
      <c r="F10" s="60">
        <v>4.0</v>
      </c>
      <c r="G10" s="201">
        <v>27.777777777777775</v>
      </c>
      <c r="H10" s="201">
        <v>47.22222222222223</v>
      </c>
      <c r="I10" s="202">
        <v>90.0</v>
      </c>
      <c r="J10" s="202">
        <v>75.0</v>
      </c>
      <c r="K10" s="203">
        <v>0.38</v>
      </c>
      <c r="L10" s="203">
        <v>-1.25</v>
      </c>
      <c r="M10" s="204">
        <v>16.666666666666668</v>
      </c>
      <c r="N10" s="204">
        <v>50.0</v>
      </c>
      <c r="O10" s="51">
        <v>1.0</v>
      </c>
      <c r="T10" s="199"/>
      <c r="U10" s="199"/>
      <c r="V10" s="199"/>
    </row>
    <row r="11">
      <c r="A11" s="80">
        <v>10.0</v>
      </c>
      <c r="B11" s="200" t="s">
        <v>37</v>
      </c>
      <c r="C11" s="200" t="s">
        <v>36</v>
      </c>
      <c r="D11" s="51">
        <v>2.0</v>
      </c>
      <c r="E11" s="60">
        <v>6.0</v>
      </c>
      <c r="F11" s="60">
        <v>6.0</v>
      </c>
      <c r="G11" s="201">
        <v>19.444444444444443</v>
      </c>
      <c r="H11" s="201">
        <v>11.111111111111112</v>
      </c>
      <c r="I11" s="202">
        <v>82.5</v>
      </c>
      <c r="J11" s="202">
        <v>90.0</v>
      </c>
      <c r="K11" s="203">
        <v>0.88</v>
      </c>
      <c r="L11" s="203">
        <v>0.5</v>
      </c>
      <c r="M11" s="204">
        <v>0.0</v>
      </c>
      <c r="N11" s="204">
        <v>16.666666666666668</v>
      </c>
      <c r="O11" s="51">
        <v>2.0</v>
      </c>
      <c r="T11" s="199"/>
      <c r="U11" s="199"/>
      <c r="V11" s="199"/>
    </row>
    <row r="12">
      <c r="A12" s="80">
        <v>11.0</v>
      </c>
      <c r="B12" s="200" t="s">
        <v>36</v>
      </c>
      <c r="C12" s="200" t="s">
        <v>37</v>
      </c>
      <c r="D12" s="51">
        <v>3.0</v>
      </c>
      <c r="E12" s="60">
        <v>6.0</v>
      </c>
      <c r="F12" s="60">
        <v>5.0</v>
      </c>
      <c r="G12" s="201">
        <v>38.88888888888889</v>
      </c>
      <c r="H12" s="201">
        <v>19.444444444444443</v>
      </c>
      <c r="I12" s="202">
        <v>97.5</v>
      </c>
      <c r="J12" s="202">
        <v>92.5</v>
      </c>
      <c r="K12" s="203">
        <v>0.63</v>
      </c>
      <c r="L12" s="203">
        <v>-0.25</v>
      </c>
      <c r="M12" s="204">
        <v>33.333333333333336</v>
      </c>
      <c r="N12" s="204">
        <v>16.666666666666668</v>
      </c>
      <c r="O12" s="51">
        <v>3.0</v>
      </c>
      <c r="T12" s="199"/>
      <c r="U12" s="199"/>
      <c r="V12" s="199"/>
    </row>
    <row r="13">
      <c r="A13" s="80">
        <v>12.0</v>
      </c>
      <c r="B13" s="200" t="s">
        <v>41</v>
      </c>
      <c r="C13" s="200" t="s">
        <v>40</v>
      </c>
      <c r="D13" s="51">
        <v>4.0</v>
      </c>
      <c r="E13" s="60">
        <v>6.0</v>
      </c>
      <c r="F13" s="60">
        <v>5.0</v>
      </c>
      <c r="G13" s="201">
        <v>25.0</v>
      </c>
      <c r="H13" s="201">
        <v>22.222222222222225</v>
      </c>
      <c r="I13" s="202">
        <v>90.0</v>
      </c>
      <c r="J13" s="202">
        <v>90.0</v>
      </c>
      <c r="K13" s="203">
        <v>1.25</v>
      </c>
      <c r="L13" s="203">
        <v>1.25</v>
      </c>
      <c r="M13" s="204">
        <v>66.66666666666667</v>
      </c>
      <c r="N13" s="204">
        <v>33.333333333333336</v>
      </c>
      <c r="O13" s="51">
        <v>4.0</v>
      </c>
      <c r="T13" s="199"/>
      <c r="U13" s="199"/>
      <c r="V13" s="199"/>
    </row>
    <row r="14">
      <c r="A14" s="80">
        <v>13.0</v>
      </c>
      <c r="B14" s="200" t="s">
        <v>40</v>
      </c>
      <c r="C14" s="200" t="s">
        <v>41</v>
      </c>
      <c r="D14" s="51">
        <v>1.0</v>
      </c>
      <c r="E14" s="60">
        <v>6.0</v>
      </c>
      <c r="F14" s="60">
        <v>4.0</v>
      </c>
      <c r="G14" s="201">
        <v>30.555555555555557</v>
      </c>
      <c r="H14" s="201">
        <v>38.88888888888889</v>
      </c>
      <c r="I14" s="202">
        <v>95.0</v>
      </c>
      <c r="J14" s="202">
        <v>95.0</v>
      </c>
      <c r="K14" s="203">
        <v>2.25</v>
      </c>
      <c r="L14" s="203">
        <v>2.25</v>
      </c>
      <c r="M14" s="204">
        <v>16.666666666666668</v>
      </c>
      <c r="N14" s="204">
        <v>50.0</v>
      </c>
      <c r="O14" s="51">
        <v>1.0</v>
      </c>
      <c r="T14" s="199"/>
      <c r="U14" s="199"/>
      <c r="V14" s="199"/>
    </row>
    <row r="15">
      <c r="A15" s="80">
        <v>14.0</v>
      </c>
      <c r="B15" s="200" t="s">
        <v>37</v>
      </c>
      <c r="C15" s="200" t="s">
        <v>36</v>
      </c>
      <c r="D15" s="51">
        <v>2.0</v>
      </c>
      <c r="E15" s="60">
        <v>4.0</v>
      </c>
      <c r="F15" s="60">
        <v>4.0</v>
      </c>
      <c r="G15" s="201">
        <v>44.444444444444436</v>
      </c>
      <c r="H15" s="201">
        <v>52.77777777777778</v>
      </c>
      <c r="I15" s="202">
        <v>35.0</v>
      </c>
      <c r="J15" s="202">
        <v>57.5</v>
      </c>
      <c r="K15" s="203">
        <v>0.38</v>
      </c>
      <c r="L15" s="203">
        <v>1.0</v>
      </c>
      <c r="M15" s="204">
        <v>33.333333333333336</v>
      </c>
      <c r="N15" s="204">
        <v>66.66666666666667</v>
      </c>
      <c r="O15" s="51">
        <v>2.0</v>
      </c>
      <c r="T15" s="199"/>
      <c r="U15" s="199"/>
      <c r="V15" s="199"/>
    </row>
    <row r="16">
      <c r="A16" s="80">
        <v>15.0</v>
      </c>
      <c r="B16" s="200" t="s">
        <v>36</v>
      </c>
      <c r="C16" s="200" t="s">
        <v>37</v>
      </c>
      <c r="D16" s="51">
        <v>3.0</v>
      </c>
      <c r="E16" s="60">
        <v>6.0</v>
      </c>
      <c r="F16" s="60">
        <v>7.0</v>
      </c>
      <c r="G16" s="201">
        <v>25.0</v>
      </c>
      <c r="H16" s="201">
        <v>22.222222222222225</v>
      </c>
      <c r="I16" s="202">
        <v>97.5</v>
      </c>
      <c r="J16" s="202">
        <v>95.0</v>
      </c>
      <c r="K16" s="203">
        <v>1.88</v>
      </c>
      <c r="L16" s="203">
        <v>1.63</v>
      </c>
      <c r="M16" s="204">
        <v>16.666666666666668</v>
      </c>
      <c r="N16" s="204">
        <v>0.0</v>
      </c>
      <c r="O16" s="51">
        <v>3.0</v>
      </c>
      <c r="T16" s="199"/>
      <c r="U16" s="199"/>
      <c r="V16" s="199"/>
    </row>
    <row r="17">
      <c r="A17" s="80">
        <v>16.0</v>
      </c>
      <c r="B17" s="200" t="s">
        <v>41</v>
      </c>
      <c r="C17" s="200" t="s">
        <v>40</v>
      </c>
      <c r="D17" s="51">
        <v>4.0</v>
      </c>
      <c r="E17" s="60">
        <v>5.0</v>
      </c>
      <c r="F17" s="60">
        <v>6.0</v>
      </c>
      <c r="G17" s="201">
        <v>22.222222222222225</v>
      </c>
      <c r="H17" s="201">
        <v>25.0</v>
      </c>
      <c r="I17" s="202">
        <v>80.0</v>
      </c>
      <c r="J17" s="202">
        <v>87.5</v>
      </c>
      <c r="K17" s="203">
        <v>0.63</v>
      </c>
      <c r="L17" s="203">
        <v>0.75</v>
      </c>
      <c r="M17" s="204">
        <v>16.666666666666668</v>
      </c>
      <c r="N17" s="204">
        <v>16.666666666666668</v>
      </c>
      <c r="O17" s="51">
        <v>4.0</v>
      </c>
      <c r="T17" s="199"/>
      <c r="U17" s="199"/>
      <c r="V17" s="199"/>
    </row>
    <row r="18">
      <c r="A18" s="80">
        <v>17.0</v>
      </c>
      <c r="B18" s="200" t="s">
        <v>40</v>
      </c>
      <c r="C18" s="200" t="s">
        <v>41</v>
      </c>
      <c r="D18" s="51">
        <v>1.0</v>
      </c>
      <c r="E18" s="60">
        <v>6.0</v>
      </c>
      <c r="F18" s="60">
        <v>5.0</v>
      </c>
      <c r="G18" s="201">
        <v>36.11111111111111</v>
      </c>
      <c r="H18" s="201">
        <v>50.0</v>
      </c>
      <c r="I18" s="202">
        <v>82.5</v>
      </c>
      <c r="J18" s="202">
        <v>65.0</v>
      </c>
      <c r="K18" s="203">
        <v>0.63</v>
      </c>
      <c r="L18" s="203">
        <v>-0.38</v>
      </c>
      <c r="M18" s="204">
        <v>16.666666666666668</v>
      </c>
      <c r="N18" s="204">
        <v>66.66666666666667</v>
      </c>
      <c r="O18" s="51">
        <v>1.0</v>
      </c>
      <c r="T18" s="199"/>
      <c r="U18" s="199"/>
      <c r="V18" s="199"/>
    </row>
    <row r="19">
      <c r="A19" s="80">
        <v>18.0</v>
      </c>
      <c r="B19" s="200" t="s">
        <v>37</v>
      </c>
      <c r="C19" s="200" t="s">
        <v>36</v>
      </c>
      <c r="D19" s="51">
        <v>2.0</v>
      </c>
      <c r="E19" s="60">
        <v>4.0</v>
      </c>
      <c r="F19" s="60">
        <v>5.0</v>
      </c>
      <c r="G19" s="201">
        <v>41.666666666666664</v>
      </c>
      <c r="H19" s="201">
        <v>38.88888888888889</v>
      </c>
      <c r="I19" s="202">
        <v>72.5</v>
      </c>
      <c r="J19" s="202">
        <v>60.0</v>
      </c>
      <c r="K19" s="203">
        <v>1.0</v>
      </c>
      <c r="L19" s="203">
        <v>1.25</v>
      </c>
      <c r="M19" s="204">
        <v>16.666666666666668</v>
      </c>
      <c r="N19" s="204">
        <v>33.333333333333336</v>
      </c>
      <c r="O19" s="51">
        <v>2.0</v>
      </c>
      <c r="T19" s="199"/>
      <c r="U19" s="199"/>
      <c r="V19" s="199"/>
    </row>
    <row r="20">
      <c r="A20" s="80">
        <v>19.0</v>
      </c>
      <c r="B20" s="200" t="s">
        <v>36</v>
      </c>
      <c r="C20" s="200" t="s">
        <v>37</v>
      </c>
      <c r="D20" s="51">
        <v>3.0</v>
      </c>
      <c r="E20" s="60">
        <v>5.0</v>
      </c>
      <c r="F20" s="60">
        <v>7.0</v>
      </c>
      <c r="G20" s="201">
        <v>50.0</v>
      </c>
      <c r="H20" s="201">
        <v>36.11111111111111</v>
      </c>
      <c r="I20" s="202">
        <v>67.5</v>
      </c>
      <c r="J20" s="202">
        <v>77.5</v>
      </c>
      <c r="K20" s="203">
        <v>1.63</v>
      </c>
      <c r="L20" s="203">
        <v>2.13</v>
      </c>
      <c r="M20" s="204">
        <v>16.666666666666668</v>
      </c>
      <c r="N20" s="204">
        <v>0.0</v>
      </c>
      <c r="O20" s="51">
        <v>3.0</v>
      </c>
      <c r="T20" s="199"/>
      <c r="U20" s="199"/>
      <c r="V20" s="199"/>
    </row>
    <row r="21">
      <c r="A21" s="80">
        <v>20.0</v>
      </c>
      <c r="B21" s="200" t="s">
        <v>41</v>
      </c>
      <c r="C21" s="200" t="s">
        <v>40</v>
      </c>
      <c r="D21" s="51">
        <v>4.0</v>
      </c>
      <c r="E21" s="60">
        <v>6.0</v>
      </c>
      <c r="F21" s="60">
        <v>7.0</v>
      </c>
      <c r="G21" s="201">
        <v>50.0</v>
      </c>
      <c r="H21" s="201">
        <v>38.88888888888889</v>
      </c>
      <c r="I21" s="202">
        <v>77.5</v>
      </c>
      <c r="J21" s="202">
        <v>87.5</v>
      </c>
      <c r="K21" s="203">
        <v>1.0</v>
      </c>
      <c r="L21" s="203">
        <v>1.63</v>
      </c>
      <c r="M21" s="204">
        <v>83.33333333333333</v>
      </c>
      <c r="N21" s="204">
        <v>50.0</v>
      </c>
      <c r="O21" s="51">
        <v>4.0</v>
      </c>
      <c r="T21" s="199"/>
      <c r="U21" s="199"/>
      <c r="V21" s="199"/>
    </row>
    <row r="22">
      <c r="A22" s="80">
        <v>21.0</v>
      </c>
      <c r="B22" s="200" t="s">
        <v>36</v>
      </c>
      <c r="C22" s="200" t="s">
        <v>37</v>
      </c>
      <c r="D22" s="51">
        <v>3.0</v>
      </c>
      <c r="E22" s="60">
        <v>6.0</v>
      </c>
      <c r="F22" s="60">
        <v>2.0</v>
      </c>
      <c r="G22" s="201">
        <v>41.666666666666664</v>
      </c>
      <c r="H22" s="201">
        <v>52.77777777777778</v>
      </c>
      <c r="I22" s="202">
        <v>92.5</v>
      </c>
      <c r="J22" s="202">
        <v>37.5</v>
      </c>
      <c r="K22" s="203">
        <v>1.25</v>
      </c>
      <c r="L22" s="203">
        <v>-1.0</v>
      </c>
      <c r="M22" s="204">
        <v>16.666666666666668</v>
      </c>
      <c r="N22" s="204">
        <v>16.666666666666668</v>
      </c>
      <c r="O22" s="51">
        <v>3.0</v>
      </c>
      <c r="T22" s="199"/>
      <c r="U22" s="199"/>
      <c r="V22" s="199"/>
    </row>
    <row r="23">
      <c r="A23" s="80"/>
      <c r="B23" s="59"/>
      <c r="C23" s="59"/>
      <c r="D23" s="80"/>
    </row>
    <row r="24">
      <c r="A24" s="51"/>
      <c r="B24" s="26"/>
      <c r="D24" s="51"/>
      <c r="E24" s="51"/>
      <c r="F24" s="51"/>
      <c r="G24" s="51"/>
      <c r="H24" s="51"/>
    </row>
    <row r="25" ht="22.5" customHeight="1">
      <c r="A25" s="205" t="s">
        <v>2</v>
      </c>
      <c r="B25" s="206" t="s">
        <v>87</v>
      </c>
      <c r="C25" s="206" t="s">
        <v>88</v>
      </c>
      <c r="D25" s="205" t="s">
        <v>153</v>
      </c>
      <c r="E25" s="207" t="s">
        <v>111</v>
      </c>
      <c r="F25" s="207" t="s">
        <v>112</v>
      </c>
      <c r="G25" s="207" t="s">
        <v>185</v>
      </c>
      <c r="H25" s="207" t="s">
        <v>186</v>
      </c>
      <c r="I25" s="208" t="s">
        <v>187</v>
      </c>
      <c r="J25" s="208" t="s">
        <v>188</v>
      </c>
      <c r="K25" s="207" t="s">
        <v>189</v>
      </c>
      <c r="L25" s="207" t="s">
        <v>190</v>
      </c>
      <c r="M25" s="209" t="s">
        <v>191</v>
      </c>
      <c r="N25" s="209" t="s">
        <v>192</v>
      </c>
    </row>
    <row r="26" ht="22.5" customHeight="1">
      <c r="A26" s="210">
        <v>1.0</v>
      </c>
      <c r="B26" s="211" t="s">
        <v>40</v>
      </c>
      <c r="C26" s="211" t="s">
        <v>41</v>
      </c>
      <c r="D26" s="212">
        <v>1.0</v>
      </c>
      <c r="E26" s="213">
        <v>5.0</v>
      </c>
      <c r="F26" s="213">
        <v>3.0</v>
      </c>
      <c r="G26" s="214">
        <v>38.88888888888889</v>
      </c>
      <c r="H26" s="214">
        <v>41.666666666666664</v>
      </c>
      <c r="I26" s="215">
        <v>72.5</v>
      </c>
      <c r="J26" s="215">
        <v>65.0</v>
      </c>
      <c r="K26" s="216">
        <v>-0.38</v>
      </c>
      <c r="L26" s="216">
        <v>-0.25</v>
      </c>
      <c r="M26" s="217">
        <v>50.0</v>
      </c>
      <c r="N26" s="217">
        <v>33.333333333333336</v>
      </c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9"/>
    </row>
    <row r="27" ht="22.5" customHeight="1">
      <c r="A27" s="220">
        <v>5.0</v>
      </c>
      <c r="B27" s="221" t="s">
        <v>40</v>
      </c>
      <c r="C27" s="221" t="s">
        <v>41</v>
      </c>
      <c r="D27" s="222">
        <v>1.0</v>
      </c>
      <c r="E27" s="223">
        <v>5.0</v>
      </c>
      <c r="F27" s="223">
        <v>3.0</v>
      </c>
      <c r="G27" s="224">
        <v>38.88888888888889</v>
      </c>
      <c r="H27" s="224">
        <v>52.77777777777778</v>
      </c>
      <c r="I27" s="225">
        <v>75.0</v>
      </c>
      <c r="J27" s="225">
        <v>70.0</v>
      </c>
      <c r="K27" s="226">
        <v>-0.25</v>
      </c>
      <c r="L27" s="226">
        <v>0.38</v>
      </c>
      <c r="M27" s="227">
        <v>50.0</v>
      </c>
      <c r="N27" s="227">
        <v>66.66666666666667</v>
      </c>
      <c r="Z27" s="228"/>
    </row>
    <row r="28" ht="22.5" customHeight="1">
      <c r="A28" s="220">
        <v>9.0</v>
      </c>
      <c r="B28" s="221" t="s">
        <v>40</v>
      </c>
      <c r="C28" s="221" t="s">
        <v>41</v>
      </c>
      <c r="D28" s="222">
        <v>1.0</v>
      </c>
      <c r="E28" s="223">
        <v>6.0</v>
      </c>
      <c r="F28" s="223">
        <v>4.0</v>
      </c>
      <c r="G28" s="224">
        <v>27.777777777777775</v>
      </c>
      <c r="H28" s="224">
        <v>47.22222222222223</v>
      </c>
      <c r="I28" s="225">
        <v>90.0</v>
      </c>
      <c r="J28" s="225">
        <v>75.0</v>
      </c>
      <c r="K28" s="226">
        <v>0.38</v>
      </c>
      <c r="L28" s="226">
        <v>-1.25</v>
      </c>
      <c r="M28" s="227">
        <v>16.666666666666668</v>
      </c>
      <c r="N28" s="227">
        <v>50.0</v>
      </c>
      <c r="Z28" s="228"/>
    </row>
    <row r="29" ht="22.5" customHeight="1">
      <c r="A29" s="220">
        <v>13.0</v>
      </c>
      <c r="B29" s="221" t="s">
        <v>40</v>
      </c>
      <c r="C29" s="221" t="s">
        <v>41</v>
      </c>
      <c r="D29" s="222">
        <v>1.0</v>
      </c>
      <c r="E29" s="223">
        <v>6.0</v>
      </c>
      <c r="F29" s="223">
        <v>4.0</v>
      </c>
      <c r="G29" s="224">
        <v>30.555555555555557</v>
      </c>
      <c r="H29" s="224">
        <v>38.88888888888889</v>
      </c>
      <c r="I29" s="225">
        <v>95.0</v>
      </c>
      <c r="J29" s="225">
        <v>95.0</v>
      </c>
      <c r="K29" s="226">
        <v>2.25</v>
      </c>
      <c r="L29" s="226">
        <v>2.25</v>
      </c>
      <c r="M29" s="227">
        <v>16.666666666666668</v>
      </c>
      <c r="N29" s="227">
        <v>50.0</v>
      </c>
      <c r="Z29" s="228"/>
    </row>
    <row r="30" ht="22.5" customHeight="1">
      <c r="A30" s="229">
        <v>17.0</v>
      </c>
      <c r="B30" s="230" t="s">
        <v>40</v>
      </c>
      <c r="C30" s="230" t="s">
        <v>41</v>
      </c>
      <c r="D30" s="231">
        <v>1.0</v>
      </c>
      <c r="E30" s="232">
        <v>6.0</v>
      </c>
      <c r="F30" s="232">
        <v>5.0</v>
      </c>
      <c r="G30" s="233">
        <v>36.11111111111111</v>
      </c>
      <c r="H30" s="233">
        <v>50.0</v>
      </c>
      <c r="I30" s="234">
        <v>82.5</v>
      </c>
      <c r="J30" s="234">
        <v>65.0</v>
      </c>
      <c r="K30" s="235">
        <v>0.63</v>
      </c>
      <c r="L30" s="235">
        <v>-0.38</v>
      </c>
      <c r="M30" s="236">
        <v>16.666666666666668</v>
      </c>
      <c r="N30" s="236">
        <v>66.66666666666667</v>
      </c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8"/>
    </row>
    <row r="31" ht="22.5" customHeight="1">
      <c r="A31" s="210">
        <v>2.0</v>
      </c>
      <c r="B31" s="211" t="s">
        <v>37</v>
      </c>
      <c r="C31" s="211" t="s">
        <v>36</v>
      </c>
      <c r="D31" s="212">
        <v>2.0</v>
      </c>
      <c r="E31" s="213">
        <v>5.0</v>
      </c>
      <c r="F31" s="213">
        <v>3.0</v>
      </c>
      <c r="G31" s="214">
        <v>41.666666666666664</v>
      </c>
      <c r="H31" s="214">
        <v>66.66666666666667</v>
      </c>
      <c r="I31" s="215">
        <v>90.0</v>
      </c>
      <c r="J31" s="215">
        <v>52.5</v>
      </c>
      <c r="K31" s="216">
        <v>1.5</v>
      </c>
      <c r="L31" s="216">
        <v>1.25</v>
      </c>
      <c r="M31" s="217">
        <v>33.333333333333336</v>
      </c>
      <c r="N31" s="217">
        <v>83.33333333333333</v>
      </c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9"/>
    </row>
    <row r="32" ht="22.5" customHeight="1">
      <c r="A32" s="220">
        <v>6.0</v>
      </c>
      <c r="B32" s="221" t="s">
        <v>37</v>
      </c>
      <c r="C32" s="221" t="s">
        <v>36</v>
      </c>
      <c r="D32" s="222">
        <v>2.0</v>
      </c>
      <c r="E32" s="223">
        <v>6.0</v>
      </c>
      <c r="F32" s="223">
        <v>5.0</v>
      </c>
      <c r="G32" s="224">
        <v>25.0</v>
      </c>
      <c r="H32" s="224">
        <v>30.555555555555557</v>
      </c>
      <c r="I32" s="225">
        <v>97.5</v>
      </c>
      <c r="J32" s="225">
        <v>95.0</v>
      </c>
      <c r="K32" s="226">
        <v>2.63</v>
      </c>
      <c r="L32" s="226">
        <v>2.63</v>
      </c>
      <c r="M32" s="227">
        <v>16.666666666666668</v>
      </c>
      <c r="N32" s="227">
        <v>33.333333333333336</v>
      </c>
      <c r="Z32" s="228"/>
    </row>
    <row r="33" ht="22.5" customHeight="1">
      <c r="A33" s="220">
        <v>10.0</v>
      </c>
      <c r="B33" s="221" t="s">
        <v>37</v>
      </c>
      <c r="C33" s="221" t="s">
        <v>36</v>
      </c>
      <c r="D33" s="222">
        <v>2.0</v>
      </c>
      <c r="E33" s="223">
        <v>6.0</v>
      </c>
      <c r="F33" s="223">
        <v>6.0</v>
      </c>
      <c r="G33" s="224">
        <v>19.444444444444443</v>
      </c>
      <c r="H33" s="224">
        <v>11.111111111111112</v>
      </c>
      <c r="I33" s="225">
        <v>82.5</v>
      </c>
      <c r="J33" s="225">
        <v>90.0</v>
      </c>
      <c r="K33" s="226">
        <v>0.88</v>
      </c>
      <c r="L33" s="226">
        <v>0.5</v>
      </c>
      <c r="M33" s="227">
        <v>0.0</v>
      </c>
      <c r="N33" s="227">
        <v>16.666666666666668</v>
      </c>
      <c r="Z33" s="228"/>
    </row>
    <row r="34" ht="22.5" customHeight="1">
      <c r="A34" s="220">
        <v>14.0</v>
      </c>
      <c r="B34" s="221" t="s">
        <v>37</v>
      </c>
      <c r="C34" s="221" t="s">
        <v>36</v>
      </c>
      <c r="D34" s="222">
        <v>2.0</v>
      </c>
      <c r="E34" s="223">
        <v>4.0</v>
      </c>
      <c r="F34" s="223">
        <v>4.0</v>
      </c>
      <c r="G34" s="224">
        <v>44.444444444444436</v>
      </c>
      <c r="H34" s="224">
        <v>52.77777777777778</v>
      </c>
      <c r="I34" s="225">
        <v>35.0</v>
      </c>
      <c r="J34" s="225">
        <v>57.5</v>
      </c>
      <c r="K34" s="226">
        <v>0.38</v>
      </c>
      <c r="L34" s="226">
        <v>1.0</v>
      </c>
      <c r="M34" s="227">
        <v>33.333333333333336</v>
      </c>
      <c r="N34" s="227">
        <v>66.66666666666667</v>
      </c>
      <c r="Z34" s="228"/>
    </row>
    <row r="35" ht="22.5" customHeight="1">
      <c r="A35" s="229">
        <v>18.0</v>
      </c>
      <c r="B35" s="230" t="s">
        <v>37</v>
      </c>
      <c r="C35" s="230" t="s">
        <v>36</v>
      </c>
      <c r="D35" s="231">
        <v>2.0</v>
      </c>
      <c r="E35" s="232">
        <v>4.0</v>
      </c>
      <c r="F35" s="232">
        <v>5.0</v>
      </c>
      <c r="G35" s="233">
        <v>41.666666666666664</v>
      </c>
      <c r="H35" s="233">
        <v>38.88888888888889</v>
      </c>
      <c r="I35" s="234">
        <v>72.5</v>
      </c>
      <c r="J35" s="234">
        <v>60.0</v>
      </c>
      <c r="K35" s="235">
        <v>1.0</v>
      </c>
      <c r="L35" s="235">
        <v>1.25</v>
      </c>
      <c r="M35" s="236">
        <v>16.666666666666668</v>
      </c>
      <c r="N35" s="236">
        <v>33.333333333333336</v>
      </c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8"/>
    </row>
    <row r="36" ht="22.5" customHeight="1">
      <c r="A36" s="210">
        <v>7.0</v>
      </c>
      <c r="B36" s="211" t="s">
        <v>36</v>
      </c>
      <c r="C36" s="211" t="s">
        <v>37</v>
      </c>
      <c r="D36" s="212">
        <v>3.0</v>
      </c>
      <c r="E36" s="213">
        <v>3.0</v>
      </c>
      <c r="F36" s="213">
        <v>3.0</v>
      </c>
      <c r="G36" s="214">
        <v>41.666666666666664</v>
      </c>
      <c r="H36" s="214">
        <v>58.333333333333336</v>
      </c>
      <c r="I36" s="215">
        <v>72.5</v>
      </c>
      <c r="J36" s="215">
        <v>47.5</v>
      </c>
      <c r="K36" s="216">
        <v>1.38</v>
      </c>
      <c r="L36" s="216">
        <v>0.0</v>
      </c>
      <c r="M36" s="217">
        <v>50.0</v>
      </c>
      <c r="N36" s="217">
        <v>66.66666666666667</v>
      </c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9"/>
    </row>
    <row r="37" ht="22.5" customHeight="1">
      <c r="A37" s="220">
        <v>11.0</v>
      </c>
      <c r="B37" s="221" t="s">
        <v>36</v>
      </c>
      <c r="C37" s="221" t="s">
        <v>37</v>
      </c>
      <c r="D37" s="222">
        <v>3.0</v>
      </c>
      <c r="E37" s="223">
        <v>6.0</v>
      </c>
      <c r="F37" s="223">
        <v>5.0</v>
      </c>
      <c r="G37" s="224">
        <v>38.88888888888889</v>
      </c>
      <c r="H37" s="224">
        <v>19.444444444444443</v>
      </c>
      <c r="I37" s="225">
        <v>97.5</v>
      </c>
      <c r="J37" s="225">
        <v>92.5</v>
      </c>
      <c r="K37" s="226">
        <v>0.63</v>
      </c>
      <c r="L37" s="226">
        <v>-0.25</v>
      </c>
      <c r="M37" s="227">
        <v>33.333333333333336</v>
      </c>
      <c r="N37" s="227">
        <v>16.666666666666668</v>
      </c>
      <c r="Z37" s="228"/>
    </row>
    <row r="38" ht="22.5" customHeight="1">
      <c r="A38" s="220">
        <v>15.0</v>
      </c>
      <c r="B38" s="221" t="s">
        <v>36</v>
      </c>
      <c r="C38" s="221" t="s">
        <v>37</v>
      </c>
      <c r="D38" s="222">
        <v>3.0</v>
      </c>
      <c r="E38" s="223">
        <v>6.0</v>
      </c>
      <c r="F38" s="223">
        <v>7.0</v>
      </c>
      <c r="G38" s="224">
        <v>25.0</v>
      </c>
      <c r="H38" s="224">
        <v>22.222222222222225</v>
      </c>
      <c r="I38" s="225">
        <v>97.5</v>
      </c>
      <c r="J38" s="225">
        <v>95.0</v>
      </c>
      <c r="K38" s="226">
        <v>1.88</v>
      </c>
      <c r="L38" s="226">
        <v>1.63</v>
      </c>
      <c r="M38" s="227">
        <v>16.666666666666668</v>
      </c>
      <c r="N38" s="227">
        <v>0.0</v>
      </c>
      <c r="Z38" s="228"/>
    </row>
    <row r="39" ht="22.5" customHeight="1">
      <c r="A39" s="220">
        <v>19.0</v>
      </c>
      <c r="B39" s="221" t="s">
        <v>36</v>
      </c>
      <c r="C39" s="221" t="s">
        <v>37</v>
      </c>
      <c r="D39" s="222">
        <v>3.0</v>
      </c>
      <c r="E39" s="223">
        <v>5.0</v>
      </c>
      <c r="F39" s="223">
        <v>7.0</v>
      </c>
      <c r="G39" s="224">
        <v>50.0</v>
      </c>
      <c r="H39" s="224">
        <v>36.11111111111111</v>
      </c>
      <c r="I39" s="225">
        <v>67.5</v>
      </c>
      <c r="J39" s="225">
        <v>77.5</v>
      </c>
      <c r="K39" s="226">
        <v>1.63</v>
      </c>
      <c r="L39" s="226">
        <v>2.13</v>
      </c>
      <c r="M39" s="227">
        <v>16.666666666666668</v>
      </c>
      <c r="N39" s="227">
        <v>0.0</v>
      </c>
      <c r="Z39" s="228"/>
    </row>
    <row r="40" ht="22.5" customHeight="1">
      <c r="A40" s="229">
        <v>21.0</v>
      </c>
      <c r="B40" s="230" t="s">
        <v>36</v>
      </c>
      <c r="C40" s="230" t="s">
        <v>37</v>
      </c>
      <c r="D40" s="231">
        <v>3.0</v>
      </c>
      <c r="E40" s="232">
        <v>6.0</v>
      </c>
      <c r="F40" s="232">
        <v>2.0</v>
      </c>
      <c r="G40" s="233">
        <v>41.666666666666664</v>
      </c>
      <c r="H40" s="233">
        <v>52.77777777777778</v>
      </c>
      <c r="I40" s="234">
        <v>92.5</v>
      </c>
      <c r="J40" s="234">
        <v>37.5</v>
      </c>
      <c r="K40" s="235">
        <v>1.25</v>
      </c>
      <c r="L40" s="235">
        <v>-1.0</v>
      </c>
      <c r="M40" s="236">
        <v>16.666666666666668</v>
      </c>
      <c r="N40" s="236">
        <v>16.666666666666668</v>
      </c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8"/>
    </row>
    <row r="41" ht="22.5" customHeight="1">
      <c r="A41" s="210">
        <v>4.0</v>
      </c>
      <c r="B41" s="211" t="s">
        <v>41</v>
      </c>
      <c r="C41" s="211" t="s">
        <v>40</v>
      </c>
      <c r="D41" s="212">
        <v>4.0</v>
      </c>
      <c r="E41" s="213">
        <v>3.0</v>
      </c>
      <c r="F41" s="213">
        <v>6.0</v>
      </c>
      <c r="G41" s="214">
        <v>58.333333333333336</v>
      </c>
      <c r="H41" s="214">
        <v>41.666666666666664</v>
      </c>
      <c r="I41" s="215">
        <v>75.0</v>
      </c>
      <c r="J41" s="215">
        <v>80.0</v>
      </c>
      <c r="K41" s="216">
        <v>0.5</v>
      </c>
      <c r="L41" s="216">
        <v>-0.25</v>
      </c>
      <c r="M41" s="217">
        <v>50.0</v>
      </c>
      <c r="N41" s="217">
        <v>33.333333333333336</v>
      </c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9"/>
    </row>
    <row r="42" ht="22.5" customHeight="1">
      <c r="A42" s="220">
        <v>8.0</v>
      </c>
      <c r="B42" s="221" t="s">
        <v>41</v>
      </c>
      <c r="C42" s="221" t="s">
        <v>40</v>
      </c>
      <c r="D42" s="222">
        <v>4.0</v>
      </c>
      <c r="E42" s="223">
        <v>5.0</v>
      </c>
      <c r="F42" s="223">
        <v>7.0</v>
      </c>
      <c r="G42" s="224">
        <v>36.11111111111111</v>
      </c>
      <c r="H42" s="224">
        <v>16.666666666666668</v>
      </c>
      <c r="I42" s="225">
        <v>97.5</v>
      </c>
      <c r="J42" s="225">
        <v>100.0</v>
      </c>
      <c r="K42" s="226">
        <v>1.25</v>
      </c>
      <c r="L42" s="226">
        <v>1.88</v>
      </c>
      <c r="M42" s="227">
        <v>83.33333333333333</v>
      </c>
      <c r="N42" s="227">
        <v>0.0</v>
      </c>
      <c r="Z42" s="228"/>
    </row>
    <row r="43" ht="22.5" customHeight="1">
      <c r="A43" s="220">
        <v>12.0</v>
      </c>
      <c r="B43" s="221" t="s">
        <v>41</v>
      </c>
      <c r="C43" s="221" t="s">
        <v>40</v>
      </c>
      <c r="D43" s="222">
        <v>4.0</v>
      </c>
      <c r="E43" s="223">
        <v>6.0</v>
      </c>
      <c r="F43" s="223">
        <v>5.0</v>
      </c>
      <c r="G43" s="224">
        <v>25.0</v>
      </c>
      <c r="H43" s="224">
        <v>22.222222222222225</v>
      </c>
      <c r="I43" s="225">
        <v>90.0</v>
      </c>
      <c r="J43" s="225">
        <v>90.0</v>
      </c>
      <c r="K43" s="226">
        <v>1.25</v>
      </c>
      <c r="L43" s="226">
        <v>1.25</v>
      </c>
      <c r="M43" s="227">
        <v>66.66666666666667</v>
      </c>
      <c r="N43" s="227">
        <v>33.333333333333336</v>
      </c>
      <c r="Z43" s="228"/>
    </row>
    <row r="44" ht="22.5" customHeight="1">
      <c r="A44" s="220">
        <v>16.0</v>
      </c>
      <c r="B44" s="221" t="s">
        <v>41</v>
      </c>
      <c r="C44" s="221" t="s">
        <v>40</v>
      </c>
      <c r="D44" s="222">
        <v>4.0</v>
      </c>
      <c r="E44" s="223">
        <v>5.0</v>
      </c>
      <c r="F44" s="223">
        <v>6.0</v>
      </c>
      <c r="G44" s="224">
        <v>22.222222222222225</v>
      </c>
      <c r="H44" s="224">
        <v>25.0</v>
      </c>
      <c r="I44" s="225">
        <v>80.0</v>
      </c>
      <c r="J44" s="225">
        <v>87.5</v>
      </c>
      <c r="K44" s="226">
        <v>0.63</v>
      </c>
      <c r="L44" s="226">
        <v>0.75</v>
      </c>
      <c r="M44" s="227">
        <v>16.666666666666668</v>
      </c>
      <c r="N44" s="227">
        <v>16.666666666666668</v>
      </c>
      <c r="Z44" s="228"/>
    </row>
    <row r="45" ht="22.5" customHeight="1">
      <c r="A45" s="229">
        <v>20.0</v>
      </c>
      <c r="B45" s="230" t="s">
        <v>41</v>
      </c>
      <c r="C45" s="230" t="s">
        <v>40</v>
      </c>
      <c r="D45" s="231">
        <v>4.0</v>
      </c>
      <c r="E45" s="232">
        <v>6.0</v>
      </c>
      <c r="F45" s="232">
        <v>7.0</v>
      </c>
      <c r="G45" s="233">
        <v>50.0</v>
      </c>
      <c r="H45" s="233">
        <v>38.88888888888889</v>
      </c>
      <c r="I45" s="234">
        <v>77.5</v>
      </c>
      <c r="J45" s="234">
        <v>87.5</v>
      </c>
      <c r="K45" s="235">
        <v>1.0</v>
      </c>
      <c r="L45" s="235">
        <v>1.63</v>
      </c>
      <c r="M45" s="236">
        <v>83.33333333333333</v>
      </c>
      <c r="N45" s="236">
        <v>50.0</v>
      </c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8"/>
    </row>
    <row r="46">
      <c r="I46" s="199"/>
      <c r="J46" s="199"/>
      <c r="K46" s="199"/>
      <c r="L46" s="199"/>
      <c r="M46" s="199"/>
      <c r="N46" s="199"/>
    </row>
    <row r="47">
      <c r="I47" s="199"/>
      <c r="J47" s="199"/>
      <c r="K47" s="199"/>
      <c r="L47" s="199"/>
      <c r="M47" s="199"/>
      <c r="N47" s="199"/>
    </row>
    <row r="48">
      <c r="C48" s="239"/>
      <c r="I48" s="199"/>
      <c r="J48" s="199"/>
      <c r="K48" s="199"/>
      <c r="L48" s="199"/>
      <c r="M48" s="199"/>
      <c r="N48" s="199"/>
    </row>
    <row r="49">
      <c r="I49" s="199"/>
      <c r="J49" s="199"/>
      <c r="K49" s="199"/>
      <c r="L49" s="199"/>
      <c r="M49" s="199"/>
      <c r="N49" s="199"/>
    </row>
    <row r="50">
      <c r="I50" s="199"/>
      <c r="J50" s="199"/>
      <c r="K50" s="199"/>
      <c r="L50" s="199"/>
      <c r="M50" s="199"/>
      <c r="N50" s="199"/>
    </row>
    <row r="51">
      <c r="C51" s="239"/>
      <c r="I51" s="199"/>
      <c r="J51" s="199"/>
      <c r="K51" s="199"/>
      <c r="L51" s="199"/>
      <c r="M51" s="199"/>
      <c r="N51" s="199"/>
    </row>
    <row r="52">
      <c r="A52" s="59"/>
      <c r="D52" s="80"/>
    </row>
    <row r="53">
      <c r="A53" s="80"/>
      <c r="D53" s="80"/>
    </row>
    <row r="54">
      <c r="A54" s="240"/>
      <c r="D54" s="80"/>
    </row>
    <row r="55">
      <c r="A55" s="240"/>
      <c r="D55" s="80"/>
    </row>
    <row r="56">
      <c r="A56" s="240"/>
      <c r="D56" s="80"/>
    </row>
    <row r="57">
      <c r="A57" s="240"/>
      <c r="D57" s="80"/>
    </row>
    <row r="58">
      <c r="A58" s="80"/>
      <c r="D58" s="80"/>
    </row>
    <row r="59">
      <c r="A59" s="80"/>
      <c r="D59" s="80"/>
    </row>
    <row r="60">
      <c r="A60" s="80"/>
      <c r="D60" s="80"/>
    </row>
    <row r="61">
      <c r="A61" s="80"/>
      <c r="D61" s="80"/>
    </row>
    <row r="62">
      <c r="A62" s="80"/>
      <c r="D62" s="80"/>
    </row>
    <row r="63">
      <c r="A63" s="80"/>
      <c r="D63" s="80"/>
    </row>
    <row r="64">
      <c r="A64" s="80"/>
      <c r="D64" s="80"/>
    </row>
    <row r="65">
      <c r="A65" s="80"/>
      <c r="D65" s="80"/>
    </row>
    <row r="66">
      <c r="A66" s="80"/>
      <c r="D66" s="80"/>
    </row>
    <row r="67">
      <c r="A67" s="80"/>
      <c r="D67" s="80"/>
    </row>
    <row r="68">
      <c r="A68" s="80"/>
      <c r="D68" s="80"/>
    </row>
    <row r="69">
      <c r="A69" s="80"/>
      <c r="D69" s="80"/>
    </row>
    <row r="70">
      <c r="A70" s="80"/>
      <c r="D70" s="80"/>
    </row>
    <row r="71">
      <c r="A71" s="80"/>
      <c r="D71" s="80"/>
    </row>
    <row r="72">
      <c r="A72" s="80"/>
      <c r="D72" s="80"/>
    </row>
    <row r="73">
      <c r="A73" s="80"/>
      <c r="D73" s="80"/>
    </row>
    <row r="74">
      <c r="A74" s="80"/>
      <c r="D74" s="80"/>
    </row>
    <row r="75">
      <c r="A75" s="80"/>
      <c r="D75" s="80"/>
    </row>
    <row r="76">
      <c r="A76" s="80"/>
      <c r="D76" s="80"/>
    </row>
    <row r="77">
      <c r="A77" s="80"/>
      <c r="D77" s="80"/>
    </row>
    <row r="78">
      <c r="A78" s="80"/>
      <c r="D78" s="80"/>
    </row>
    <row r="79">
      <c r="A79" s="80"/>
      <c r="D79" s="80"/>
    </row>
    <row r="80">
      <c r="A80" s="80"/>
      <c r="D80" s="80"/>
    </row>
    <row r="81">
      <c r="A81" s="80"/>
      <c r="D81" s="80"/>
    </row>
    <row r="82">
      <c r="A82" s="80"/>
      <c r="D82" s="80"/>
    </row>
    <row r="83">
      <c r="A83" s="80"/>
      <c r="D83" s="80"/>
    </row>
    <row r="84">
      <c r="A84" s="80"/>
      <c r="D84" s="80"/>
    </row>
    <row r="85">
      <c r="A85" s="80"/>
      <c r="D85" s="80"/>
    </row>
    <row r="86">
      <c r="A86" s="80"/>
      <c r="D86" s="80"/>
    </row>
    <row r="87">
      <c r="A87" s="80"/>
      <c r="D87" s="80"/>
    </row>
    <row r="88">
      <c r="A88" s="80"/>
      <c r="D88" s="80"/>
    </row>
    <row r="89">
      <c r="A89" s="80"/>
      <c r="D89" s="80"/>
    </row>
    <row r="90">
      <c r="A90" s="80"/>
      <c r="D90" s="80"/>
    </row>
    <row r="91">
      <c r="A91" s="80"/>
      <c r="D91" s="80"/>
    </row>
    <row r="92">
      <c r="A92" s="80"/>
      <c r="D92" s="80"/>
    </row>
    <row r="93">
      <c r="A93" s="80"/>
      <c r="D93" s="80"/>
    </row>
    <row r="94">
      <c r="A94" s="80"/>
      <c r="D94" s="80"/>
    </row>
    <row r="95">
      <c r="A95" s="80"/>
      <c r="D95" s="80"/>
    </row>
    <row r="96">
      <c r="A96" s="80"/>
      <c r="D96" s="80"/>
    </row>
    <row r="97">
      <c r="A97" s="80"/>
      <c r="D97" s="80"/>
    </row>
    <row r="98">
      <c r="A98" s="80"/>
      <c r="D98" s="80"/>
    </row>
    <row r="99">
      <c r="A99" s="80"/>
      <c r="D99" s="80"/>
    </row>
    <row r="100">
      <c r="A100" s="80"/>
      <c r="D100" s="80"/>
    </row>
    <row r="101">
      <c r="A101" s="80"/>
      <c r="D101" s="80"/>
    </row>
    <row r="102">
      <c r="A102" s="80"/>
      <c r="D102" s="80"/>
    </row>
    <row r="103">
      <c r="A103" s="80"/>
      <c r="D103" s="80"/>
    </row>
    <row r="104">
      <c r="A104" s="80"/>
      <c r="D104" s="80"/>
    </row>
    <row r="105">
      <c r="A105" s="80"/>
      <c r="D105" s="80"/>
    </row>
    <row r="106">
      <c r="A106" s="80"/>
      <c r="D106" s="80"/>
    </row>
    <row r="107">
      <c r="A107" s="80"/>
      <c r="D107" s="80"/>
    </row>
    <row r="108">
      <c r="A108" s="80"/>
      <c r="D108" s="80"/>
    </row>
    <row r="109">
      <c r="A109" s="80"/>
      <c r="D109" s="80"/>
    </row>
    <row r="110">
      <c r="A110" s="80"/>
      <c r="D110" s="80"/>
    </row>
    <row r="111">
      <c r="A111" s="80"/>
      <c r="D111" s="80"/>
    </row>
    <row r="112">
      <c r="A112" s="80"/>
      <c r="D112" s="80"/>
    </row>
    <row r="113">
      <c r="A113" s="80"/>
      <c r="D113" s="80"/>
    </row>
    <row r="114">
      <c r="A114" s="80"/>
      <c r="D114" s="80"/>
    </row>
    <row r="115">
      <c r="A115" s="80"/>
      <c r="D115" s="80"/>
    </row>
    <row r="116">
      <c r="A116" s="80"/>
      <c r="D116" s="80"/>
    </row>
    <row r="117">
      <c r="A117" s="80"/>
      <c r="D117" s="80"/>
    </row>
    <row r="118">
      <c r="A118" s="80"/>
      <c r="D118" s="80"/>
    </row>
    <row r="119">
      <c r="A119" s="80"/>
      <c r="D119" s="80"/>
    </row>
    <row r="120">
      <c r="A120" s="80"/>
      <c r="D120" s="80"/>
    </row>
    <row r="121">
      <c r="A121" s="80"/>
      <c r="D121" s="80"/>
    </row>
    <row r="122">
      <c r="A122" s="80"/>
      <c r="D122" s="80"/>
    </row>
    <row r="123">
      <c r="A123" s="80"/>
      <c r="D123" s="80"/>
    </row>
    <row r="124">
      <c r="A124" s="80"/>
      <c r="D124" s="80"/>
    </row>
    <row r="125">
      <c r="A125" s="80"/>
      <c r="D125" s="80"/>
    </row>
    <row r="126">
      <c r="A126" s="80"/>
      <c r="D126" s="80"/>
    </row>
    <row r="127">
      <c r="A127" s="80"/>
      <c r="D127" s="80"/>
    </row>
    <row r="128">
      <c r="A128" s="80"/>
      <c r="D128" s="80"/>
    </row>
    <row r="129">
      <c r="A129" s="80"/>
      <c r="D129" s="80"/>
    </row>
    <row r="130">
      <c r="A130" s="80"/>
      <c r="D130" s="80"/>
    </row>
    <row r="131">
      <c r="A131" s="80"/>
      <c r="D131" s="80"/>
    </row>
    <row r="132">
      <c r="A132" s="80"/>
      <c r="D132" s="80"/>
    </row>
    <row r="133">
      <c r="A133" s="80"/>
      <c r="D133" s="80"/>
    </row>
    <row r="134">
      <c r="A134" s="80"/>
      <c r="D134" s="80"/>
    </row>
    <row r="135">
      <c r="A135" s="80"/>
      <c r="D135" s="80"/>
    </row>
    <row r="136">
      <c r="A136" s="80"/>
      <c r="D136" s="80"/>
    </row>
    <row r="137">
      <c r="A137" s="80"/>
      <c r="D137" s="80"/>
    </row>
    <row r="138">
      <c r="A138" s="80"/>
      <c r="D138" s="80"/>
    </row>
    <row r="139">
      <c r="A139" s="80"/>
      <c r="D139" s="80"/>
    </row>
    <row r="140">
      <c r="A140" s="80"/>
      <c r="D140" s="80"/>
    </row>
    <row r="141">
      <c r="A141" s="80"/>
      <c r="D141" s="80"/>
    </row>
    <row r="142">
      <c r="A142" s="80"/>
      <c r="D142" s="80"/>
    </row>
    <row r="143">
      <c r="A143" s="80"/>
      <c r="D143" s="80"/>
    </row>
    <row r="144">
      <c r="A144" s="80"/>
      <c r="D144" s="80"/>
    </row>
    <row r="145">
      <c r="A145" s="80"/>
      <c r="D145" s="80"/>
    </row>
    <row r="146">
      <c r="A146" s="80"/>
      <c r="D146" s="80"/>
    </row>
    <row r="147">
      <c r="A147" s="80"/>
      <c r="D147" s="80"/>
    </row>
    <row r="148">
      <c r="A148" s="80"/>
      <c r="D148" s="80"/>
    </row>
    <row r="149">
      <c r="A149" s="80"/>
      <c r="D149" s="80"/>
    </row>
    <row r="150">
      <c r="A150" s="80"/>
      <c r="D150" s="80"/>
    </row>
    <row r="151">
      <c r="A151" s="80"/>
      <c r="D151" s="80"/>
    </row>
    <row r="152">
      <c r="A152" s="80"/>
      <c r="D152" s="80"/>
    </row>
    <row r="153">
      <c r="A153" s="80"/>
      <c r="D153" s="80"/>
    </row>
    <row r="154">
      <c r="A154" s="80"/>
      <c r="D154" s="80"/>
    </row>
    <row r="155">
      <c r="A155" s="80"/>
      <c r="D155" s="80"/>
    </row>
    <row r="156">
      <c r="A156" s="80"/>
      <c r="D156" s="80"/>
    </row>
    <row r="157">
      <c r="A157" s="80"/>
      <c r="D157" s="80"/>
    </row>
    <row r="158">
      <c r="A158" s="80"/>
      <c r="D158" s="80"/>
    </row>
    <row r="159">
      <c r="A159" s="80"/>
      <c r="D159" s="80"/>
    </row>
    <row r="160">
      <c r="A160" s="80"/>
      <c r="D160" s="80"/>
    </row>
    <row r="161">
      <c r="A161" s="80"/>
      <c r="D161" s="80"/>
    </row>
    <row r="162">
      <c r="A162" s="80"/>
      <c r="D162" s="80"/>
    </row>
    <row r="163">
      <c r="A163" s="80"/>
      <c r="D163" s="80"/>
    </row>
    <row r="164">
      <c r="A164" s="80"/>
      <c r="D164" s="80"/>
    </row>
    <row r="165">
      <c r="A165" s="80"/>
      <c r="D165" s="80"/>
    </row>
    <row r="166">
      <c r="A166" s="80"/>
      <c r="D166" s="80"/>
    </row>
    <row r="167">
      <c r="A167" s="80"/>
      <c r="D167" s="80"/>
    </row>
    <row r="168">
      <c r="A168" s="80"/>
      <c r="D168" s="80"/>
    </row>
    <row r="169">
      <c r="A169" s="80"/>
      <c r="D169" s="80"/>
    </row>
    <row r="170">
      <c r="A170" s="80"/>
      <c r="D170" s="80"/>
    </row>
    <row r="171">
      <c r="A171" s="80"/>
      <c r="D171" s="80"/>
    </row>
    <row r="172">
      <c r="A172" s="80"/>
      <c r="D172" s="80"/>
    </row>
    <row r="173">
      <c r="A173" s="80"/>
      <c r="D173" s="80"/>
    </row>
    <row r="174">
      <c r="A174" s="80"/>
      <c r="D174" s="80"/>
    </row>
    <row r="175">
      <c r="A175" s="80"/>
      <c r="D175" s="80"/>
    </row>
    <row r="176">
      <c r="A176" s="80"/>
      <c r="D176" s="80"/>
    </row>
    <row r="177">
      <c r="A177" s="80"/>
      <c r="D177" s="80"/>
    </row>
    <row r="178">
      <c r="A178" s="80"/>
      <c r="D178" s="80"/>
    </row>
    <row r="179">
      <c r="A179" s="80"/>
      <c r="D179" s="80"/>
    </row>
    <row r="180">
      <c r="A180" s="80"/>
      <c r="D180" s="80"/>
    </row>
    <row r="181">
      <c r="A181" s="80"/>
      <c r="D181" s="80"/>
    </row>
    <row r="182">
      <c r="A182" s="80"/>
      <c r="D182" s="80"/>
    </row>
    <row r="183">
      <c r="A183" s="80"/>
      <c r="D183" s="80"/>
    </row>
    <row r="184">
      <c r="A184" s="80"/>
      <c r="D184" s="80"/>
    </row>
    <row r="185">
      <c r="A185" s="80"/>
      <c r="D185" s="80"/>
    </row>
    <row r="186">
      <c r="A186" s="80"/>
      <c r="D186" s="80"/>
    </row>
    <row r="187">
      <c r="A187" s="80"/>
      <c r="D187" s="80"/>
    </row>
    <row r="188">
      <c r="A188" s="80"/>
      <c r="D188" s="80"/>
    </row>
    <row r="189">
      <c r="A189" s="80"/>
      <c r="D189" s="80"/>
    </row>
    <row r="190">
      <c r="A190" s="80"/>
      <c r="D190" s="80"/>
    </row>
    <row r="191">
      <c r="A191" s="80"/>
      <c r="D191" s="80"/>
    </row>
    <row r="192">
      <c r="A192" s="80"/>
      <c r="D192" s="80"/>
    </row>
    <row r="193">
      <c r="A193" s="80"/>
      <c r="D193" s="80"/>
    </row>
    <row r="194">
      <c r="A194" s="80"/>
      <c r="D194" s="80"/>
    </row>
    <row r="195">
      <c r="A195" s="80"/>
      <c r="D195" s="80"/>
    </row>
    <row r="196">
      <c r="A196" s="80"/>
      <c r="D196" s="80"/>
    </row>
    <row r="197">
      <c r="A197" s="80"/>
      <c r="D197" s="80"/>
    </row>
    <row r="198">
      <c r="A198" s="80"/>
      <c r="D198" s="80"/>
    </row>
    <row r="199">
      <c r="A199" s="80"/>
      <c r="D199" s="80"/>
    </row>
    <row r="200">
      <c r="A200" s="80"/>
      <c r="D200" s="80"/>
    </row>
    <row r="201">
      <c r="A201" s="80"/>
      <c r="D201" s="80"/>
    </row>
    <row r="202">
      <c r="A202" s="80"/>
      <c r="D202" s="80"/>
    </row>
    <row r="203">
      <c r="A203" s="80"/>
      <c r="D203" s="80"/>
    </row>
    <row r="204">
      <c r="A204" s="80"/>
      <c r="D204" s="80"/>
    </row>
    <row r="205">
      <c r="A205" s="80"/>
      <c r="D205" s="80"/>
    </row>
    <row r="206">
      <c r="A206" s="80"/>
      <c r="D206" s="80"/>
    </row>
    <row r="207">
      <c r="A207" s="80"/>
      <c r="D207" s="80"/>
    </row>
    <row r="208">
      <c r="A208" s="80"/>
      <c r="D208" s="80"/>
    </row>
    <row r="209">
      <c r="A209" s="80"/>
      <c r="D209" s="80"/>
    </row>
    <row r="210">
      <c r="A210" s="80"/>
      <c r="D210" s="80"/>
    </row>
    <row r="211">
      <c r="A211" s="80"/>
      <c r="D211" s="80"/>
    </row>
    <row r="212">
      <c r="A212" s="80"/>
      <c r="D212" s="80"/>
    </row>
    <row r="213">
      <c r="A213" s="80"/>
      <c r="D213" s="80"/>
    </row>
    <row r="214">
      <c r="A214" s="80"/>
      <c r="D214" s="80"/>
    </row>
    <row r="215">
      <c r="A215" s="80"/>
      <c r="D215" s="80"/>
    </row>
    <row r="216">
      <c r="A216" s="80"/>
      <c r="D216" s="80"/>
    </row>
    <row r="217">
      <c r="A217" s="80"/>
      <c r="D217" s="80"/>
    </row>
    <row r="218">
      <c r="A218" s="80"/>
      <c r="D218" s="80"/>
    </row>
    <row r="219">
      <c r="A219" s="80"/>
      <c r="D219" s="80"/>
    </row>
    <row r="220">
      <c r="A220" s="80"/>
      <c r="D220" s="80"/>
    </row>
    <row r="221">
      <c r="A221" s="80"/>
      <c r="D221" s="80"/>
    </row>
    <row r="222">
      <c r="A222" s="80"/>
      <c r="D222" s="80"/>
    </row>
    <row r="223">
      <c r="A223" s="80"/>
      <c r="D223" s="80"/>
    </row>
    <row r="224">
      <c r="A224" s="80"/>
      <c r="D224" s="80"/>
    </row>
    <row r="225">
      <c r="A225" s="80"/>
      <c r="D225" s="80"/>
    </row>
    <row r="226">
      <c r="A226" s="80"/>
      <c r="D226" s="80"/>
    </row>
    <row r="227">
      <c r="A227" s="80"/>
      <c r="D227" s="80"/>
    </row>
    <row r="228">
      <c r="A228" s="80"/>
      <c r="D228" s="80"/>
    </row>
    <row r="229">
      <c r="A229" s="80"/>
      <c r="D229" s="80"/>
    </row>
    <row r="230">
      <c r="A230" s="80"/>
      <c r="D230" s="80"/>
    </row>
    <row r="231">
      <c r="A231" s="80"/>
      <c r="D231" s="80"/>
    </row>
    <row r="232">
      <c r="A232" s="80"/>
      <c r="D232" s="80"/>
    </row>
    <row r="233">
      <c r="A233" s="80"/>
      <c r="D233" s="80"/>
    </row>
    <row r="234">
      <c r="A234" s="80"/>
      <c r="D234" s="80"/>
    </row>
    <row r="235">
      <c r="A235" s="80"/>
      <c r="D235" s="80"/>
    </row>
    <row r="236">
      <c r="A236" s="80"/>
      <c r="D236" s="80"/>
    </row>
    <row r="237">
      <c r="A237" s="80"/>
      <c r="D237" s="80"/>
    </row>
    <row r="238">
      <c r="A238" s="80"/>
      <c r="D238" s="80"/>
    </row>
    <row r="239">
      <c r="A239" s="80"/>
      <c r="D239" s="80"/>
    </row>
    <row r="240">
      <c r="A240" s="80"/>
      <c r="D240" s="80"/>
    </row>
    <row r="241">
      <c r="A241" s="80"/>
      <c r="D241" s="80"/>
    </row>
    <row r="242">
      <c r="A242" s="80"/>
      <c r="D242" s="80"/>
    </row>
    <row r="243">
      <c r="A243" s="80"/>
      <c r="D243" s="80"/>
    </row>
    <row r="244">
      <c r="A244" s="80"/>
      <c r="D244" s="80"/>
    </row>
    <row r="245">
      <c r="A245" s="80"/>
      <c r="D245" s="80"/>
    </row>
    <row r="246">
      <c r="A246" s="80"/>
      <c r="D246" s="80"/>
    </row>
    <row r="247">
      <c r="A247" s="80"/>
      <c r="D247" s="80"/>
    </row>
    <row r="248">
      <c r="A248" s="80"/>
      <c r="D248" s="80"/>
    </row>
    <row r="249">
      <c r="A249" s="80"/>
      <c r="D249" s="80"/>
    </row>
    <row r="250">
      <c r="A250" s="80"/>
      <c r="D250" s="80"/>
    </row>
    <row r="251">
      <c r="A251" s="80"/>
      <c r="D251" s="80"/>
    </row>
    <row r="252">
      <c r="A252" s="80"/>
      <c r="D252" s="80"/>
    </row>
    <row r="253">
      <c r="A253" s="80"/>
      <c r="D253" s="80"/>
    </row>
    <row r="254">
      <c r="A254" s="80"/>
      <c r="D254" s="80"/>
    </row>
    <row r="255">
      <c r="A255" s="80"/>
      <c r="D255" s="80"/>
    </row>
    <row r="256">
      <c r="A256" s="80"/>
      <c r="D256" s="80"/>
    </row>
    <row r="257">
      <c r="A257" s="80"/>
      <c r="D257" s="80"/>
    </row>
    <row r="258">
      <c r="A258" s="80"/>
      <c r="D258" s="80"/>
    </row>
    <row r="259">
      <c r="A259" s="80"/>
      <c r="D259" s="80"/>
    </row>
    <row r="260">
      <c r="A260" s="80"/>
      <c r="D260" s="80"/>
    </row>
    <row r="261">
      <c r="A261" s="80"/>
      <c r="D261" s="80"/>
    </row>
    <row r="262">
      <c r="A262" s="80"/>
      <c r="D262" s="80"/>
    </row>
    <row r="263">
      <c r="A263" s="80"/>
      <c r="D263" s="80"/>
    </row>
    <row r="264">
      <c r="A264" s="80"/>
      <c r="D264" s="80"/>
    </row>
    <row r="265">
      <c r="A265" s="80"/>
      <c r="D265" s="80"/>
    </row>
    <row r="266">
      <c r="A266" s="80"/>
      <c r="D266" s="80"/>
    </row>
    <row r="267">
      <c r="A267" s="80"/>
      <c r="D267" s="80"/>
    </row>
    <row r="268">
      <c r="A268" s="80"/>
      <c r="D268" s="80"/>
    </row>
    <row r="269">
      <c r="A269" s="80"/>
      <c r="D269" s="80"/>
    </row>
    <row r="270">
      <c r="A270" s="80"/>
      <c r="D270" s="80"/>
    </row>
    <row r="271">
      <c r="A271" s="80"/>
      <c r="D271" s="80"/>
    </row>
    <row r="272">
      <c r="A272" s="80"/>
      <c r="D272" s="80"/>
    </row>
    <row r="273">
      <c r="A273" s="80"/>
      <c r="D273" s="80"/>
    </row>
    <row r="274">
      <c r="A274" s="80"/>
      <c r="D274" s="80"/>
    </row>
    <row r="275">
      <c r="A275" s="80"/>
      <c r="D275" s="80"/>
    </row>
    <row r="276">
      <c r="A276" s="80"/>
      <c r="D276" s="80"/>
    </row>
    <row r="277">
      <c r="A277" s="80"/>
      <c r="D277" s="80"/>
    </row>
    <row r="278">
      <c r="A278" s="80"/>
      <c r="D278" s="80"/>
    </row>
    <row r="279">
      <c r="A279" s="80"/>
      <c r="D279" s="80"/>
    </row>
    <row r="280">
      <c r="A280" s="80"/>
      <c r="D280" s="80"/>
    </row>
    <row r="281">
      <c r="A281" s="80"/>
      <c r="D281" s="80"/>
    </row>
    <row r="282">
      <c r="A282" s="80"/>
      <c r="D282" s="80"/>
    </row>
    <row r="283">
      <c r="A283" s="80"/>
      <c r="D283" s="80"/>
    </row>
    <row r="284">
      <c r="A284" s="80"/>
      <c r="D284" s="80"/>
    </row>
    <row r="285">
      <c r="A285" s="80"/>
      <c r="D285" s="80"/>
    </row>
    <row r="286">
      <c r="A286" s="80"/>
      <c r="D286" s="80"/>
    </row>
    <row r="287">
      <c r="A287" s="80"/>
      <c r="D287" s="80"/>
    </row>
    <row r="288">
      <c r="A288" s="80"/>
      <c r="D288" s="80"/>
    </row>
    <row r="289">
      <c r="A289" s="80"/>
      <c r="D289" s="80"/>
    </row>
    <row r="290">
      <c r="A290" s="80"/>
      <c r="D290" s="80"/>
    </row>
    <row r="291">
      <c r="A291" s="80"/>
      <c r="D291" s="80"/>
    </row>
    <row r="292">
      <c r="A292" s="80"/>
      <c r="D292" s="80"/>
    </row>
    <row r="293">
      <c r="A293" s="80"/>
      <c r="D293" s="80"/>
    </row>
    <row r="294">
      <c r="A294" s="80"/>
      <c r="D294" s="80"/>
    </row>
    <row r="295">
      <c r="A295" s="80"/>
      <c r="D295" s="80"/>
    </row>
    <row r="296">
      <c r="A296" s="80"/>
      <c r="D296" s="80"/>
    </row>
    <row r="297">
      <c r="A297" s="80"/>
      <c r="D297" s="80"/>
    </row>
    <row r="298">
      <c r="A298" s="80"/>
      <c r="D298" s="80"/>
    </row>
    <row r="299">
      <c r="A299" s="80"/>
      <c r="D299" s="80"/>
    </row>
    <row r="300">
      <c r="A300" s="80"/>
      <c r="D300" s="80"/>
    </row>
    <row r="301">
      <c r="A301" s="80"/>
      <c r="D301" s="80"/>
    </row>
    <row r="302">
      <c r="A302" s="80"/>
      <c r="D302" s="80"/>
    </row>
    <row r="303">
      <c r="A303" s="80"/>
      <c r="D303" s="80"/>
    </row>
    <row r="304">
      <c r="A304" s="80"/>
      <c r="D304" s="80"/>
    </row>
    <row r="305">
      <c r="A305" s="80"/>
      <c r="D305" s="80"/>
    </row>
    <row r="306">
      <c r="A306" s="80"/>
      <c r="D306" s="80"/>
    </row>
    <row r="307">
      <c r="A307" s="80"/>
      <c r="D307" s="80"/>
    </row>
    <row r="308">
      <c r="A308" s="80"/>
      <c r="D308" s="80"/>
    </row>
    <row r="309">
      <c r="A309" s="80"/>
      <c r="D309" s="80"/>
    </row>
    <row r="310">
      <c r="A310" s="80"/>
      <c r="D310" s="80"/>
    </row>
    <row r="311">
      <c r="A311" s="80"/>
      <c r="D311" s="80"/>
    </row>
    <row r="312">
      <c r="A312" s="80"/>
      <c r="D312" s="80"/>
    </row>
    <row r="313">
      <c r="A313" s="80"/>
      <c r="D313" s="80"/>
    </row>
    <row r="314">
      <c r="A314" s="80"/>
      <c r="D314" s="80"/>
    </row>
    <row r="315">
      <c r="A315" s="80"/>
      <c r="D315" s="80"/>
    </row>
    <row r="316">
      <c r="A316" s="80"/>
      <c r="D316" s="80"/>
    </row>
    <row r="317">
      <c r="A317" s="80"/>
      <c r="D317" s="80"/>
    </row>
    <row r="318">
      <c r="A318" s="80"/>
      <c r="D318" s="80"/>
    </row>
    <row r="319">
      <c r="A319" s="80"/>
      <c r="D319" s="80"/>
    </row>
    <row r="320">
      <c r="A320" s="80"/>
      <c r="D320" s="80"/>
    </row>
    <row r="321">
      <c r="A321" s="80"/>
      <c r="D321" s="80"/>
    </row>
    <row r="322">
      <c r="A322" s="80"/>
      <c r="D322" s="80"/>
    </row>
    <row r="323">
      <c r="A323" s="80"/>
      <c r="D323" s="80"/>
    </row>
    <row r="324">
      <c r="A324" s="80"/>
      <c r="D324" s="80"/>
    </row>
    <row r="325">
      <c r="A325" s="80"/>
      <c r="D325" s="80"/>
    </row>
    <row r="326">
      <c r="A326" s="80"/>
      <c r="D326" s="80"/>
    </row>
    <row r="327">
      <c r="A327" s="80"/>
      <c r="D327" s="80"/>
    </row>
    <row r="328">
      <c r="A328" s="80"/>
      <c r="D328" s="80"/>
    </row>
    <row r="329">
      <c r="A329" s="80"/>
      <c r="D329" s="80"/>
    </row>
    <row r="330">
      <c r="A330" s="80"/>
      <c r="D330" s="80"/>
    </row>
    <row r="331">
      <c r="A331" s="80"/>
      <c r="D331" s="80"/>
    </row>
    <row r="332">
      <c r="A332" s="80"/>
      <c r="D332" s="80"/>
    </row>
    <row r="333">
      <c r="A333" s="80"/>
      <c r="D333" s="80"/>
    </row>
    <row r="334">
      <c r="A334" s="80"/>
      <c r="D334" s="80"/>
    </row>
    <row r="335">
      <c r="A335" s="80"/>
      <c r="D335" s="80"/>
    </row>
    <row r="336">
      <c r="A336" s="80"/>
      <c r="D336" s="80"/>
    </row>
    <row r="337">
      <c r="A337" s="80"/>
      <c r="D337" s="80"/>
    </row>
    <row r="338">
      <c r="A338" s="80"/>
      <c r="D338" s="80"/>
    </row>
    <row r="339">
      <c r="A339" s="80"/>
      <c r="D339" s="80"/>
    </row>
    <row r="340">
      <c r="A340" s="80"/>
      <c r="D340" s="80"/>
    </row>
    <row r="341">
      <c r="A341" s="80"/>
      <c r="D341" s="80"/>
    </row>
    <row r="342">
      <c r="A342" s="80"/>
      <c r="D342" s="80"/>
    </row>
    <row r="343">
      <c r="A343" s="80"/>
      <c r="D343" s="80"/>
    </row>
    <row r="344">
      <c r="A344" s="80"/>
      <c r="D344" s="80"/>
    </row>
    <row r="345">
      <c r="A345" s="80"/>
      <c r="D345" s="80"/>
    </row>
    <row r="346">
      <c r="A346" s="80"/>
      <c r="D346" s="80"/>
    </row>
    <row r="347">
      <c r="A347" s="80"/>
      <c r="D347" s="80"/>
    </row>
    <row r="348">
      <c r="A348" s="80"/>
      <c r="D348" s="80"/>
    </row>
    <row r="349">
      <c r="A349" s="80"/>
      <c r="D349" s="80"/>
    </row>
    <row r="350">
      <c r="A350" s="80"/>
      <c r="D350" s="80"/>
    </row>
    <row r="351">
      <c r="A351" s="80"/>
      <c r="D351" s="80"/>
    </row>
    <row r="352">
      <c r="A352" s="80"/>
      <c r="D352" s="80"/>
    </row>
    <row r="353">
      <c r="A353" s="80"/>
      <c r="D353" s="80"/>
    </row>
    <row r="354">
      <c r="A354" s="80"/>
      <c r="D354" s="80"/>
    </row>
    <row r="355">
      <c r="A355" s="80"/>
      <c r="D355" s="80"/>
    </row>
    <row r="356">
      <c r="A356" s="80"/>
      <c r="D356" s="80"/>
    </row>
    <row r="357">
      <c r="A357" s="80"/>
      <c r="D357" s="80"/>
    </row>
    <row r="358">
      <c r="A358" s="80"/>
      <c r="D358" s="80"/>
    </row>
    <row r="359">
      <c r="A359" s="80"/>
      <c r="D359" s="80"/>
    </row>
    <row r="360">
      <c r="A360" s="80"/>
      <c r="D360" s="80"/>
    </row>
    <row r="361">
      <c r="A361" s="80"/>
      <c r="D361" s="80"/>
    </row>
    <row r="362">
      <c r="A362" s="80"/>
      <c r="D362" s="80"/>
    </row>
    <row r="363">
      <c r="A363" s="80"/>
      <c r="D363" s="80"/>
    </row>
    <row r="364">
      <c r="A364" s="80"/>
      <c r="D364" s="80"/>
    </row>
    <row r="365">
      <c r="A365" s="80"/>
      <c r="D365" s="80"/>
    </row>
    <row r="366">
      <c r="A366" s="80"/>
      <c r="D366" s="80"/>
    </row>
    <row r="367">
      <c r="A367" s="80"/>
      <c r="D367" s="80"/>
    </row>
    <row r="368">
      <c r="A368" s="80"/>
      <c r="D368" s="80"/>
    </row>
    <row r="369">
      <c r="A369" s="80"/>
      <c r="D369" s="80"/>
    </row>
    <row r="370">
      <c r="A370" s="80"/>
      <c r="D370" s="80"/>
    </row>
    <row r="371">
      <c r="A371" s="80"/>
      <c r="D371" s="80"/>
    </row>
    <row r="372">
      <c r="A372" s="80"/>
      <c r="D372" s="80"/>
    </row>
    <row r="373">
      <c r="A373" s="80"/>
      <c r="D373" s="80"/>
    </row>
    <row r="374">
      <c r="A374" s="80"/>
      <c r="D374" s="80"/>
    </row>
    <row r="375">
      <c r="A375" s="80"/>
      <c r="D375" s="80"/>
    </row>
    <row r="376">
      <c r="A376" s="80"/>
      <c r="D376" s="80"/>
    </row>
    <row r="377">
      <c r="A377" s="80"/>
      <c r="D377" s="80"/>
    </row>
    <row r="378">
      <c r="A378" s="80"/>
      <c r="D378" s="80"/>
    </row>
    <row r="379">
      <c r="A379" s="80"/>
      <c r="D379" s="80"/>
    </row>
    <row r="380">
      <c r="A380" s="80"/>
      <c r="D380" s="80"/>
    </row>
    <row r="381">
      <c r="A381" s="80"/>
      <c r="D381" s="80"/>
    </row>
    <row r="382">
      <c r="A382" s="80"/>
      <c r="D382" s="80"/>
    </row>
    <row r="383">
      <c r="A383" s="80"/>
      <c r="D383" s="80"/>
    </row>
    <row r="384">
      <c r="A384" s="80"/>
      <c r="D384" s="80"/>
    </row>
    <row r="385">
      <c r="A385" s="80"/>
      <c r="D385" s="80"/>
    </row>
    <row r="386">
      <c r="A386" s="80"/>
      <c r="D386" s="80"/>
    </row>
    <row r="387">
      <c r="A387" s="80"/>
      <c r="D387" s="80"/>
    </row>
    <row r="388">
      <c r="A388" s="80"/>
      <c r="D388" s="80"/>
    </row>
    <row r="389">
      <c r="A389" s="80"/>
      <c r="D389" s="80"/>
    </row>
    <row r="390">
      <c r="A390" s="80"/>
      <c r="D390" s="80"/>
    </row>
    <row r="391">
      <c r="A391" s="80"/>
      <c r="D391" s="80"/>
    </row>
    <row r="392">
      <c r="A392" s="80"/>
      <c r="D392" s="80"/>
    </row>
    <row r="393">
      <c r="A393" s="80"/>
      <c r="D393" s="80"/>
    </row>
    <row r="394">
      <c r="A394" s="80"/>
      <c r="D394" s="80"/>
    </row>
    <row r="395">
      <c r="A395" s="80"/>
      <c r="D395" s="80"/>
    </row>
    <row r="396">
      <c r="A396" s="80"/>
      <c r="D396" s="80"/>
    </row>
    <row r="397">
      <c r="A397" s="80"/>
      <c r="D397" s="80"/>
    </row>
    <row r="398">
      <c r="A398" s="80"/>
      <c r="D398" s="80"/>
    </row>
    <row r="399">
      <c r="A399" s="80"/>
      <c r="D399" s="80"/>
    </row>
    <row r="400">
      <c r="A400" s="80"/>
      <c r="D400" s="80"/>
    </row>
    <row r="401">
      <c r="A401" s="80"/>
      <c r="D401" s="80"/>
    </row>
    <row r="402">
      <c r="A402" s="80"/>
      <c r="D402" s="80"/>
    </row>
    <row r="403">
      <c r="A403" s="80"/>
      <c r="D403" s="80"/>
    </row>
    <row r="404">
      <c r="A404" s="80"/>
      <c r="D404" s="80"/>
    </row>
    <row r="405">
      <c r="A405" s="80"/>
      <c r="D405" s="80"/>
    </row>
    <row r="406">
      <c r="A406" s="80"/>
      <c r="D406" s="80"/>
    </row>
    <row r="407">
      <c r="A407" s="80"/>
      <c r="D407" s="80"/>
    </row>
    <row r="408">
      <c r="A408" s="80"/>
      <c r="D408" s="80"/>
    </row>
    <row r="409">
      <c r="A409" s="80"/>
      <c r="D409" s="80"/>
    </row>
    <row r="410">
      <c r="A410" s="80"/>
      <c r="D410" s="80"/>
    </row>
    <row r="411">
      <c r="A411" s="80"/>
      <c r="D411" s="80"/>
    </row>
    <row r="412">
      <c r="A412" s="80"/>
      <c r="D412" s="80"/>
    </row>
    <row r="413">
      <c r="A413" s="80"/>
      <c r="D413" s="80"/>
    </row>
    <row r="414">
      <c r="A414" s="80"/>
      <c r="D414" s="80"/>
    </row>
    <row r="415">
      <c r="A415" s="80"/>
      <c r="D415" s="80"/>
    </row>
    <row r="416">
      <c r="A416" s="80"/>
      <c r="D416" s="80"/>
    </row>
    <row r="417">
      <c r="A417" s="80"/>
      <c r="D417" s="80"/>
    </row>
    <row r="418">
      <c r="A418" s="80"/>
      <c r="D418" s="80"/>
    </row>
    <row r="419">
      <c r="A419" s="80"/>
      <c r="D419" s="80"/>
    </row>
    <row r="420">
      <c r="A420" s="80"/>
      <c r="D420" s="80"/>
    </row>
    <row r="421">
      <c r="A421" s="80"/>
      <c r="D421" s="80"/>
    </row>
    <row r="422">
      <c r="A422" s="80"/>
      <c r="D422" s="80"/>
    </row>
    <row r="423">
      <c r="A423" s="80"/>
      <c r="D423" s="80"/>
    </row>
    <row r="424">
      <c r="A424" s="80"/>
      <c r="D424" s="80"/>
    </row>
    <row r="425">
      <c r="A425" s="80"/>
      <c r="D425" s="80"/>
    </row>
    <row r="426">
      <c r="A426" s="80"/>
      <c r="D426" s="80"/>
    </row>
    <row r="427">
      <c r="A427" s="80"/>
      <c r="D427" s="80"/>
    </row>
    <row r="428">
      <c r="A428" s="80"/>
      <c r="D428" s="80"/>
    </row>
    <row r="429">
      <c r="A429" s="80"/>
      <c r="D429" s="80"/>
    </row>
    <row r="430">
      <c r="A430" s="80"/>
      <c r="D430" s="80"/>
    </row>
    <row r="431">
      <c r="A431" s="80"/>
      <c r="D431" s="80"/>
    </row>
    <row r="432">
      <c r="A432" s="80"/>
      <c r="D432" s="80"/>
    </row>
    <row r="433">
      <c r="A433" s="80"/>
      <c r="D433" s="80"/>
    </row>
    <row r="434">
      <c r="A434" s="80"/>
      <c r="D434" s="80"/>
    </row>
    <row r="435">
      <c r="A435" s="80"/>
      <c r="D435" s="80"/>
    </row>
    <row r="436">
      <c r="A436" s="80"/>
      <c r="D436" s="80"/>
    </row>
    <row r="437">
      <c r="A437" s="80"/>
      <c r="D437" s="80"/>
    </row>
    <row r="438">
      <c r="A438" s="80"/>
      <c r="D438" s="80"/>
    </row>
    <row r="439">
      <c r="A439" s="80"/>
      <c r="D439" s="80"/>
    </row>
    <row r="440">
      <c r="A440" s="80"/>
      <c r="D440" s="80"/>
    </row>
    <row r="441">
      <c r="A441" s="80"/>
      <c r="D441" s="80"/>
    </row>
    <row r="442">
      <c r="A442" s="80"/>
      <c r="D442" s="80"/>
    </row>
    <row r="443">
      <c r="A443" s="80"/>
      <c r="D443" s="80"/>
    </row>
    <row r="444">
      <c r="A444" s="80"/>
      <c r="D444" s="80"/>
    </row>
    <row r="445">
      <c r="A445" s="80"/>
      <c r="D445" s="80"/>
    </row>
    <row r="446">
      <c r="A446" s="80"/>
      <c r="D446" s="80"/>
    </row>
    <row r="447">
      <c r="A447" s="80"/>
      <c r="D447" s="80"/>
    </row>
    <row r="448">
      <c r="A448" s="80"/>
      <c r="D448" s="80"/>
    </row>
    <row r="449">
      <c r="A449" s="80"/>
      <c r="D449" s="80"/>
    </row>
    <row r="450">
      <c r="A450" s="80"/>
      <c r="D450" s="80"/>
    </row>
    <row r="451">
      <c r="A451" s="80"/>
      <c r="D451" s="80"/>
    </row>
    <row r="452">
      <c r="A452" s="80"/>
      <c r="D452" s="80"/>
    </row>
    <row r="453">
      <c r="A453" s="80"/>
      <c r="D453" s="80"/>
    </row>
    <row r="454">
      <c r="A454" s="80"/>
      <c r="D454" s="80"/>
    </row>
    <row r="455">
      <c r="A455" s="80"/>
      <c r="D455" s="80"/>
    </row>
    <row r="456">
      <c r="A456" s="80"/>
      <c r="D456" s="80"/>
    </row>
    <row r="457">
      <c r="A457" s="80"/>
      <c r="D457" s="80"/>
    </row>
    <row r="458">
      <c r="A458" s="80"/>
      <c r="D458" s="80"/>
    </row>
    <row r="459">
      <c r="A459" s="80"/>
      <c r="D459" s="80"/>
    </row>
    <row r="460">
      <c r="A460" s="80"/>
      <c r="D460" s="80"/>
    </row>
    <row r="461">
      <c r="A461" s="80"/>
      <c r="D461" s="80"/>
    </row>
    <row r="462">
      <c r="A462" s="80"/>
      <c r="D462" s="80"/>
    </row>
    <row r="463">
      <c r="A463" s="80"/>
      <c r="D463" s="80"/>
    </row>
    <row r="464">
      <c r="A464" s="80"/>
      <c r="D464" s="80"/>
    </row>
    <row r="465">
      <c r="A465" s="80"/>
      <c r="D465" s="80"/>
    </row>
    <row r="466">
      <c r="A466" s="80"/>
      <c r="D466" s="80"/>
    </row>
    <row r="467">
      <c r="A467" s="80"/>
      <c r="D467" s="80"/>
    </row>
    <row r="468">
      <c r="A468" s="80"/>
      <c r="D468" s="80"/>
    </row>
    <row r="469">
      <c r="A469" s="80"/>
      <c r="D469" s="80"/>
    </row>
    <row r="470">
      <c r="A470" s="80"/>
      <c r="D470" s="80"/>
    </row>
    <row r="471">
      <c r="A471" s="80"/>
      <c r="D471" s="80"/>
    </row>
    <row r="472">
      <c r="A472" s="80"/>
      <c r="D472" s="80"/>
    </row>
    <row r="473">
      <c r="A473" s="80"/>
      <c r="D473" s="80"/>
    </row>
    <row r="474">
      <c r="A474" s="80"/>
      <c r="D474" s="80"/>
    </row>
    <row r="475">
      <c r="A475" s="80"/>
      <c r="D475" s="80"/>
    </row>
    <row r="476">
      <c r="A476" s="80"/>
      <c r="D476" s="80"/>
    </row>
    <row r="477">
      <c r="A477" s="80"/>
      <c r="D477" s="80"/>
    </row>
    <row r="478">
      <c r="A478" s="80"/>
      <c r="D478" s="80"/>
    </row>
    <row r="479">
      <c r="A479" s="80"/>
      <c r="D479" s="80"/>
    </row>
    <row r="480">
      <c r="A480" s="80"/>
      <c r="D480" s="80"/>
    </row>
    <row r="481">
      <c r="A481" s="80"/>
      <c r="D481" s="80"/>
    </row>
    <row r="482">
      <c r="A482" s="80"/>
      <c r="D482" s="80"/>
    </row>
    <row r="483">
      <c r="A483" s="80"/>
      <c r="D483" s="80"/>
    </row>
    <row r="484">
      <c r="A484" s="80"/>
      <c r="D484" s="80"/>
    </row>
    <row r="485">
      <c r="A485" s="80"/>
      <c r="D485" s="80"/>
    </row>
    <row r="486">
      <c r="A486" s="80"/>
      <c r="D486" s="80"/>
    </row>
    <row r="487">
      <c r="A487" s="80"/>
      <c r="D487" s="80"/>
    </row>
    <row r="488">
      <c r="A488" s="80"/>
      <c r="D488" s="80"/>
    </row>
    <row r="489">
      <c r="A489" s="80"/>
      <c r="D489" s="80"/>
    </row>
    <row r="490">
      <c r="A490" s="80"/>
      <c r="D490" s="80"/>
    </row>
    <row r="491">
      <c r="A491" s="80"/>
      <c r="D491" s="80"/>
    </row>
    <row r="492">
      <c r="A492" s="80"/>
      <c r="D492" s="80"/>
    </row>
    <row r="493">
      <c r="A493" s="80"/>
      <c r="D493" s="80"/>
    </row>
    <row r="494">
      <c r="A494" s="80"/>
      <c r="D494" s="80"/>
    </row>
    <row r="495">
      <c r="A495" s="80"/>
      <c r="D495" s="80"/>
    </row>
    <row r="496">
      <c r="A496" s="80"/>
      <c r="D496" s="80"/>
    </row>
    <row r="497">
      <c r="A497" s="80"/>
      <c r="D497" s="80"/>
    </row>
    <row r="498">
      <c r="A498" s="80"/>
      <c r="D498" s="80"/>
    </row>
    <row r="499">
      <c r="A499" s="80"/>
      <c r="D499" s="80"/>
    </row>
    <row r="500">
      <c r="A500" s="80"/>
      <c r="D500" s="80"/>
    </row>
    <row r="501">
      <c r="A501" s="80"/>
      <c r="D501" s="80"/>
    </row>
    <row r="502">
      <c r="A502" s="80"/>
      <c r="D502" s="80"/>
    </row>
    <row r="503">
      <c r="A503" s="80"/>
      <c r="D503" s="80"/>
    </row>
    <row r="504">
      <c r="A504" s="80"/>
      <c r="D504" s="80"/>
    </row>
    <row r="505">
      <c r="A505" s="80"/>
      <c r="D505" s="80"/>
    </row>
    <row r="506">
      <c r="A506" s="80"/>
      <c r="D506" s="80"/>
    </row>
    <row r="507">
      <c r="A507" s="80"/>
      <c r="D507" s="80"/>
    </row>
    <row r="508">
      <c r="A508" s="80"/>
      <c r="D508" s="80"/>
    </row>
    <row r="509">
      <c r="A509" s="80"/>
      <c r="D509" s="80"/>
    </row>
    <row r="510">
      <c r="A510" s="80"/>
      <c r="D510" s="80"/>
    </row>
    <row r="511">
      <c r="A511" s="80"/>
      <c r="D511" s="80"/>
    </row>
    <row r="512">
      <c r="A512" s="80"/>
      <c r="D512" s="80"/>
    </row>
    <row r="513">
      <c r="A513" s="80"/>
      <c r="D513" s="80"/>
    </row>
    <row r="514">
      <c r="A514" s="80"/>
      <c r="D514" s="80"/>
    </row>
    <row r="515">
      <c r="A515" s="80"/>
      <c r="D515" s="80"/>
    </row>
    <row r="516">
      <c r="A516" s="80"/>
      <c r="D516" s="80"/>
    </row>
    <row r="517">
      <c r="A517" s="80"/>
      <c r="D517" s="80"/>
    </row>
    <row r="518">
      <c r="A518" s="80"/>
      <c r="D518" s="80"/>
    </row>
    <row r="519">
      <c r="A519" s="80"/>
      <c r="D519" s="80"/>
    </row>
    <row r="520">
      <c r="A520" s="80"/>
      <c r="D520" s="80"/>
    </row>
    <row r="521">
      <c r="A521" s="80"/>
      <c r="D521" s="80"/>
    </row>
    <row r="522">
      <c r="A522" s="80"/>
      <c r="D522" s="80"/>
    </row>
    <row r="523">
      <c r="A523" s="80"/>
      <c r="D523" s="80"/>
    </row>
    <row r="524">
      <c r="A524" s="80"/>
      <c r="D524" s="80"/>
    </row>
    <row r="525">
      <c r="A525" s="80"/>
      <c r="D525" s="80"/>
    </row>
    <row r="526">
      <c r="A526" s="80"/>
      <c r="D526" s="80"/>
    </row>
    <row r="527">
      <c r="A527" s="80"/>
      <c r="D527" s="80"/>
    </row>
    <row r="528">
      <c r="A528" s="80"/>
      <c r="D528" s="80"/>
    </row>
    <row r="529">
      <c r="A529" s="80"/>
      <c r="D529" s="80"/>
    </row>
    <row r="530">
      <c r="A530" s="80"/>
      <c r="D530" s="80"/>
    </row>
    <row r="531">
      <c r="A531" s="80"/>
      <c r="D531" s="80"/>
    </row>
    <row r="532">
      <c r="A532" s="80"/>
      <c r="D532" s="80"/>
    </row>
    <row r="533">
      <c r="A533" s="80"/>
      <c r="D533" s="80"/>
    </row>
    <row r="534">
      <c r="A534" s="80"/>
      <c r="D534" s="80"/>
    </row>
    <row r="535">
      <c r="A535" s="80"/>
      <c r="D535" s="80"/>
    </row>
    <row r="536">
      <c r="A536" s="80"/>
      <c r="D536" s="80"/>
    </row>
    <row r="537">
      <c r="A537" s="80"/>
      <c r="D537" s="80"/>
    </row>
    <row r="538">
      <c r="A538" s="80"/>
      <c r="D538" s="80"/>
    </row>
    <row r="539">
      <c r="A539" s="80"/>
      <c r="D539" s="80"/>
    </row>
    <row r="540">
      <c r="A540" s="80"/>
      <c r="D540" s="80"/>
    </row>
    <row r="541">
      <c r="A541" s="80"/>
      <c r="D541" s="80"/>
    </row>
    <row r="542">
      <c r="A542" s="80"/>
      <c r="D542" s="80"/>
    </row>
    <row r="543">
      <c r="A543" s="80"/>
      <c r="D543" s="80"/>
    </row>
    <row r="544">
      <c r="A544" s="80"/>
      <c r="D544" s="80"/>
    </row>
    <row r="545">
      <c r="A545" s="80"/>
      <c r="D545" s="80"/>
    </row>
    <row r="546">
      <c r="A546" s="80"/>
      <c r="D546" s="80"/>
    </row>
    <row r="547">
      <c r="A547" s="80"/>
      <c r="D547" s="80"/>
    </row>
    <row r="548">
      <c r="A548" s="80"/>
      <c r="D548" s="80"/>
    </row>
    <row r="549">
      <c r="A549" s="80"/>
      <c r="D549" s="80"/>
    </row>
    <row r="550">
      <c r="A550" s="80"/>
      <c r="D550" s="80"/>
    </row>
    <row r="551">
      <c r="A551" s="80"/>
      <c r="D551" s="80"/>
    </row>
    <row r="552">
      <c r="A552" s="80"/>
      <c r="D552" s="80"/>
    </row>
    <row r="553">
      <c r="A553" s="80"/>
      <c r="D553" s="80"/>
    </row>
    <row r="554">
      <c r="A554" s="80"/>
      <c r="D554" s="80"/>
    </row>
    <row r="555">
      <c r="A555" s="80"/>
      <c r="D555" s="80"/>
    </row>
    <row r="556">
      <c r="A556" s="80"/>
      <c r="D556" s="80"/>
    </row>
    <row r="557">
      <c r="A557" s="80"/>
      <c r="D557" s="80"/>
    </row>
    <row r="558">
      <c r="A558" s="80"/>
      <c r="D558" s="80"/>
    </row>
    <row r="559">
      <c r="A559" s="80"/>
      <c r="D559" s="80"/>
    </row>
    <row r="560">
      <c r="A560" s="80"/>
      <c r="D560" s="80"/>
    </row>
    <row r="561">
      <c r="A561" s="80"/>
      <c r="D561" s="80"/>
    </row>
    <row r="562">
      <c r="A562" s="80"/>
      <c r="D562" s="80"/>
    </row>
    <row r="563">
      <c r="A563" s="80"/>
      <c r="D563" s="80"/>
    </row>
    <row r="564">
      <c r="A564" s="80"/>
      <c r="D564" s="80"/>
    </row>
    <row r="565">
      <c r="A565" s="80"/>
      <c r="D565" s="80"/>
    </row>
    <row r="566">
      <c r="A566" s="80"/>
      <c r="D566" s="80"/>
    </row>
    <row r="567">
      <c r="A567" s="80"/>
      <c r="D567" s="80"/>
    </row>
    <row r="568">
      <c r="A568" s="80"/>
      <c r="D568" s="80"/>
    </row>
    <row r="569">
      <c r="A569" s="80"/>
      <c r="D569" s="80"/>
    </row>
    <row r="570">
      <c r="A570" s="80"/>
      <c r="D570" s="80"/>
    </row>
    <row r="571">
      <c r="A571" s="80"/>
      <c r="D571" s="80"/>
    </row>
    <row r="572">
      <c r="A572" s="80"/>
      <c r="D572" s="80"/>
    </row>
    <row r="573">
      <c r="A573" s="80"/>
      <c r="D573" s="80"/>
    </row>
    <row r="574">
      <c r="A574" s="80"/>
      <c r="D574" s="80"/>
    </row>
    <row r="575">
      <c r="A575" s="80"/>
      <c r="D575" s="80"/>
    </row>
    <row r="576">
      <c r="A576" s="80"/>
      <c r="D576" s="80"/>
    </row>
    <row r="577">
      <c r="A577" s="80"/>
      <c r="D577" s="80"/>
    </row>
    <row r="578">
      <c r="A578" s="80"/>
      <c r="D578" s="80"/>
    </row>
    <row r="579">
      <c r="A579" s="80"/>
      <c r="D579" s="80"/>
    </row>
    <row r="580">
      <c r="A580" s="80"/>
      <c r="D580" s="80"/>
    </row>
    <row r="581">
      <c r="A581" s="80"/>
      <c r="D581" s="80"/>
    </row>
    <row r="582">
      <c r="A582" s="80"/>
      <c r="D582" s="80"/>
    </row>
    <row r="583">
      <c r="A583" s="80"/>
      <c r="D583" s="80"/>
    </row>
    <row r="584">
      <c r="A584" s="80"/>
      <c r="D584" s="80"/>
    </row>
    <row r="585">
      <c r="A585" s="80"/>
      <c r="D585" s="80"/>
    </row>
    <row r="586">
      <c r="A586" s="80"/>
      <c r="D586" s="80"/>
    </row>
    <row r="587">
      <c r="A587" s="80"/>
      <c r="D587" s="80"/>
    </row>
    <row r="588">
      <c r="A588" s="80"/>
      <c r="D588" s="80"/>
    </row>
    <row r="589">
      <c r="A589" s="80"/>
      <c r="D589" s="80"/>
    </row>
    <row r="590">
      <c r="A590" s="80"/>
      <c r="D590" s="80"/>
    </row>
    <row r="591">
      <c r="A591" s="80"/>
      <c r="D591" s="80"/>
    </row>
    <row r="592">
      <c r="A592" s="80"/>
      <c r="D592" s="80"/>
    </row>
    <row r="593">
      <c r="A593" s="80"/>
      <c r="D593" s="80"/>
    </row>
    <row r="594">
      <c r="A594" s="80"/>
      <c r="D594" s="80"/>
    </row>
    <row r="595">
      <c r="A595" s="80"/>
      <c r="D595" s="80"/>
    </row>
    <row r="596">
      <c r="A596" s="80"/>
      <c r="D596" s="80"/>
    </row>
    <row r="597">
      <c r="A597" s="80"/>
      <c r="D597" s="80"/>
    </row>
    <row r="598">
      <c r="A598" s="80"/>
      <c r="D598" s="80"/>
    </row>
    <row r="599">
      <c r="A599" s="80"/>
      <c r="D599" s="80"/>
    </row>
    <row r="600">
      <c r="A600" s="80"/>
      <c r="D600" s="80"/>
    </row>
    <row r="601">
      <c r="A601" s="80"/>
      <c r="D601" s="80"/>
    </row>
    <row r="602">
      <c r="A602" s="80"/>
      <c r="D602" s="80"/>
    </row>
    <row r="603">
      <c r="A603" s="80"/>
      <c r="D603" s="80"/>
    </row>
    <row r="604">
      <c r="A604" s="80"/>
      <c r="D604" s="80"/>
    </row>
    <row r="605">
      <c r="A605" s="80"/>
      <c r="D605" s="80"/>
    </row>
    <row r="606">
      <c r="A606" s="80"/>
      <c r="D606" s="80"/>
    </row>
    <row r="607">
      <c r="A607" s="80"/>
      <c r="D607" s="80"/>
    </row>
    <row r="608">
      <c r="A608" s="80"/>
      <c r="D608" s="80"/>
    </row>
    <row r="609">
      <c r="A609" s="80"/>
      <c r="D609" s="80"/>
    </row>
    <row r="610">
      <c r="A610" s="80"/>
      <c r="D610" s="80"/>
    </row>
    <row r="611">
      <c r="A611" s="80"/>
      <c r="D611" s="80"/>
    </row>
    <row r="612">
      <c r="A612" s="80"/>
      <c r="D612" s="80"/>
    </row>
    <row r="613">
      <c r="A613" s="80"/>
      <c r="D613" s="80"/>
    </row>
    <row r="614">
      <c r="A614" s="80"/>
      <c r="D614" s="80"/>
    </row>
    <row r="615">
      <c r="A615" s="80"/>
      <c r="D615" s="80"/>
    </row>
    <row r="616">
      <c r="A616" s="80"/>
      <c r="D616" s="80"/>
    </row>
    <row r="617">
      <c r="A617" s="80"/>
      <c r="D617" s="80"/>
    </row>
    <row r="618">
      <c r="A618" s="80"/>
      <c r="D618" s="80"/>
    </row>
    <row r="619">
      <c r="A619" s="80"/>
      <c r="D619" s="80"/>
    </row>
    <row r="620">
      <c r="A620" s="80"/>
      <c r="D620" s="80"/>
    </row>
    <row r="621">
      <c r="A621" s="80"/>
      <c r="D621" s="80"/>
    </row>
    <row r="622">
      <c r="A622" s="80"/>
      <c r="D622" s="80"/>
    </row>
    <row r="623">
      <c r="A623" s="80"/>
      <c r="D623" s="80"/>
    </row>
    <row r="624">
      <c r="A624" s="80"/>
      <c r="D624" s="80"/>
    </row>
    <row r="625">
      <c r="A625" s="80"/>
      <c r="D625" s="80"/>
    </row>
    <row r="626">
      <c r="A626" s="80"/>
      <c r="D626" s="80"/>
    </row>
    <row r="627">
      <c r="A627" s="80"/>
      <c r="D627" s="80"/>
    </row>
    <row r="628">
      <c r="A628" s="80"/>
      <c r="D628" s="80"/>
    </row>
    <row r="629">
      <c r="A629" s="80"/>
      <c r="D629" s="80"/>
    </row>
    <row r="630">
      <c r="A630" s="80"/>
      <c r="D630" s="80"/>
    </row>
    <row r="631">
      <c r="A631" s="80"/>
      <c r="D631" s="80"/>
    </row>
    <row r="632">
      <c r="A632" s="80"/>
      <c r="D632" s="80"/>
    </row>
    <row r="633">
      <c r="A633" s="80"/>
      <c r="D633" s="80"/>
    </row>
    <row r="634">
      <c r="A634" s="80"/>
      <c r="D634" s="80"/>
    </row>
    <row r="635">
      <c r="A635" s="80"/>
      <c r="D635" s="80"/>
    </row>
    <row r="636">
      <c r="A636" s="80"/>
      <c r="D636" s="80"/>
    </row>
    <row r="637">
      <c r="A637" s="80"/>
      <c r="D637" s="80"/>
    </row>
    <row r="638">
      <c r="A638" s="80"/>
      <c r="D638" s="80"/>
    </row>
    <row r="639">
      <c r="A639" s="80"/>
      <c r="D639" s="80"/>
    </row>
    <row r="640">
      <c r="A640" s="80"/>
      <c r="D640" s="80"/>
    </row>
    <row r="641">
      <c r="A641" s="80"/>
      <c r="D641" s="80"/>
    </row>
    <row r="642">
      <c r="A642" s="80"/>
      <c r="D642" s="80"/>
    </row>
    <row r="643">
      <c r="A643" s="80"/>
      <c r="D643" s="80"/>
    </row>
    <row r="644">
      <c r="A644" s="80"/>
      <c r="D644" s="80"/>
    </row>
    <row r="645">
      <c r="A645" s="80"/>
      <c r="D645" s="80"/>
    </row>
    <row r="646">
      <c r="A646" s="80"/>
      <c r="D646" s="80"/>
    </row>
    <row r="647">
      <c r="A647" s="80"/>
      <c r="D647" s="80"/>
    </row>
    <row r="648">
      <c r="A648" s="80"/>
      <c r="D648" s="80"/>
    </row>
    <row r="649">
      <c r="A649" s="80"/>
      <c r="D649" s="80"/>
    </row>
    <row r="650">
      <c r="A650" s="80"/>
      <c r="D650" s="80"/>
    </row>
    <row r="651">
      <c r="A651" s="80"/>
      <c r="D651" s="80"/>
    </row>
    <row r="652">
      <c r="A652" s="80"/>
      <c r="D652" s="80"/>
    </row>
    <row r="653">
      <c r="A653" s="80"/>
      <c r="D653" s="80"/>
    </row>
    <row r="654">
      <c r="A654" s="80"/>
      <c r="D654" s="80"/>
    </row>
    <row r="655">
      <c r="A655" s="80"/>
      <c r="D655" s="80"/>
    </row>
    <row r="656">
      <c r="A656" s="80"/>
      <c r="D656" s="80"/>
    </row>
    <row r="657">
      <c r="A657" s="80"/>
      <c r="D657" s="80"/>
    </row>
    <row r="658">
      <c r="A658" s="80"/>
      <c r="D658" s="80"/>
    </row>
    <row r="659">
      <c r="A659" s="80"/>
      <c r="D659" s="80"/>
    </row>
    <row r="660">
      <c r="A660" s="80"/>
      <c r="D660" s="80"/>
    </row>
    <row r="661">
      <c r="A661" s="80"/>
      <c r="D661" s="80"/>
    </row>
    <row r="662">
      <c r="A662" s="80"/>
      <c r="D662" s="80"/>
    </row>
    <row r="663">
      <c r="A663" s="80"/>
      <c r="D663" s="80"/>
    </row>
    <row r="664">
      <c r="A664" s="80"/>
      <c r="D664" s="80"/>
    </row>
    <row r="665">
      <c r="A665" s="80"/>
      <c r="D665" s="80"/>
    </row>
    <row r="666">
      <c r="A666" s="80"/>
      <c r="D666" s="80"/>
    </row>
    <row r="667">
      <c r="A667" s="80"/>
      <c r="D667" s="80"/>
    </row>
    <row r="668">
      <c r="A668" s="80"/>
      <c r="D668" s="80"/>
    </row>
    <row r="669">
      <c r="A669" s="80"/>
      <c r="D669" s="80"/>
    </row>
    <row r="670">
      <c r="A670" s="80"/>
      <c r="D670" s="80"/>
    </row>
    <row r="671">
      <c r="A671" s="80"/>
      <c r="D671" s="80"/>
    </row>
    <row r="672">
      <c r="A672" s="80"/>
      <c r="D672" s="80"/>
    </row>
    <row r="673">
      <c r="A673" s="80"/>
      <c r="D673" s="80"/>
    </row>
    <row r="674">
      <c r="A674" s="80"/>
      <c r="D674" s="80"/>
    </row>
    <row r="675">
      <c r="A675" s="80"/>
      <c r="D675" s="80"/>
    </row>
    <row r="676">
      <c r="A676" s="80"/>
      <c r="D676" s="80"/>
    </row>
    <row r="677">
      <c r="A677" s="80"/>
      <c r="D677" s="80"/>
    </row>
    <row r="678">
      <c r="A678" s="80"/>
      <c r="D678" s="80"/>
    </row>
    <row r="679">
      <c r="A679" s="80"/>
      <c r="D679" s="80"/>
    </row>
    <row r="680">
      <c r="A680" s="80"/>
      <c r="D680" s="80"/>
    </row>
    <row r="681">
      <c r="A681" s="80"/>
      <c r="D681" s="80"/>
    </row>
    <row r="682">
      <c r="A682" s="80"/>
      <c r="D682" s="80"/>
    </row>
    <row r="683">
      <c r="A683" s="80"/>
      <c r="D683" s="80"/>
    </row>
    <row r="684">
      <c r="A684" s="80"/>
      <c r="D684" s="80"/>
    </row>
    <row r="685">
      <c r="A685" s="80"/>
      <c r="D685" s="80"/>
    </row>
    <row r="686">
      <c r="A686" s="80"/>
      <c r="D686" s="80"/>
    </row>
    <row r="687">
      <c r="A687" s="80"/>
      <c r="D687" s="80"/>
    </row>
    <row r="688">
      <c r="A688" s="80"/>
      <c r="D688" s="80"/>
    </row>
    <row r="689">
      <c r="A689" s="80"/>
      <c r="D689" s="80"/>
    </row>
    <row r="690">
      <c r="A690" s="80"/>
      <c r="D690" s="80"/>
    </row>
    <row r="691">
      <c r="A691" s="80"/>
      <c r="D691" s="80"/>
    </row>
    <row r="692">
      <c r="A692" s="80"/>
      <c r="D692" s="80"/>
    </row>
    <row r="693">
      <c r="A693" s="80"/>
      <c r="D693" s="80"/>
    </row>
    <row r="694">
      <c r="A694" s="80"/>
      <c r="D694" s="80"/>
    </row>
    <row r="695">
      <c r="A695" s="80"/>
      <c r="D695" s="80"/>
    </row>
    <row r="696">
      <c r="A696" s="80"/>
      <c r="D696" s="80"/>
    </row>
    <row r="697">
      <c r="A697" s="80"/>
      <c r="D697" s="80"/>
    </row>
    <row r="698">
      <c r="A698" s="80"/>
      <c r="D698" s="80"/>
    </row>
    <row r="699">
      <c r="A699" s="80"/>
      <c r="D699" s="80"/>
    </row>
    <row r="700">
      <c r="A700" s="80"/>
      <c r="D700" s="80"/>
    </row>
    <row r="701">
      <c r="A701" s="80"/>
      <c r="D701" s="80"/>
    </row>
    <row r="702">
      <c r="A702" s="80"/>
      <c r="D702" s="80"/>
    </row>
    <row r="703">
      <c r="A703" s="80"/>
      <c r="D703" s="80"/>
    </row>
    <row r="704">
      <c r="A704" s="80"/>
      <c r="D704" s="80"/>
    </row>
    <row r="705">
      <c r="A705" s="80"/>
      <c r="D705" s="80"/>
    </row>
    <row r="706">
      <c r="A706" s="80"/>
      <c r="D706" s="80"/>
    </row>
    <row r="707">
      <c r="A707" s="80"/>
      <c r="D707" s="80"/>
    </row>
    <row r="708">
      <c r="A708" s="80"/>
      <c r="D708" s="80"/>
    </row>
    <row r="709">
      <c r="A709" s="80"/>
      <c r="D709" s="80"/>
    </row>
    <row r="710">
      <c r="A710" s="80"/>
      <c r="D710" s="80"/>
    </row>
    <row r="711">
      <c r="A711" s="80"/>
      <c r="D711" s="80"/>
    </row>
    <row r="712">
      <c r="A712" s="80"/>
      <c r="D712" s="80"/>
    </row>
    <row r="713">
      <c r="A713" s="80"/>
      <c r="D713" s="80"/>
    </row>
    <row r="714">
      <c r="A714" s="80"/>
      <c r="D714" s="80"/>
    </row>
    <row r="715">
      <c r="A715" s="80"/>
      <c r="D715" s="80"/>
    </row>
    <row r="716">
      <c r="A716" s="80"/>
      <c r="D716" s="80"/>
    </row>
    <row r="717">
      <c r="A717" s="80"/>
      <c r="D717" s="80"/>
    </row>
    <row r="718">
      <c r="A718" s="80"/>
      <c r="D718" s="80"/>
    </row>
    <row r="719">
      <c r="A719" s="80"/>
      <c r="D719" s="80"/>
    </row>
    <row r="720">
      <c r="A720" s="80"/>
      <c r="D720" s="80"/>
    </row>
    <row r="721">
      <c r="A721" s="80"/>
      <c r="D721" s="80"/>
    </row>
    <row r="722">
      <c r="A722" s="80"/>
      <c r="D722" s="80"/>
    </row>
    <row r="723">
      <c r="A723" s="80"/>
      <c r="D723" s="80"/>
    </row>
    <row r="724">
      <c r="A724" s="80"/>
      <c r="D724" s="80"/>
    </row>
    <row r="725">
      <c r="A725" s="80"/>
      <c r="D725" s="80"/>
    </row>
    <row r="726">
      <c r="A726" s="80"/>
      <c r="D726" s="80"/>
    </row>
    <row r="727">
      <c r="A727" s="80"/>
      <c r="D727" s="80"/>
    </row>
    <row r="728">
      <c r="A728" s="80"/>
      <c r="D728" s="80"/>
    </row>
    <row r="729">
      <c r="A729" s="80"/>
      <c r="D729" s="80"/>
    </row>
    <row r="730">
      <c r="A730" s="80"/>
      <c r="D730" s="80"/>
    </row>
    <row r="731">
      <c r="A731" s="80"/>
      <c r="D731" s="80"/>
    </row>
    <row r="732">
      <c r="A732" s="80"/>
      <c r="D732" s="80"/>
    </row>
    <row r="733">
      <c r="A733" s="80"/>
      <c r="D733" s="80"/>
    </row>
    <row r="734">
      <c r="A734" s="80"/>
      <c r="D734" s="80"/>
    </row>
    <row r="735">
      <c r="A735" s="80"/>
      <c r="D735" s="80"/>
    </row>
    <row r="736">
      <c r="A736" s="80"/>
      <c r="D736" s="80"/>
    </row>
    <row r="737">
      <c r="A737" s="80"/>
      <c r="D737" s="80"/>
    </row>
    <row r="738">
      <c r="A738" s="80"/>
      <c r="D738" s="80"/>
    </row>
    <row r="739">
      <c r="A739" s="80"/>
      <c r="D739" s="80"/>
    </row>
    <row r="740">
      <c r="A740" s="80"/>
      <c r="D740" s="80"/>
    </row>
    <row r="741">
      <c r="A741" s="80"/>
      <c r="D741" s="80"/>
    </row>
    <row r="742">
      <c r="A742" s="80"/>
      <c r="D742" s="80"/>
    </row>
    <row r="743">
      <c r="A743" s="80"/>
      <c r="D743" s="80"/>
    </row>
    <row r="744">
      <c r="A744" s="80"/>
      <c r="D744" s="80"/>
    </row>
    <row r="745">
      <c r="A745" s="80"/>
      <c r="D745" s="80"/>
    </row>
    <row r="746">
      <c r="A746" s="80"/>
      <c r="D746" s="80"/>
    </row>
    <row r="747">
      <c r="A747" s="80"/>
      <c r="D747" s="80"/>
    </row>
    <row r="748">
      <c r="A748" s="80"/>
      <c r="D748" s="80"/>
    </row>
    <row r="749">
      <c r="A749" s="80"/>
      <c r="D749" s="80"/>
    </row>
    <row r="750">
      <c r="A750" s="80"/>
      <c r="D750" s="80"/>
    </row>
    <row r="751">
      <c r="A751" s="80"/>
      <c r="D751" s="80"/>
    </row>
    <row r="752">
      <c r="A752" s="80"/>
      <c r="D752" s="80"/>
    </row>
    <row r="753">
      <c r="A753" s="80"/>
      <c r="D753" s="80"/>
    </row>
    <row r="754">
      <c r="A754" s="80"/>
      <c r="D754" s="80"/>
    </row>
    <row r="755">
      <c r="A755" s="80"/>
      <c r="D755" s="80"/>
    </row>
    <row r="756">
      <c r="A756" s="80"/>
      <c r="D756" s="80"/>
    </row>
    <row r="757">
      <c r="A757" s="80"/>
      <c r="D757" s="80"/>
    </row>
    <row r="758">
      <c r="A758" s="80"/>
      <c r="D758" s="80"/>
    </row>
    <row r="759">
      <c r="A759" s="80"/>
      <c r="D759" s="80"/>
    </row>
    <row r="760">
      <c r="A760" s="80"/>
      <c r="D760" s="80"/>
    </row>
    <row r="761">
      <c r="A761" s="80"/>
      <c r="D761" s="80"/>
    </row>
    <row r="762">
      <c r="A762" s="80"/>
      <c r="D762" s="80"/>
    </row>
    <row r="763">
      <c r="A763" s="80"/>
      <c r="D763" s="80"/>
    </row>
    <row r="764">
      <c r="A764" s="80"/>
      <c r="D764" s="80"/>
    </row>
    <row r="765">
      <c r="A765" s="80"/>
      <c r="D765" s="80"/>
    </row>
    <row r="766">
      <c r="A766" s="80"/>
      <c r="D766" s="80"/>
    </row>
    <row r="767">
      <c r="A767" s="80"/>
      <c r="D767" s="80"/>
    </row>
    <row r="768">
      <c r="A768" s="80"/>
      <c r="D768" s="80"/>
    </row>
    <row r="769">
      <c r="A769" s="80"/>
      <c r="D769" s="80"/>
    </row>
    <row r="770">
      <c r="A770" s="80"/>
      <c r="D770" s="80"/>
    </row>
    <row r="771">
      <c r="A771" s="80"/>
      <c r="D771" s="80"/>
    </row>
    <row r="772">
      <c r="A772" s="80"/>
      <c r="D772" s="80"/>
    </row>
    <row r="773">
      <c r="A773" s="80"/>
      <c r="D773" s="80"/>
    </row>
    <row r="774">
      <c r="A774" s="80"/>
      <c r="D774" s="80"/>
    </row>
    <row r="775">
      <c r="A775" s="80"/>
      <c r="D775" s="80"/>
    </row>
    <row r="776">
      <c r="A776" s="80"/>
      <c r="D776" s="80"/>
    </row>
    <row r="777">
      <c r="A777" s="80"/>
      <c r="D777" s="80"/>
    </row>
    <row r="778">
      <c r="A778" s="80"/>
      <c r="D778" s="80"/>
    </row>
    <row r="779">
      <c r="A779" s="80"/>
      <c r="D779" s="80"/>
    </row>
    <row r="780">
      <c r="A780" s="80"/>
      <c r="D780" s="80"/>
    </row>
    <row r="781">
      <c r="A781" s="80"/>
      <c r="D781" s="80"/>
    </row>
    <row r="782">
      <c r="A782" s="80"/>
      <c r="D782" s="80"/>
    </row>
    <row r="783">
      <c r="A783" s="80"/>
      <c r="D783" s="80"/>
    </row>
    <row r="784">
      <c r="A784" s="80"/>
      <c r="D784" s="80"/>
    </row>
    <row r="785">
      <c r="A785" s="80"/>
      <c r="D785" s="80"/>
    </row>
    <row r="786">
      <c r="A786" s="80"/>
      <c r="D786" s="80"/>
    </row>
    <row r="787">
      <c r="A787" s="80"/>
      <c r="D787" s="80"/>
    </row>
    <row r="788">
      <c r="A788" s="80"/>
      <c r="D788" s="80"/>
    </row>
    <row r="789">
      <c r="A789" s="80"/>
      <c r="D789" s="80"/>
    </row>
    <row r="790">
      <c r="A790" s="80"/>
      <c r="D790" s="80"/>
    </row>
    <row r="791">
      <c r="A791" s="80"/>
      <c r="D791" s="80"/>
    </row>
    <row r="792">
      <c r="A792" s="80"/>
      <c r="D792" s="80"/>
    </row>
    <row r="793">
      <c r="A793" s="80"/>
      <c r="D793" s="80"/>
    </row>
    <row r="794">
      <c r="A794" s="80"/>
      <c r="D794" s="80"/>
    </row>
    <row r="795">
      <c r="A795" s="80"/>
      <c r="D795" s="80"/>
    </row>
    <row r="796">
      <c r="A796" s="80"/>
      <c r="D796" s="80"/>
    </row>
    <row r="797">
      <c r="A797" s="80"/>
      <c r="D797" s="80"/>
    </row>
    <row r="798">
      <c r="A798" s="80"/>
      <c r="D798" s="80"/>
    </row>
    <row r="799">
      <c r="A799" s="80"/>
      <c r="D799" s="80"/>
    </row>
    <row r="800">
      <c r="A800" s="80"/>
      <c r="D800" s="80"/>
    </row>
    <row r="801">
      <c r="A801" s="80"/>
      <c r="D801" s="80"/>
    </row>
    <row r="802">
      <c r="A802" s="80"/>
      <c r="D802" s="80"/>
    </row>
    <row r="803">
      <c r="A803" s="80"/>
      <c r="D803" s="80"/>
    </row>
    <row r="804">
      <c r="A804" s="80"/>
      <c r="D804" s="80"/>
    </row>
    <row r="805">
      <c r="A805" s="80"/>
      <c r="D805" s="80"/>
    </row>
    <row r="806">
      <c r="A806" s="80"/>
      <c r="D806" s="80"/>
    </row>
    <row r="807">
      <c r="A807" s="80"/>
      <c r="D807" s="80"/>
    </row>
    <row r="808">
      <c r="A808" s="80"/>
      <c r="D808" s="80"/>
    </row>
    <row r="809">
      <c r="A809" s="80"/>
      <c r="D809" s="80"/>
    </row>
    <row r="810">
      <c r="A810" s="80"/>
      <c r="D810" s="80"/>
    </row>
    <row r="811">
      <c r="A811" s="80"/>
      <c r="D811" s="80"/>
    </row>
    <row r="812">
      <c r="A812" s="80"/>
      <c r="D812" s="80"/>
    </row>
    <row r="813">
      <c r="A813" s="80"/>
      <c r="D813" s="80"/>
    </row>
    <row r="814">
      <c r="A814" s="80"/>
      <c r="D814" s="80"/>
    </row>
    <row r="815">
      <c r="A815" s="80"/>
      <c r="D815" s="80"/>
    </row>
    <row r="816">
      <c r="A816" s="80"/>
      <c r="D816" s="80"/>
    </row>
    <row r="817">
      <c r="A817" s="80"/>
      <c r="D817" s="80"/>
    </row>
    <row r="818">
      <c r="A818" s="80"/>
      <c r="D818" s="80"/>
    </row>
    <row r="819">
      <c r="A819" s="80"/>
      <c r="D819" s="80"/>
    </row>
    <row r="820">
      <c r="A820" s="80"/>
      <c r="D820" s="80"/>
    </row>
    <row r="821">
      <c r="A821" s="80"/>
      <c r="D821" s="80"/>
    </row>
    <row r="822">
      <c r="A822" s="80"/>
      <c r="D822" s="80"/>
    </row>
    <row r="823">
      <c r="A823" s="80"/>
      <c r="D823" s="80"/>
    </row>
    <row r="824">
      <c r="A824" s="80"/>
      <c r="D824" s="80"/>
    </row>
    <row r="825">
      <c r="A825" s="80"/>
      <c r="D825" s="80"/>
    </row>
    <row r="826">
      <c r="A826" s="80"/>
      <c r="D826" s="80"/>
    </row>
    <row r="827">
      <c r="A827" s="80"/>
      <c r="D827" s="80"/>
    </row>
    <row r="828">
      <c r="A828" s="80"/>
      <c r="D828" s="80"/>
    </row>
    <row r="829">
      <c r="A829" s="80"/>
      <c r="D829" s="80"/>
    </row>
    <row r="830">
      <c r="A830" s="80"/>
      <c r="D830" s="80"/>
    </row>
    <row r="831">
      <c r="A831" s="80"/>
      <c r="D831" s="80"/>
    </row>
    <row r="832">
      <c r="A832" s="80"/>
      <c r="D832" s="80"/>
    </row>
    <row r="833">
      <c r="A833" s="80"/>
      <c r="D833" s="80"/>
    </row>
    <row r="834">
      <c r="A834" s="80"/>
      <c r="D834" s="80"/>
    </row>
    <row r="835">
      <c r="A835" s="80"/>
      <c r="D835" s="80"/>
    </row>
    <row r="836">
      <c r="A836" s="80"/>
      <c r="D836" s="80"/>
    </row>
    <row r="837">
      <c r="A837" s="80"/>
      <c r="D837" s="80"/>
    </row>
    <row r="838">
      <c r="A838" s="80"/>
      <c r="D838" s="80"/>
    </row>
    <row r="839">
      <c r="A839" s="80"/>
      <c r="D839" s="80"/>
    </row>
    <row r="840">
      <c r="A840" s="80"/>
      <c r="D840" s="80"/>
    </row>
    <row r="841">
      <c r="A841" s="80"/>
      <c r="D841" s="80"/>
    </row>
    <row r="842">
      <c r="A842" s="80"/>
      <c r="D842" s="80"/>
    </row>
    <row r="843">
      <c r="A843" s="80"/>
      <c r="D843" s="80"/>
    </row>
    <row r="844">
      <c r="A844" s="80"/>
      <c r="D844" s="80"/>
    </row>
    <row r="845">
      <c r="A845" s="80"/>
      <c r="D845" s="80"/>
    </row>
    <row r="846">
      <c r="A846" s="80"/>
      <c r="D846" s="80"/>
    </row>
    <row r="847">
      <c r="A847" s="80"/>
      <c r="D847" s="80"/>
    </row>
    <row r="848">
      <c r="A848" s="80"/>
      <c r="D848" s="80"/>
    </row>
    <row r="849">
      <c r="A849" s="80"/>
      <c r="D849" s="80"/>
    </row>
    <row r="850">
      <c r="A850" s="80"/>
      <c r="D850" s="80"/>
    </row>
    <row r="851">
      <c r="A851" s="80"/>
      <c r="D851" s="80"/>
    </row>
    <row r="852">
      <c r="A852" s="80"/>
      <c r="D852" s="80"/>
    </row>
    <row r="853">
      <c r="A853" s="80"/>
      <c r="D853" s="80"/>
    </row>
    <row r="854">
      <c r="A854" s="80"/>
      <c r="D854" s="80"/>
    </row>
    <row r="855">
      <c r="A855" s="80"/>
      <c r="D855" s="80"/>
    </row>
    <row r="856">
      <c r="A856" s="80"/>
      <c r="D856" s="80"/>
    </row>
    <row r="857">
      <c r="A857" s="80"/>
      <c r="D857" s="80"/>
    </row>
    <row r="858">
      <c r="A858" s="80"/>
      <c r="D858" s="80"/>
    </row>
    <row r="859">
      <c r="A859" s="80"/>
      <c r="D859" s="80"/>
    </row>
    <row r="860">
      <c r="A860" s="80"/>
      <c r="D860" s="80"/>
    </row>
    <row r="861">
      <c r="A861" s="80"/>
      <c r="D861" s="80"/>
    </row>
    <row r="862">
      <c r="A862" s="80"/>
      <c r="D862" s="80"/>
    </row>
    <row r="863">
      <c r="A863" s="80"/>
      <c r="D863" s="80"/>
    </row>
    <row r="864">
      <c r="A864" s="80"/>
      <c r="D864" s="80"/>
    </row>
    <row r="865">
      <c r="A865" s="80"/>
      <c r="D865" s="80"/>
    </row>
    <row r="866">
      <c r="A866" s="80"/>
      <c r="D866" s="80"/>
    </row>
    <row r="867">
      <c r="A867" s="80"/>
      <c r="D867" s="80"/>
    </row>
    <row r="868">
      <c r="A868" s="80"/>
      <c r="D868" s="80"/>
    </row>
    <row r="869">
      <c r="A869" s="80"/>
      <c r="D869" s="80"/>
    </row>
    <row r="870">
      <c r="A870" s="80"/>
      <c r="D870" s="80"/>
    </row>
    <row r="871">
      <c r="A871" s="80"/>
      <c r="D871" s="80"/>
    </row>
    <row r="872">
      <c r="A872" s="80"/>
      <c r="D872" s="80"/>
    </row>
    <row r="873">
      <c r="A873" s="80"/>
      <c r="D873" s="80"/>
    </row>
    <row r="874">
      <c r="A874" s="80"/>
      <c r="D874" s="80"/>
    </row>
    <row r="875">
      <c r="A875" s="80"/>
      <c r="D875" s="80"/>
    </row>
    <row r="876">
      <c r="A876" s="80"/>
      <c r="D876" s="80"/>
    </row>
    <row r="877">
      <c r="A877" s="80"/>
      <c r="D877" s="80"/>
    </row>
    <row r="878">
      <c r="A878" s="80"/>
      <c r="D878" s="80"/>
    </row>
    <row r="879">
      <c r="A879" s="80"/>
      <c r="D879" s="80"/>
    </row>
    <row r="880">
      <c r="A880" s="80"/>
      <c r="D880" s="80"/>
    </row>
    <row r="881">
      <c r="A881" s="80"/>
      <c r="D881" s="80"/>
    </row>
    <row r="882">
      <c r="A882" s="80"/>
      <c r="D882" s="80"/>
    </row>
    <row r="883">
      <c r="A883" s="80"/>
      <c r="D883" s="80"/>
    </row>
    <row r="884">
      <c r="A884" s="80"/>
      <c r="D884" s="80"/>
    </row>
    <row r="885">
      <c r="A885" s="80"/>
      <c r="D885" s="80"/>
    </row>
    <row r="886">
      <c r="A886" s="80"/>
      <c r="D886" s="80"/>
    </row>
    <row r="887">
      <c r="A887" s="80"/>
      <c r="D887" s="80"/>
    </row>
    <row r="888">
      <c r="A888" s="80"/>
      <c r="D888" s="80"/>
    </row>
    <row r="889">
      <c r="A889" s="80"/>
      <c r="D889" s="80"/>
    </row>
    <row r="890">
      <c r="A890" s="80"/>
      <c r="D890" s="80"/>
    </row>
    <row r="891">
      <c r="A891" s="80"/>
      <c r="D891" s="80"/>
    </row>
    <row r="892">
      <c r="A892" s="80"/>
      <c r="D892" s="80"/>
    </row>
    <row r="893">
      <c r="A893" s="80"/>
      <c r="D893" s="80"/>
    </row>
    <row r="894">
      <c r="A894" s="80"/>
      <c r="D894" s="80"/>
    </row>
    <row r="895">
      <c r="A895" s="80"/>
      <c r="D895" s="80"/>
    </row>
    <row r="896">
      <c r="A896" s="80"/>
      <c r="D896" s="80"/>
    </row>
    <row r="897">
      <c r="A897" s="80"/>
      <c r="D897" s="80"/>
    </row>
    <row r="898">
      <c r="A898" s="80"/>
      <c r="D898" s="80"/>
    </row>
    <row r="899">
      <c r="A899" s="80"/>
      <c r="D899" s="80"/>
    </row>
    <row r="900">
      <c r="A900" s="80"/>
      <c r="D900" s="80"/>
    </row>
    <row r="901">
      <c r="A901" s="80"/>
      <c r="D901" s="80"/>
    </row>
    <row r="902">
      <c r="A902" s="80"/>
      <c r="D902" s="80"/>
    </row>
    <row r="903">
      <c r="A903" s="80"/>
      <c r="D903" s="80"/>
    </row>
    <row r="904">
      <c r="A904" s="80"/>
      <c r="D904" s="80"/>
    </row>
    <row r="905">
      <c r="A905" s="80"/>
      <c r="D905" s="80"/>
    </row>
    <row r="906">
      <c r="A906" s="80"/>
      <c r="D906" s="80"/>
    </row>
    <row r="907">
      <c r="A907" s="80"/>
      <c r="D907" s="80"/>
    </row>
    <row r="908">
      <c r="A908" s="80"/>
      <c r="D908" s="80"/>
    </row>
    <row r="909">
      <c r="A909" s="80"/>
      <c r="D909" s="80"/>
    </row>
    <row r="910">
      <c r="A910" s="80"/>
      <c r="D910" s="80"/>
    </row>
    <row r="911">
      <c r="A911" s="80"/>
      <c r="D911" s="80"/>
    </row>
    <row r="912">
      <c r="A912" s="80"/>
      <c r="D912" s="80"/>
    </row>
    <row r="913">
      <c r="A913" s="80"/>
      <c r="D913" s="80"/>
    </row>
    <row r="914">
      <c r="A914" s="80"/>
      <c r="D914" s="80"/>
    </row>
    <row r="915">
      <c r="A915" s="80"/>
      <c r="D915" s="80"/>
    </row>
    <row r="916">
      <c r="A916" s="80"/>
      <c r="D916" s="80"/>
    </row>
    <row r="917">
      <c r="A917" s="80"/>
      <c r="D917" s="80"/>
    </row>
    <row r="918">
      <c r="A918" s="80"/>
      <c r="D918" s="80"/>
    </row>
    <row r="919">
      <c r="A919" s="80"/>
      <c r="D919" s="80"/>
    </row>
    <row r="920">
      <c r="A920" s="80"/>
      <c r="D920" s="80"/>
    </row>
    <row r="921">
      <c r="A921" s="80"/>
      <c r="D921" s="80"/>
    </row>
    <row r="922">
      <c r="A922" s="80"/>
      <c r="D922" s="80"/>
    </row>
    <row r="923">
      <c r="A923" s="80"/>
      <c r="D923" s="80"/>
    </row>
    <row r="924">
      <c r="A924" s="80"/>
      <c r="D924" s="80"/>
    </row>
    <row r="925">
      <c r="A925" s="80"/>
      <c r="D925" s="80"/>
    </row>
    <row r="926">
      <c r="A926" s="80"/>
      <c r="D926" s="80"/>
    </row>
    <row r="927">
      <c r="A927" s="80"/>
      <c r="D927" s="80"/>
    </row>
    <row r="928">
      <c r="A928" s="80"/>
      <c r="D928" s="80"/>
    </row>
    <row r="929">
      <c r="A929" s="80"/>
      <c r="D929" s="80"/>
    </row>
    <row r="930">
      <c r="A930" s="80"/>
      <c r="D930" s="80"/>
    </row>
    <row r="931">
      <c r="A931" s="80"/>
      <c r="D931" s="80"/>
    </row>
    <row r="932">
      <c r="A932" s="80"/>
      <c r="D932" s="80"/>
    </row>
    <row r="933">
      <c r="A933" s="80"/>
      <c r="D933" s="80"/>
    </row>
    <row r="934">
      <c r="A934" s="80"/>
      <c r="D934" s="80"/>
    </row>
    <row r="935">
      <c r="A935" s="80"/>
      <c r="D935" s="80"/>
    </row>
    <row r="936">
      <c r="A936" s="80"/>
      <c r="D936" s="80"/>
    </row>
    <row r="937">
      <c r="A937" s="80"/>
      <c r="D937" s="80"/>
    </row>
    <row r="938">
      <c r="A938" s="80"/>
      <c r="D938" s="80"/>
    </row>
    <row r="939">
      <c r="A939" s="80"/>
      <c r="D939" s="80"/>
    </row>
    <row r="940">
      <c r="A940" s="80"/>
      <c r="D940" s="80"/>
    </row>
    <row r="941">
      <c r="A941" s="80"/>
      <c r="D941" s="80"/>
    </row>
    <row r="942">
      <c r="A942" s="80"/>
      <c r="D942" s="80"/>
    </row>
    <row r="943">
      <c r="A943" s="80"/>
      <c r="D943" s="80"/>
    </row>
    <row r="944">
      <c r="A944" s="80"/>
      <c r="D944" s="80"/>
    </row>
    <row r="945">
      <c r="A945" s="80"/>
      <c r="D945" s="80"/>
    </row>
    <row r="946">
      <c r="A946" s="80"/>
      <c r="D946" s="80"/>
    </row>
    <row r="947">
      <c r="A947" s="80"/>
      <c r="D947" s="80"/>
    </row>
    <row r="948">
      <c r="A948" s="80"/>
      <c r="D948" s="80"/>
    </row>
    <row r="949">
      <c r="A949" s="80"/>
      <c r="D949" s="80"/>
    </row>
    <row r="950">
      <c r="A950" s="80"/>
      <c r="D950" s="80"/>
    </row>
    <row r="951">
      <c r="A951" s="80"/>
      <c r="D951" s="80"/>
    </row>
    <row r="952">
      <c r="A952" s="80"/>
      <c r="D952" s="80"/>
    </row>
    <row r="953">
      <c r="A953" s="80"/>
      <c r="D953" s="80"/>
    </row>
    <row r="954">
      <c r="A954" s="80"/>
      <c r="D954" s="80"/>
    </row>
    <row r="955">
      <c r="A955" s="80"/>
      <c r="D955" s="80"/>
    </row>
    <row r="956">
      <c r="A956" s="80"/>
      <c r="D956" s="80"/>
    </row>
    <row r="957">
      <c r="A957" s="80"/>
      <c r="D957" s="80"/>
    </row>
    <row r="958">
      <c r="A958" s="80"/>
      <c r="D958" s="80"/>
    </row>
    <row r="959">
      <c r="A959" s="80"/>
      <c r="D959" s="80"/>
    </row>
    <row r="960">
      <c r="A960" s="80"/>
      <c r="D960" s="80"/>
    </row>
    <row r="961">
      <c r="A961" s="80"/>
      <c r="D961" s="80"/>
    </row>
    <row r="962">
      <c r="A962" s="80"/>
      <c r="D962" s="80"/>
    </row>
    <row r="963">
      <c r="A963" s="80"/>
      <c r="D963" s="80"/>
    </row>
    <row r="964">
      <c r="A964" s="80"/>
      <c r="D964" s="80"/>
    </row>
    <row r="965">
      <c r="A965" s="80"/>
      <c r="D965" s="80"/>
    </row>
    <row r="966">
      <c r="A966" s="80"/>
      <c r="D966" s="80"/>
    </row>
    <row r="967">
      <c r="A967" s="80"/>
      <c r="D967" s="80"/>
    </row>
    <row r="968">
      <c r="A968" s="80"/>
      <c r="D968" s="80"/>
    </row>
    <row r="969">
      <c r="A969" s="80"/>
      <c r="D969" s="80"/>
    </row>
    <row r="970">
      <c r="A970" s="80"/>
      <c r="D970" s="80"/>
    </row>
    <row r="971">
      <c r="A971" s="80"/>
      <c r="D971" s="80"/>
    </row>
    <row r="972">
      <c r="A972" s="80"/>
      <c r="D972" s="80"/>
    </row>
    <row r="973">
      <c r="A973" s="80"/>
      <c r="D973" s="80"/>
    </row>
    <row r="974">
      <c r="A974" s="80"/>
      <c r="D974" s="80"/>
    </row>
    <row r="975">
      <c r="A975" s="80"/>
      <c r="D975" s="80"/>
    </row>
    <row r="976">
      <c r="A976" s="80"/>
      <c r="D976" s="80"/>
    </row>
    <row r="977">
      <c r="A977" s="80"/>
      <c r="D977" s="80"/>
    </row>
    <row r="978">
      <c r="A978" s="80"/>
      <c r="D978" s="80"/>
    </row>
    <row r="979">
      <c r="A979" s="80"/>
      <c r="D979" s="80"/>
    </row>
    <row r="980">
      <c r="A980" s="80"/>
      <c r="D980" s="80"/>
    </row>
    <row r="981">
      <c r="A981" s="80"/>
      <c r="D981" s="80"/>
    </row>
    <row r="982">
      <c r="A982" s="80"/>
      <c r="D982" s="80"/>
    </row>
    <row r="983">
      <c r="A983" s="80"/>
      <c r="D983" s="80"/>
    </row>
    <row r="984">
      <c r="A984" s="80"/>
      <c r="D984" s="80"/>
    </row>
    <row r="985">
      <c r="A985" s="80"/>
      <c r="D985" s="80"/>
    </row>
    <row r="986">
      <c r="A986" s="80"/>
      <c r="D986" s="80"/>
    </row>
    <row r="987">
      <c r="A987" s="80"/>
      <c r="D987" s="80"/>
    </row>
    <row r="988">
      <c r="A988" s="80"/>
      <c r="D988" s="80"/>
    </row>
    <row r="989">
      <c r="A989" s="80"/>
      <c r="D989" s="80"/>
    </row>
    <row r="990">
      <c r="A990" s="80"/>
      <c r="D990" s="80"/>
    </row>
    <row r="991">
      <c r="A991" s="80"/>
      <c r="D991" s="80"/>
    </row>
    <row r="992">
      <c r="A992" s="80"/>
      <c r="D992" s="80"/>
    </row>
    <row r="993">
      <c r="A993" s="80"/>
      <c r="D993" s="80"/>
    </row>
    <row r="994">
      <c r="A994" s="80"/>
      <c r="D994" s="80"/>
    </row>
    <row r="995">
      <c r="A995" s="80"/>
      <c r="D995" s="80"/>
    </row>
    <row r="996">
      <c r="A996" s="80"/>
      <c r="D996" s="80"/>
    </row>
    <row r="997">
      <c r="A997" s="80"/>
      <c r="D997" s="80"/>
    </row>
    <row r="998">
      <c r="A998" s="80"/>
      <c r="D998" s="80"/>
    </row>
    <row r="999">
      <c r="A999" s="80"/>
      <c r="D999" s="80"/>
    </row>
    <row r="1000">
      <c r="A1000" s="80"/>
      <c r="D1000" s="80"/>
    </row>
    <row r="1001">
      <c r="A1001" s="80"/>
      <c r="D1001" s="80"/>
    </row>
  </sheetData>
  <mergeCells count="3">
    <mergeCell ref="B1:C1"/>
    <mergeCell ref="M1:N1"/>
    <mergeCell ref="B24:C24"/>
  </mergeCells>
  <dataValidations>
    <dataValidation type="custom" allowBlank="1" showDropDown="1" sqref="A26:A45 D26:L45">
      <formula1>AND(ISNUMBER(A26),(NOT(OR(NOT(ISERROR(DATEVALUE(A26))), AND(ISNUMBER(A26), LEFT(CELL("format", A26))="D")))))</formula1>
    </dataValidation>
    <dataValidation allowBlank="1" showDropDown="1" sqref="B26:C45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4" max="4" width="12.25"/>
    <col customWidth="1" min="5" max="5" width="13.5"/>
    <col customWidth="1" min="6" max="6" width="13.88"/>
    <col customWidth="1" min="7" max="7" width="15.0"/>
    <col customWidth="1" min="8" max="8" width="62.38"/>
    <col customWidth="1" min="21" max="21" width="17.25"/>
    <col customWidth="1" min="22" max="23" width="16.13"/>
  </cols>
  <sheetData>
    <row r="1">
      <c r="A1" s="18"/>
      <c r="B1" s="18"/>
      <c r="C1" s="18"/>
      <c r="D1" s="19"/>
      <c r="E1" s="20"/>
      <c r="F1" s="19"/>
      <c r="G1" s="20"/>
      <c r="H1" s="21"/>
      <c r="I1" s="22"/>
      <c r="J1" s="22"/>
      <c r="K1" s="22"/>
      <c r="L1" s="22"/>
      <c r="M1" s="22"/>
      <c r="N1" s="22"/>
      <c r="O1" s="23"/>
      <c r="P1" s="23"/>
      <c r="Q1" s="23"/>
      <c r="R1" s="23"/>
      <c r="S1" s="23"/>
      <c r="T1" s="26"/>
      <c r="X1" s="147" t="s">
        <v>86</v>
      </c>
      <c r="Y1" s="241"/>
      <c r="Z1" s="241"/>
      <c r="AA1" s="144"/>
      <c r="AB1" s="242" t="s">
        <v>82</v>
      </c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4"/>
      <c r="AQ1" s="26"/>
      <c r="AR1" s="26"/>
      <c r="AS1" s="26"/>
      <c r="AT1" s="27"/>
      <c r="AU1" s="245" t="s">
        <v>83</v>
      </c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3"/>
      <c r="BQ1" s="26"/>
      <c r="BR1" s="246" t="s">
        <v>150</v>
      </c>
      <c r="CI1" s="246"/>
      <c r="CJ1" s="246"/>
    </row>
    <row r="2">
      <c r="A2" s="18"/>
      <c r="B2" s="18"/>
      <c r="C2" s="18"/>
      <c r="D2" s="19"/>
      <c r="E2" s="20"/>
      <c r="F2" s="19"/>
      <c r="G2" s="20"/>
      <c r="H2" s="21"/>
      <c r="I2" s="22"/>
      <c r="J2" s="22"/>
      <c r="K2" s="22"/>
      <c r="L2" s="22"/>
      <c r="M2" s="22"/>
      <c r="N2" s="22"/>
      <c r="O2" s="121" t="s">
        <v>84</v>
      </c>
      <c r="T2" s="26"/>
      <c r="U2" s="26" t="s">
        <v>85</v>
      </c>
      <c r="W2" s="26"/>
      <c r="X2" s="247" t="s">
        <v>87</v>
      </c>
      <c r="Y2" s="35"/>
      <c r="Z2" s="35" t="s">
        <v>88</v>
      </c>
      <c r="AA2" s="248"/>
      <c r="AB2" s="34" t="s">
        <v>87</v>
      </c>
      <c r="AC2" s="32"/>
      <c r="AD2" s="32"/>
      <c r="AE2" s="32"/>
      <c r="AF2" s="32"/>
      <c r="AG2" s="32"/>
      <c r="AH2" s="33"/>
      <c r="AI2" s="249"/>
      <c r="AJ2" s="31" t="s">
        <v>88</v>
      </c>
      <c r="AK2" s="32"/>
      <c r="AL2" s="32"/>
      <c r="AM2" s="32"/>
      <c r="AN2" s="32"/>
      <c r="AO2" s="32"/>
      <c r="AP2" s="33"/>
      <c r="AQ2" s="26"/>
      <c r="AR2" s="26"/>
      <c r="AS2" s="26"/>
      <c r="AT2" s="27"/>
      <c r="AU2" s="31" t="s">
        <v>87</v>
      </c>
      <c r="AV2" s="32"/>
      <c r="AW2" s="32"/>
      <c r="AX2" s="32"/>
      <c r="AY2" s="32"/>
      <c r="AZ2" s="32"/>
      <c r="BA2" s="32"/>
      <c r="BB2" s="32"/>
      <c r="BC2" s="32"/>
      <c r="BD2" s="33"/>
      <c r="BE2" s="35"/>
      <c r="BF2" s="35"/>
      <c r="BG2" s="31" t="s">
        <v>88</v>
      </c>
      <c r="BH2" s="32"/>
      <c r="BI2" s="32"/>
      <c r="BJ2" s="32"/>
      <c r="BK2" s="32"/>
      <c r="BL2" s="32"/>
      <c r="BM2" s="32"/>
      <c r="BN2" s="32"/>
      <c r="BO2" s="32"/>
      <c r="BP2" s="33"/>
      <c r="BQ2" s="26"/>
      <c r="BR2" s="31" t="s">
        <v>87</v>
      </c>
      <c r="BS2" s="32"/>
      <c r="BT2" s="32"/>
      <c r="BU2" s="32"/>
      <c r="BV2" s="32"/>
      <c r="BW2" s="32"/>
      <c r="BX2" s="32"/>
      <c r="BY2" s="33"/>
      <c r="BZ2" s="35"/>
      <c r="CA2" s="31" t="s">
        <v>88</v>
      </c>
      <c r="CB2" s="32"/>
      <c r="CC2" s="32"/>
      <c r="CD2" s="32"/>
      <c r="CE2" s="32"/>
      <c r="CF2" s="32"/>
      <c r="CG2" s="32"/>
      <c r="CH2" s="33"/>
      <c r="CI2" s="26"/>
      <c r="CJ2" s="26"/>
    </row>
    <row r="3">
      <c r="A3" s="18"/>
      <c r="B3" s="18"/>
      <c r="C3" s="18"/>
      <c r="D3" s="19"/>
      <c r="E3" s="20"/>
      <c r="F3" s="19"/>
      <c r="G3" s="20"/>
      <c r="H3" s="21"/>
      <c r="I3" s="22"/>
      <c r="J3" s="22"/>
      <c r="K3" s="22"/>
      <c r="L3" s="22"/>
      <c r="M3" s="22"/>
      <c r="N3" s="22"/>
      <c r="O3" s="26" t="s">
        <v>89</v>
      </c>
      <c r="P3" s="26" t="s">
        <v>90</v>
      </c>
      <c r="Q3" s="26" t="s">
        <v>91</v>
      </c>
      <c r="R3" s="26" t="s">
        <v>92</v>
      </c>
      <c r="S3" s="26" t="s">
        <v>93</v>
      </c>
      <c r="T3" s="26"/>
      <c r="U3" s="18"/>
      <c r="V3" s="18"/>
      <c r="W3" s="18"/>
      <c r="X3" s="250"/>
      <c r="Y3" s="251"/>
      <c r="Z3" s="251"/>
      <c r="AA3" s="164"/>
      <c r="AB3" s="26" t="s">
        <v>94</v>
      </c>
      <c r="AC3" s="26" t="s">
        <v>95</v>
      </c>
      <c r="AD3" s="26" t="s">
        <v>96</v>
      </c>
      <c r="AE3" s="26" t="s">
        <v>97</v>
      </c>
      <c r="AF3" s="26" t="s">
        <v>98</v>
      </c>
      <c r="AG3" s="26" t="s">
        <v>99</v>
      </c>
      <c r="AH3" s="27" t="s">
        <v>100</v>
      </c>
      <c r="AI3" s="26"/>
      <c r="AJ3" s="37" t="s">
        <v>94</v>
      </c>
      <c r="AK3" s="26" t="s">
        <v>95</v>
      </c>
      <c r="AL3" s="26" t="s">
        <v>96</v>
      </c>
      <c r="AM3" s="26" t="s">
        <v>97</v>
      </c>
      <c r="AN3" s="26" t="s">
        <v>98</v>
      </c>
      <c r="AO3" s="26" t="s">
        <v>99</v>
      </c>
      <c r="AP3" s="27" t="s">
        <v>100</v>
      </c>
      <c r="AQ3" s="26"/>
      <c r="AR3" s="26"/>
      <c r="AS3" s="26"/>
      <c r="AT3" s="27"/>
      <c r="AU3" s="37" t="s">
        <v>101</v>
      </c>
      <c r="AV3" s="26" t="s">
        <v>102</v>
      </c>
      <c r="AW3" s="26" t="s">
        <v>101</v>
      </c>
      <c r="AX3" s="26" t="s">
        <v>102</v>
      </c>
      <c r="AY3" s="26" t="s">
        <v>101</v>
      </c>
      <c r="AZ3" s="26" t="s">
        <v>102</v>
      </c>
      <c r="BA3" s="26" t="s">
        <v>101</v>
      </c>
      <c r="BB3" s="26" t="s">
        <v>102</v>
      </c>
      <c r="BC3" s="26" t="s">
        <v>101</v>
      </c>
      <c r="BD3" s="27" t="s">
        <v>102</v>
      </c>
      <c r="BE3" s="26"/>
      <c r="BF3" s="26"/>
      <c r="BG3" s="37" t="s">
        <v>101</v>
      </c>
      <c r="BH3" s="26" t="s">
        <v>102</v>
      </c>
      <c r="BI3" s="26" t="s">
        <v>101</v>
      </c>
      <c r="BJ3" s="26" t="s">
        <v>102</v>
      </c>
      <c r="BK3" s="26" t="s">
        <v>101</v>
      </c>
      <c r="BL3" s="26" t="s">
        <v>102</v>
      </c>
      <c r="BM3" s="26" t="s">
        <v>101</v>
      </c>
      <c r="BN3" s="26" t="s">
        <v>102</v>
      </c>
      <c r="BO3" s="26" t="s">
        <v>101</v>
      </c>
      <c r="BP3" s="27" t="s">
        <v>102</v>
      </c>
      <c r="BQ3" s="26"/>
      <c r="BR3" s="37"/>
      <c r="BS3" s="26"/>
      <c r="BT3" s="26"/>
      <c r="BU3" s="26"/>
      <c r="BV3" s="26"/>
      <c r="BW3" s="26"/>
      <c r="BX3" s="26"/>
      <c r="BY3" s="27"/>
      <c r="BZ3" s="26"/>
      <c r="CA3" s="37"/>
      <c r="CB3" s="26"/>
      <c r="CC3" s="26"/>
      <c r="CD3" s="26"/>
      <c r="CE3" s="26"/>
      <c r="CF3" s="26"/>
      <c r="CG3" s="26"/>
      <c r="CH3" s="27"/>
      <c r="CI3" s="26"/>
      <c r="CJ3" s="26"/>
    </row>
    <row r="4">
      <c r="A4" s="252" t="s">
        <v>2</v>
      </c>
      <c r="B4" s="253" t="s">
        <v>152</v>
      </c>
      <c r="C4" s="252" t="s">
        <v>3</v>
      </c>
      <c r="D4" s="254" t="s">
        <v>4</v>
      </c>
      <c r="E4" s="255" t="s">
        <v>103</v>
      </c>
      <c r="F4" s="254" t="s">
        <v>5</v>
      </c>
      <c r="G4" s="255" t="s">
        <v>104</v>
      </c>
      <c r="H4" s="256" t="s">
        <v>6</v>
      </c>
      <c r="I4" s="257" t="s">
        <v>105</v>
      </c>
      <c r="J4" s="257" t="s">
        <v>106</v>
      </c>
      <c r="K4" s="257" t="s">
        <v>107</v>
      </c>
      <c r="L4" s="257" t="s">
        <v>108</v>
      </c>
      <c r="M4" s="257" t="s">
        <v>109</v>
      </c>
      <c r="N4" s="258"/>
      <c r="O4" s="256" t="s">
        <v>7</v>
      </c>
      <c r="P4" s="256" t="s">
        <v>8</v>
      </c>
      <c r="Q4" s="256" t="s">
        <v>9</v>
      </c>
      <c r="R4" s="256" t="s">
        <v>10</v>
      </c>
      <c r="S4" s="253" t="s">
        <v>110</v>
      </c>
      <c r="T4" s="259"/>
      <c r="U4" s="253" t="s">
        <v>87</v>
      </c>
      <c r="V4" s="253" t="s">
        <v>88</v>
      </c>
      <c r="W4" s="259"/>
      <c r="X4" s="260" t="s">
        <v>12</v>
      </c>
      <c r="Y4" s="261" t="s">
        <v>193</v>
      </c>
      <c r="Z4" s="261" t="s">
        <v>12</v>
      </c>
      <c r="AA4" s="262" t="s">
        <v>193</v>
      </c>
      <c r="AB4" s="45" t="s">
        <v>117</v>
      </c>
      <c r="AC4" s="45" t="s">
        <v>118</v>
      </c>
      <c r="AD4" s="45" t="s">
        <v>119</v>
      </c>
      <c r="AE4" s="46" t="s">
        <v>16</v>
      </c>
      <c r="AF4" s="46" t="s">
        <v>17</v>
      </c>
      <c r="AG4" s="46" t="s">
        <v>18</v>
      </c>
      <c r="AH4" s="47" t="s">
        <v>120</v>
      </c>
      <c r="AI4" s="45"/>
      <c r="AJ4" s="44" t="s">
        <v>117</v>
      </c>
      <c r="AK4" s="45" t="s">
        <v>118</v>
      </c>
      <c r="AL4" s="45" t="s">
        <v>119</v>
      </c>
      <c r="AM4" s="46" t="s">
        <v>16</v>
      </c>
      <c r="AN4" s="46" t="s">
        <v>17</v>
      </c>
      <c r="AO4" s="46" t="s">
        <v>18</v>
      </c>
      <c r="AP4" s="47" t="s">
        <v>120</v>
      </c>
      <c r="AQ4" s="45"/>
      <c r="AR4" s="45"/>
      <c r="AS4" s="45"/>
      <c r="AT4" s="47"/>
      <c r="AU4" s="50" t="s">
        <v>19</v>
      </c>
      <c r="AV4" s="48" t="s">
        <v>20</v>
      </c>
      <c r="AW4" s="48" t="s">
        <v>21</v>
      </c>
      <c r="AX4" s="48" t="s">
        <v>22</v>
      </c>
      <c r="AY4" s="48" t="s">
        <v>23</v>
      </c>
      <c r="AZ4" s="48" t="s">
        <v>24</v>
      </c>
      <c r="BA4" s="48" t="s">
        <v>25</v>
      </c>
      <c r="BB4" s="48" t="s">
        <v>26</v>
      </c>
      <c r="BC4" s="48" t="s">
        <v>27</v>
      </c>
      <c r="BD4" s="49" t="s">
        <v>28</v>
      </c>
      <c r="BE4" s="48"/>
      <c r="BF4" s="48"/>
      <c r="BG4" s="50" t="s">
        <v>19</v>
      </c>
      <c r="BH4" s="48" t="s">
        <v>20</v>
      </c>
      <c r="BI4" s="48" t="s">
        <v>21</v>
      </c>
      <c r="BJ4" s="48" t="s">
        <v>22</v>
      </c>
      <c r="BK4" s="48" t="s">
        <v>23</v>
      </c>
      <c r="BL4" s="48" t="s">
        <v>24</v>
      </c>
      <c r="BM4" s="48" t="s">
        <v>25</v>
      </c>
      <c r="BN4" s="48" t="s">
        <v>26</v>
      </c>
      <c r="BO4" s="48" t="s">
        <v>27</v>
      </c>
      <c r="BP4" s="49" t="s">
        <v>28</v>
      </c>
      <c r="BQ4" s="263"/>
      <c r="BR4" s="264" t="s">
        <v>29</v>
      </c>
      <c r="BS4" s="265" t="s">
        <v>29</v>
      </c>
      <c r="BT4" s="265" t="s">
        <v>29</v>
      </c>
      <c r="BU4" s="265" t="s">
        <v>29</v>
      </c>
      <c r="BV4" s="265" t="s">
        <v>29</v>
      </c>
      <c r="BW4" s="265" t="s">
        <v>29</v>
      </c>
      <c r="BX4" s="265" t="s">
        <v>29</v>
      </c>
      <c r="BY4" s="266" t="s">
        <v>29</v>
      </c>
      <c r="BZ4" s="267" t="s">
        <v>194</v>
      </c>
      <c r="CA4" s="264" t="s">
        <v>29</v>
      </c>
      <c r="CB4" s="265" t="s">
        <v>29</v>
      </c>
      <c r="CC4" s="265" t="s">
        <v>29</v>
      </c>
      <c r="CD4" s="265" t="s">
        <v>29</v>
      </c>
      <c r="CE4" s="265" t="s">
        <v>29</v>
      </c>
      <c r="CF4" s="265" t="s">
        <v>29</v>
      </c>
      <c r="CG4" s="265" t="s">
        <v>29</v>
      </c>
      <c r="CH4" s="266" t="s">
        <v>29</v>
      </c>
      <c r="CI4" s="267" t="s">
        <v>195</v>
      </c>
      <c r="CJ4" s="268"/>
    </row>
    <row r="5">
      <c r="A5" s="17">
        <v>22.0</v>
      </c>
      <c r="B5" s="269">
        <v>1.0</v>
      </c>
      <c r="C5" s="270">
        <v>31.0</v>
      </c>
      <c r="D5" s="271" t="s">
        <v>33</v>
      </c>
      <c r="E5" s="203">
        <v>1.0</v>
      </c>
      <c r="F5" s="272" t="s">
        <v>34</v>
      </c>
      <c r="G5" s="273">
        <v>1.0</v>
      </c>
      <c r="H5" s="274" t="s">
        <v>69</v>
      </c>
      <c r="I5" s="56">
        <v>1.0</v>
      </c>
      <c r="J5" s="56">
        <v>1.0</v>
      </c>
      <c r="K5" s="56">
        <v>0.0</v>
      </c>
      <c r="L5" s="56">
        <v>0.0</v>
      </c>
      <c r="M5" s="56">
        <v>0.0</v>
      </c>
      <c r="O5" s="275">
        <v>4.0</v>
      </c>
      <c r="P5" s="275">
        <v>5.0</v>
      </c>
      <c r="Q5" s="275">
        <v>4.0</v>
      </c>
      <c r="R5" s="275">
        <v>4.0</v>
      </c>
      <c r="S5" s="276">
        <f t="shared" ref="S5:S15" si="1">AVERAGE(O5:R5)</f>
        <v>4.25</v>
      </c>
      <c r="U5" s="277" t="s">
        <v>40</v>
      </c>
      <c r="V5" s="277" t="s">
        <v>36</v>
      </c>
      <c r="W5" s="277"/>
      <c r="X5" s="278">
        <v>6.0</v>
      </c>
      <c r="Y5" s="279" t="str">
        <f t="shared" ref="Y5:Y15" si="2">IF(OR(X5&gt;$X$16+2*$X$17, X5&lt;$X$16-2*$X$17), "Outlier", "No")</f>
        <v>No</v>
      </c>
      <c r="Z5" s="279">
        <v>5.0</v>
      </c>
      <c r="AA5" s="280" t="str">
        <f t="shared" ref="AA5:AA15" si="3">IF(OR(Z5&gt;$Z$16+2*$Z$17, Z5&lt;$Z$16-2*$Z$17), "Outlier", "No")</f>
        <v>No</v>
      </c>
      <c r="AB5" s="281">
        <v>3.0</v>
      </c>
      <c r="AC5" s="281">
        <v>4.0</v>
      </c>
      <c r="AD5" s="281">
        <v>1.0</v>
      </c>
      <c r="AE5" s="281">
        <v>7.0</v>
      </c>
      <c r="AF5" s="281">
        <v>3.0</v>
      </c>
      <c r="AG5" s="281">
        <v>1.0</v>
      </c>
      <c r="AH5" s="282">
        <f t="shared" ref="AH5:AH15" si="4">AVERAGE(AB5:AG5)</f>
        <v>3.166666667</v>
      </c>
      <c r="AI5" s="283"/>
      <c r="AJ5" s="284">
        <v>3.0</v>
      </c>
      <c r="AK5" s="281">
        <v>5.0</v>
      </c>
      <c r="AL5" s="281">
        <v>1.0</v>
      </c>
      <c r="AM5" s="281">
        <v>6.0</v>
      </c>
      <c r="AN5" s="281">
        <v>2.0</v>
      </c>
      <c r="AO5" s="281">
        <v>2.0</v>
      </c>
      <c r="AP5" s="282">
        <f t="shared" ref="AP5:AP15" si="5">AVERAGE(AJ5:AO5)</f>
        <v>3.166666667</v>
      </c>
      <c r="AU5" s="285">
        <v>4.0</v>
      </c>
      <c r="AV5" s="286">
        <v>3.0</v>
      </c>
      <c r="AW5" s="286">
        <v>4.0</v>
      </c>
      <c r="AX5" s="286">
        <v>1.0</v>
      </c>
      <c r="AY5" s="286">
        <v>4.0</v>
      </c>
      <c r="AZ5" s="286">
        <v>2.0</v>
      </c>
      <c r="BA5" s="286">
        <v>4.0</v>
      </c>
      <c r="BB5" s="286">
        <v>2.0</v>
      </c>
      <c r="BC5" s="286">
        <v>4.0</v>
      </c>
      <c r="BD5" s="287">
        <v>2.0</v>
      </c>
      <c r="BE5" s="195"/>
      <c r="BF5" s="195"/>
      <c r="BG5" s="285">
        <v>4.0</v>
      </c>
      <c r="BH5" s="286">
        <v>2.0</v>
      </c>
      <c r="BI5" s="286">
        <v>4.0</v>
      </c>
      <c r="BJ5" s="286">
        <v>2.0</v>
      </c>
      <c r="BK5" s="286">
        <v>4.0</v>
      </c>
      <c r="BL5" s="286">
        <v>1.0</v>
      </c>
      <c r="BM5" s="286">
        <v>4.0</v>
      </c>
      <c r="BN5" s="286">
        <v>1.0</v>
      </c>
      <c r="BO5" s="286">
        <v>5.0</v>
      </c>
      <c r="BP5" s="287">
        <v>2.0</v>
      </c>
      <c r="BR5" s="288">
        <v>5.0</v>
      </c>
      <c r="BS5" s="289">
        <v>5.0</v>
      </c>
      <c r="BT5" s="289">
        <v>5.0</v>
      </c>
      <c r="BU5" s="289">
        <v>5.0</v>
      </c>
      <c r="BV5" s="289">
        <v>4.0</v>
      </c>
      <c r="BW5" s="289">
        <v>6.0</v>
      </c>
      <c r="BX5" s="289">
        <v>5.0</v>
      </c>
      <c r="BY5" s="290">
        <v>5.0</v>
      </c>
      <c r="BZ5" s="273">
        <v>1.0</v>
      </c>
      <c r="CA5" s="288">
        <v>6.0</v>
      </c>
      <c r="CB5" s="289">
        <v>5.0</v>
      </c>
      <c r="CC5" s="289">
        <v>5.0</v>
      </c>
      <c r="CD5" s="289">
        <v>5.0</v>
      </c>
      <c r="CE5" s="289">
        <v>6.0</v>
      </c>
      <c r="CF5" s="289">
        <v>6.0</v>
      </c>
      <c r="CG5" s="289">
        <v>5.0</v>
      </c>
      <c r="CH5" s="290">
        <v>5.0</v>
      </c>
      <c r="CI5" s="273">
        <v>1.38</v>
      </c>
      <c r="CJ5" s="289"/>
    </row>
    <row r="6">
      <c r="A6" s="17">
        <v>23.0</v>
      </c>
      <c r="B6" s="269">
        <v>2.0</v>
      </c>
      <c r="C6" s="270">
        <v>26.0</v>
      </c>
      <c r="D6" s="271" t="s">
        <v>33</v>
      </c>
      <c r="E6" s="203">
        <v>1.0</v>
      </c>
      <c r="F6" s="272" t="s">
        <v>58</v>
      </c>
      <c r="G6" s="273">
        <v>2.0</v>
      </c>
      <c r="H6" s="274" t="s">
        <v>44</v>
      </c>
      <c r="I6" s="56">
        <v>0.0</v>
      </c>
      <c r="J6" s="56">
        <v>0.0</v>
      </c>
      <c r="K6" s="56">
        <v>0.0</v>
      </c>
      <c r="L6" s="56">
        <v>1.0</v>
      </c>
      <c r="M6" s="56">
        <v>0.0</v>
      </c>
      <c r="O6" s="275">
        <v>4.0</v>
      </c>
      <c r="P6" s="275">
        <v>3.0</v>
      </c>
      <c r="Q6" s="275">
        <v>4.0</v>
      </c>
      <c r="R6" s="275">
        <v>3.0</v>
      </c>
      <c r="S6" s="276">
        <f t="shared" si="1"/>
        <v>3.5</v>
      </c>
      <c r="U6" s="277" t="s">
        <v>36</v>
      </c>
      <c r="V6" s="277" t="s">
        <v>40</v>
      </c>
      <c r="W6" s="277"/>
      <c r="X6" s="278">
        <v>5.0</v>
      </c>
      <c r="Y6" s="279" t="str">
        <f t="shared" si="2"/>
        <v>No</v>
      </c>
      <c r="Z6" s="279">
        <v>6.0</v>
      </c>
      <c r="AA6" s="280" t="str">
        <f t="shared" si="3"/>
        <v>No</v>
      </c>
      <c r="AB6" s="281">
        <v>2.0</v>
      </c>
      <c r="AC6" s="281">
        <v>6.0</v>
      </c>
      <c r="AD6" s="281">
        <v>1.0</v>
      </c>
      <c r="AE6" s="281">
        <v>7.0</v>
      </c>
      <c r="AF6" s="281">
        <v>5.0</v>
      </c>
      <c r="AG6" s="281">
        <v>3.0</v>
      </c>
      <c r="AH6" s="282">
        <f t="shared" si="4"/>
        <v>4</v>
      </c>
      <c r="AI6" s="283"/>
      <c r="AJ6" s="284">
        <v>4.0</v>
      </c>
      <c r="AK6" s="281">
        <v>3.0</v>
      </c>
      <c r="AL6" s="281">
        <v>2.0</v>
      </c>
      <c r="AM6" s="281">
        <v>7.0</v>
      </c>
      <c r="AN6" s="281">
        <v>4.0</v>
      </c>
      <c r="AO6" s="281">
        <v>2.0</v>
      </c>
      <c r="AP6" s="282">
        <f t="shared" si="5"/>
        <v>3.666666667</v>
      </c>
      <c r="AU6" s="285">
        <v>2.0</v>
      </c>
      <c r="AV6" s="286">
        <v>4.0</v>
      </c>
      <c r="AW6" s="286">
        <v>5.0</v>
      </c>
      <c r="AX6" s="286">
        <v>1.0</v>
      </c>
      <c r="AY6" s="286">
        <v>4.0</v>
      </c>
      <c r="AZ6" s="286">
        <v>1.0</v>
      </c>
      <c r="BA6" s="286">
        <v>5.0</v>
      </c>
      <c r="BB6" s="286">
        <v>2.0</v>
      </c>
      <c r="BC6" s="286">
        <v>4.0</v>
      </c>
      <c r="BD6" s="287">
        <v>1.0</v>
      </c>
      <c r="BE6" s="195"/>
      <c r="BF6" s="195"/>
      <c r="BG6" s="285">
        <v>3.0</v>
      </c>
      <c r="BH6" s="286">
        <v>2.0</v>
      </c>
      <c r="BI6" s="286">
        <v>5.0</v>
      </c>
      <c r="BJ6" s="286">
        <v>1.0</v>
      </c>
      <c r="BK6" s="286">
        <v>4.0</v>
      </c>
      <c r="BL6" s="286">
        <v>1.0</v>
      </c>
      <c r="BM6" s="286">
        <v>4.0</v>
      </c>
      <c r="BN6" s="286">
        <v>2.0</v>
      </c>
      <c r="BO6" s="286">
        <v>5.0</v>
      </c>
      <c r="BP6" s="287">
        <v>1.0</v>
      </c>
      <c r="BR6" s="288">
        <v>6.0</v>
      </c>
      <c r="BS6" s="289">
        <v>7.0</v>
      </c>
      <c r="BT6" s="289">
        <v>4.0</v>
      </c>
      <c r="BU6" s="289">
        <v>6.0</v>
      </c>
      <c r="BV6" s="289">
        <v>4.0</v>
      </c>
      <c r="BW6" s="289">
        <v>5.0</v>
      </c>
      <c r="BX6" s="289">
        <v>5.0</v>
      </c>
      <c r="BY6" s="290">
        <v>5.0</v>
      </c>
      <c r="BZ6" s="273">
        <v>1.25</v>
      </c>
      <c r="CA6" s="288">
        <v>6.0</v>
      </c>
      <c r="CB6" s="289">
        <v>5.0</v>
      </c>
      <c r="CC6" s="289">
        <v>4.0</v>
      </c>
      <c r="CD6" s="289">
        <v>6.0</v>
      </c>
      <c r="CE6" s="289">
        <v>4.0</v>
      </c>
      <c r="CF6" s="289">
        <v>5.0</v>
      </c>
      <c r="CG6" s="289">
        <v>6.0</v>
      </c>
      <c r="CH6" s="290">
        <v>5.0</v>
      </c>
      <c r="CI6" s="273">
        <v>1.13</v>
      </c>
      <c r="CJ6" s="289"/>
    </row>
    <row r="7">
      <c r="A7" s="17">
        <v>24.0</v>
      </c>
      <c r="B7" s="269">
        <v>3.0</v>
      </c>
      <c r="C7" s="270">
        <v>27.0</v>
      </c>
      <c r="D7" s="271" t="s">
        <v>33</v>
      </c>
      <c r="E7" s="203">
        <v>1.0</v>
      </c>
      <c r="F7" s="272" t="s">
        <v>34</v>
      </c>
      <c r="G7" s="273">
        <v>1.0</v>
      </c>
      <c r="H7" s="274" t="s">
        <v>44</v>
      </c>
      <c r="I7" s="56">
        <v>0.0</v>
      </c>
      <c r="J7" s="56">
        <v>0.0</v>
      </c>
      <c r="K7" s="56">
        <v>0.0</v>
      </c>
      <c r="L7" s="56">
        <v>1.0</v>
      </c>
      <c r="M7" s="56">
        <v>0.0</v>
      </c>
      <c r="O7" s="275">
        <v>4.0</v>
      </c>
      <c r="P7" s="275">
        <v>4.0</v>
      </c>
      <c r="Q7" s="275">
        <v>4.0</v>
      </c>
      <c r="R7" s="275">
        <v>4.0</v>
      </c>
      <c r="S7" s="276">
        <f t="shared" si="1"/>
        <v>4</v>
      </c>
      <c r="U7" s="277" t="s">
        <v>40</v>
      </c>
      <c r="V7" s="277" t="s">
        <v>36</v>
      </c>
      <c r="W7" s="277"/>
      <c r="X7" s="278">
        <v>5.0</v>
      </c>
      <c r="Y7" s="279" t="str">
        <f t="shared" si="2"/>
        <v>No</v>
      </c>
      <c r="Z7" s="279">
        <v>5.0</v>
      </c>
      <c r="AA7" s="280" t="str">
        <f t="shared" si="3"/>
        <v>No</v>
      </c>
      <c r="AB7" s="281">
        <v>3.0</v>
      </c>
      <c r="AC7" s="281">
        <v>3.0</v>
      </c>
      <c r="AD7" s="281">
        <v>4.0</v>
      </c>
      <c r="AE7" s="281">
        <v>6.0</v>
      </c>
      <c r="AF7" s="281">
        <v>3.0</v>
      </c>
      <c r="AG7" s="281">
        <v>2.0</v>
      </c>
      <c r="AH7" s="282">
        <f t="shared" si="4"/>
        <v>3.5</v>
      </c>
      <c r="AI7" s="283"/>
      <c r="AJ7" s="284">
        <v>4.0</v>
      </c>
      <c r="AK7" s="281">
        <v>4.0</v>
      </c>
      <c r="AL7" s="281">
        <v>3.0</v>
      </c>
      <c r="AM7" s="281">
        <v>6.0</v>
      </c>
      <c r="AN7" s="281">
        <v>5.0</v>
      </c>
      <c r="AO7" s="281">
        <v>5.0</v>
      </c>
      <c r="AP7" s="282">
        <f t="shared" si="5"/>
        <v>4.5</v>
      </c>
      <c r="AU7" s="285">
        <v>4.0</v>
      </c>
      <c r="AV7" s="286">
        <v>2.0</v>
      </c>
      <c r="AW7" s="286">
        <v>4.0</v>
      </c>
      <c r="AX7" s="286">
        <v>2.0</v>
      </c>
      <c r="AY7" s="286">
        <v>4.0</v>
      </c>
      <c r="AZ7" s="286">
        <v>2.0</v>
      </c>
      <c r="BA7" s="286">
        <v>5.0</v>
      </c>
      <c r="BB7" s="286">
        <v>3.0</v>
      </c>
      <c r="BC7" s="286">
        <v>4.0</v>
      </c>
      <c r="BD7" s="287">
        <v>2.0</v>
      </c>
      <c r="BE7" s="195"/>
      <c r="BF7" s="195"/>
      <c r="BG7" s="285">
        <v>5.0</v>
      </c>
      <c r="BH7" s="286">
        <v>2.0</v>
      </c>
      <c r="BI7" s="286">
        <v>3.0</v>
      </c>
      <c r="BJ7" s="286">
        <v>5.0</v>
      </c>
      <c r="BK7" s="286">
        <v>4.0</v>
      </c>
      <c r="BL7" s="286">
        <v>2.0</v>
      </c>
      <c r="BM7" s="286">
        <v>4.0</v>
      </c>
      <c r="BN7" s="286">
        <v>4.0</v>
      </c>
      <c r="BO7" s="286">
        <v>4.0</v>
      </c>
      <c r="BP7" s="287">
        <v>2.0</v>
      </c>
      <c r="BR7" s="288">
        <v>6.0</v>
      </c>
      <c r="BS7" s="289">
        <v>6.0</v>
      </c>
      <c r="BT7" s="289">
        <v>6.0</v>
      </c>
      <c r="BU7" s="289">
        <v>6.0</v>
      </c>
      <c r="BV7" s="289">
        <v>5.0</v>
      </c>
      <c r="BW7" s="289">
        <v>7.0</v>
      </c>
      <c r="BX7" s="289">
        <v>6.0</v>
      </c>
      <c r="BY7" s="290">
        <v>5.0</v>
      </c>
      <c r="BZ7" s="273">
        <v>1.88</v>
      </c>
      <c r="CA7" s="288">
        <v>5.0</v>
      </c>
      <c r="CB7" s="289">
        <v>5.0</v>
      </c>
      <c r="CC7" s="289">
        <v>6.0</v>
      </c>
      <c r="CD7" s="289">
        <v>5.0</v>
      </c>
      <c r="CE7" s="289">
        <v>6.0</v>
      </c>
      <c r="CF7" s="289">
        <v>6.0</v>
      </c>
      <c r="CG7" s="289">
        <v>6.0</v>
      </c>
      <c r="CH7" s="290">
        <v>6.0</v>
      </c>
      <c r="CI7" s="273">
        <v>1.63</v>
      </c>
      <c r="CJ7" s="289"/>
    </row>
    <row r="8">
      <c r="A8" s="17">
        <v>25.0</v>
      </c>
      <c r="B8" s="269">
        <v>4.0</v>
      </c>
      <c r="C8" s="270">
        <v>27.0</v>
      </c>
      <c r="D8" s="271" t="s">
        <v>43</v>
      </c>
      <c r="E8" s="203">
        <v>2.0</v>
      </c>
      <c r="F8" s="272" t="s">
        <v>62</v>
      </c>
      <c r="G8" s="273">
        <v>3.0</v>
      </c>
      <c r="H8" s="274" t="s">
        <v>63</v>
      </c>
      <c r="I8" s="56">
        <v>0.0</v>
      </c>
      <c r="J8" s="56">
        <v>1.0</v>
      </c>
      <c r="K8" s="56">
        <v>1.0</v>
      </c>
      <c r="L8" s="56">
        <v>0.0</v>
      </c>
      <c r="M8" s="56">
        <v>0.0</v>
      </c>
      <c r="O8" s="275">
        <v>4.0</v>
      </c>
      <c r="P8" s="275">
        <v>4.0</v>
      </c>
      <c r="Q8" s="275">
        <v>5.0</v>
      </c>
      <c r="R8" s="275">
        <v>4.0</v>
      </c>
      <c r="S8" s="276">
        <f t="shared" si="1"/>
        <v>4.25</v>
      </c>
      <c r="U8" s="277" t="s">
        <v>36</v>
      </c>
      <c r="V8" s="277" t="s">
        <v>40</v>
      </c>
      <c r="W8" s="277"/>
      <c r="X8" s="278">
        <v>6.0</v>
      </c>
      <c r="Y8" s="279" t="str">
        <f t="shared" si="2"/>
        <v>No</v>
      </c>
      <c r="Z8" s="279">
        <v>7.0</v>
      </c>
      <c r="AA8" s="280" t="str">
        <f t="shared" si="3"/>
        <v>No</v>
      </c>
      <c r="AB8" s="281">
        <v>1.0</v>
      </c>
      <c r="AC8" s="281">
        <v>2.0</v>
      </c>
      <c r="AD8" s="281">
        <v>1.0</v>
      </c>
      <c r="AE8" s="281">
        <v>6.0</v>
      </c>
      <c r="AF8" s="281">
        <v>2.0</v>
      </c>
      <c r="AG8" s="281">
        <v>3.0</v>
      </c>
      <c r="AH8" s="282">
        <f t="shared" si="4"/>
        <v>2.5</v>
      </c>
      <c r="AI8" s="283"/>
      <c r="AJ8" s="284">
        <v>2.0</v>
      </c>
      <c r="AK8" s="281">
        <v>1.0</v>
      </c>
      <c r="AL8" s="281">
        <v>1.0</v>
      </c>
      <c r="AM8" s="281">
        <v>7.0</v>
      </c>
      <c r="AN8" s="281">
        <v>1.0</v>
      </c>
      <c r="AO8" s="281">
        <v>2.0</v>
      </c>
      <c r="AP8" s="282">
        <f t="shared" si="5"/>
        <v>2.333333333</v>
      </c>
      <c r="AU8" s="285">
        <v>2.0</v>
      </c>
      <c r="AV8" s="286">
        <v>1.0</v>
      </c>
      <c r="AW8" s="286">
        <v>5.0</v>
      </c>
      <c r="AX8" s="286">
        <v>1.0</v>
      </c>
      <c r="AY8" s="286">
        <v>5.0</v>
      </c>
      <c r="AZ8" s="286">
        <v>1.0</v>
      </c>
      <c r="BA8" s="286">
        <v>5.0</v>
      </c>
      <c r="BB8" s="286">
        <v>1.0</v>
      </c>
      <c r="BC8" s="286">
        <v>5.0</v>
      </c>
      <c r="BD8" s="287">
        <v>1.0</v>
      </c>
      <c r="BE8" s="195"/>
      <c r="BF8" s="195"/>
      <c r="BG8" s="285">
        <v>2.0</v>
      </c>
      <c r="BH8" s="286">
        <v>1.0</v>
      </c>
      <c r="BI8" s="286">
        <v>5.0</v>
      </c>
      <c r="BJ8" s="286">
        <v>1.0</v>
      </c>
      <c r="BK8" s="286">
        <v>4.0</v>
      </c>
      <c r="BL8" s="286">
        <v>1.0</v>
      </c>
      <c r="BM8" s="286">
        <v>5.0</v>
      </c>
      <c r="BN8" s="286">
        <v>2.0</v>
      </c>
      <c r="BO8" s="286">
        <v>4.0</v>
      </c>
      <c r="BP8" s="287">
        <v>1.0</v>
      </c>
      <c r="BR8" s="288">
        <v>7.0</v>
      </c>
      <c r="BS8" s="289">
        <v>6.0</v>
      </c>
      <c r="BT8" s="289">
        <v>5.0</v>
      </c>
      <c r="BU8" s="289">
        <v>6.0</v>
      </c>
      <c r="BV8" s="289">
        <v>4.0</v>
      </c>
      <c r="BW8" s="289">
        <v>4.0</v>
      </c>
      <c r="BX8" s="289">
        <v>3.0</v>
      </c>
      <c r="BY8" s="290">
        <v>4.0</v>
      </c>
      <c r="BZ8" s="273">
        <v>0.88</v>
      </c>
      <c r="CA8" s="288">
        <v>7.0</v>
      </c>
      <c r="CB8" s="289">
        <v>7.0</v>
      </c>
      <c r="CC8" s="289">
        <v>5.0</v>
      </c>
      <c r="CD8" s="289">
        <v>6.0</v>
      </c>
      <c r="CE8" s="289">
        <v>4.0</v>
      </c>
      <c r="CF8" s="289">
        <v>4.0</v>
      </c>
      <c r="CG8" s="289">
        <v>3.0</v>
      </c>
      <c r="CH8" s="290">
        <v>3.0</v>
      </c>
      <c r="CI8" s="273">
        <v>0.88</v>
      </c>
      <c r="CJ8" s="289"/>
    </row>
    <row r="9">
      <c r="A9" s="17">
        <v>26.0</v>
      </c>
      <c r="B9" s="269">
        <v>5.0</v>
      </c>
      <c r="C9" s="270">
        <v>27.0</v>
      </c>
      <c r="D9" s="271" t="s">
        <v>33</v>
      </c>
      <c r="E9" s="203">
        <v>1.0</v>
      </c>
      <c r="F9" s="272" t="s">
        <v>34</v>
      </c>
      <c r="G9" s="273">
        <v>1.0</v>
      </c>
      <c r="H9" s="274" t="s">
        <v>74</v>
      </c>
      <c r="I9" s="56">
        <v>0.0</v>
      </c>
      <c r="J9" s="56">
        <v>0.0</v>
      </c>
      <c r="K9" s="56">
        <v>1.0</v>
      </c>
      <c r="L9" s="56">
        <v>0.0</v>
      </c>
      <c r="M9" s="56">
        <v>1.0</v>
      </c>
      <c r="O9" s="275">
        <v>5.0</v>
      </c>
      <c r="P9" s="275">
        <v>4.0</v>
      </c>
      <c r="Q9" s="275">
        <v>5.0</v>
      </c>
      <c r="R9" s="275">
        <v>5.0</v>
      </c>
      <c r="S9" s="276">
        <f t="shared" si="1"/>
        <v>4.75</v>
      </c>
      <c r="U9" s="277" t="s">
        <v>40</v>
      </c>
      <c r="V9" s="277" t="s">
        <v>36</v>
      </c>
      <c r="W9" s="277"/>
      <c r="X9" s="278">
        <v>5.0</v>
      </c>
      <c r="Y9" s="279" t="str">
        <f t="shared" si="2"/>
        <v>No</v>
      </c>
      <c r="Z9" s="279">
        <v>5.0</v>
      </c>
      <c r="AA9" s="280" t="str">
        <f t="shared" si="3"/>
        <v>No</v>
      </c>
      <c r="AB9" s="281">
        <v>6.0</v>
      </c>
      <c r="AC9" s="281">
        <v>2.0</v>
      </c>
      <c r="AD9" s="281">
        <v>4.0</v>
      </c>
      <c r="AE9" s="281">
        <v>5.0</v>
      </c>
      <c r="AF9" s="281">
        <v>5.0</v>
      </c>
      <c r="AG9" s="281">
        <v>5.0</v>
      </c>
      <c r="AH9" s="282">
        <f t="shared" si="4"/>
        <v>4.5</v>
      </c>
      <c r="AI9" s="283"/>
      <c r="AJ9" s="284">
        <v>6.0</v>
      </c>
      <c r="AK9" s="281">
        <v>3.0</v>
      </c>
      <c r="AL9" s="281">
        <v>4.0</v>
      </c>
      <c r="AM9" s="281">
        <v>4.0</v>
      </c>
      <c r="AN9" s="281">
        <v>2.0</v>
      </c>
      <c r="AO9" s="281">
        <v>2.0</v>
      </c>
      <c r="AP9" s="282">
        <f t="shared" si="5"/>
        <v>3.5</v>
      </c>
      <c r="AU9" s="285">
        <v>4.0</v>
      </c>
      <c r="AV9" s="286">
        <v>2.0</v>
      </c>
      <c r="AW9" s="286">
        <v>4.0</v>
      </c>
      <c r="AX9" s="286">
        <v>2.0</v>
      </c>
      <c r="AY9" s="286">
        <v>4.0</v>
      </c>
      <c r="AZ9" s="286">
        <v>2.0</v>
      </c>
      <c r="BA9" s="286">
        <v>3.0</v>
      </c>
      <c r="BB9" s="286">
        <v>3.0</v>
      </c>
      <c r="BC9" s="286">
        <v>2.0</v>
      </c>
      <c r="BD9" s="287">
        <v>1.0</v>
      </c>
      <c r="BE9" s="195"/>
      <c r="BF9" s="195"/>
      <c r="BG9" s="285">
        <v>5.0</v>
      </c>
      <c r="BH9" s="286">
        <v>2.0</v>
      </c>
      <c r="BI9" s="286">
        <v>4.0</v>
      </c>
      <c r="BJ9" s="286">
        <v>2.0</v>
      </c>
      <c r="BK9" s="286">
        <v>4.0</v>
      </c>
      <c r="BL9" s="286">
        <v>1.0</v>
      </c>
      <c r="BM9" s="286">
        <v>4.0</v>
      </c>
      <c r="BN9" s="286">
        <v>2.0</v>
      </c>
      <c r="BO9" s="286">
        <v>3.0</v>
      </c>
      <c r="BP9" s="287">
        <v>1.0</v>
      </c>
      <c r="BR9" s="288">
        <v>7.0</v>
      </c>
      <c r="BS9" s="289">
        <v>5.0</v>
      </c>
      <c r="BT9" s="289">
        <v>6.0</v>
      </c>
      <c r="BU9" s="289">
        <v>7.0</v>
      </c>
      <c r="BV9" s="289">
        <v>4.0</v>
      </c>
      <c r="BW9" s="289">
        <v>4.0</v>
      </c>
      <c r="BX9" s="289">
        <v>6.0</v>
      </c>
      <c r="BY9" s="290">
        <v>5.0</v>
      </c>
      <c r="BZ9" s="273">
        <v>1.5</v>
      </c>
      <c r="CA9" s="288">
        <v>7.0</v>
      </c>
      <c r="CB9" s="289">
        <v>5.0</v>
      </c>
      <c r="CC9" s="289">
        <v>6.0</v>
      </c>
      <c r="CD9" s="289">
        <v>7.0</v>
      </c>
      <c r="CE9" s="289">
        <v>3.0</v>
      </c>
      <c r="CF9" s="289">
        <v>4.0</v>
      </c>
      <c r="CG9" s="289">
        <v>6.0</v>
      </c>
      <c r="CH9" s="290">
        <v>3.0</v>
      </c>
      <c r="CI9" s="273">
        <v>1.13</v>
      </c>
      <c r="CJ9" s="289"/>
    </row>
    <row r="10">
      <c r="A10" s="17">
        <v>27.0</v>
      </c>
      <c r="B10" s="269">
        <v>6.0</v>
      </c>
      <c r="C10" s="270">
        <v>25.0</v>
      </c>
      <c r="D10" s="271" t="s">
        <v>43</v>
      </c>
      <c r="E10" s="203">
        <v>2.0</v>
      </c>
      <c r="F10" s="272" t="s">
        <v>34</v>
      </c>
      <c r="G10" s="273">
        <v>1.0</v>
      </c>
      <c r="H10" s="274" t="s">
        <v>44</v>
      </c>
      <c r="I10" s="56">
        <v>0.0</v>
      </c>
      <c r="J10" s="56">
        <v>0.0</v>
      </c>
      <c r="K10" s="56">
        <v>0.0</v>
      </c>
      <c r="L10" s="56">
        <v>1.0</v>
      </c>
      <c r="M10" s="56">
        <v>0.0</v>
      </c>
      <c r="O10" s="275">
        <v>5.0</v>
      </c>
      <c r="P10" s="275">
        <v>5.0</v>
      </c>
      <c r="Q10" s="275">
        <v>5.0</v>
      </c>
      <c r="R10" s="275">
        <v>5.0</v>
      </c>
      <c r="S10" s="276">
        <f t="shared" si="1"/>
        <v>5</v>
      </c>
      <c r="U10" s="277" t="s">
        <v>36</v>
      </c>
      <c r="V10" s="277" t="s">
        <v>40</v>
      </c>
      <c r="W10" s="277"/>
      <c r="X10" s="278">
        <v>5.0</v>
      </c>
      <c r="Y10" s="279" t="str">
        <f t="shared" si="2"/>
        <v>No</v>
      </c>
      <c r="Z10" s="279">
        <v>4.0</v>
      </c>
      <c r="AA10" s="280" t="str">
        <f t="shared" si="3"/>
        <v>No</v>
      </c>
      <c r="AB10" s="281">
        <v>4.0</v>
      </c>
      <c r="AC10" s="281">
        <v>2.0</v>
      </c>
      <c r="AD10" s="281">
        <v>2.0</v>
      </c>
      <c r="AE10" s="281">
        <v>7.0</v>
      </c>
      <c r="AF10" s="281">
        <v>3.0</v>
      </c>
      <c r="AG10" s="281">
        <v>1.0</v>
      </c>
      <c r="AH10" s="282">
        <f t="shared" si="4"/>
        <v>3.166666667</v>
      </c>
      <c r="AI10" s="283"/>
      <c r="AJ10" s="284">
        <v>3.0</v>
      </c>
      <c r="AK10" s="281">
        <v>4.0</v>
      </c>
      <c r="AL10" s="281">
        <v>5.0</v>
      </c>
      <c r="AM10" s="281">
        <v>7.0</v>
      </c>
      <c r="AN10" s="281">
        <v>3.0</v>
      </c>
      <c r="AO10" s="281">
        <v>3.0</v>
      </c>
      <c r="AP10" s="282">
        <f t="shared" si="5"/>
        <v>4.166666667</v>
      </c>
      <c r="AU10" s="285">
        <v>2.0</v>
      </c>
      <c r="AV10" s="286">
        <v>1.0</v>
      </c>
      <c r="AW10" s="286">
        <v>5.0</v>
      </c>
      <c r="AX10" s="286">
        <v>2.0</v>
      </c>
      <c r="AY10" s="286">
        <v>5.0</v>
      </c>
      <c r="AZ10" s="286">
        <v>1.0</v>
      </c>
      <c r="BA10" s="286">
        <v>5.0</v>
      </c>
      <c r="BB10" s="286">
        <v>4.0</v>
      </c>
      <c r="BC10" s="286">
        <v>5.0</v>
      </c>
      <c r="BD10" s="287">
        <v>2.0</v>
      </c>
      <c r="BE10" s="195"/>
      <c r="BF10" s="195"/>
      <c r="BG10" s="285">
        <v>1.0</v>
      </c>
      <c r="BH10" s="286">
        <v>1.0</v>
      </c>
      <c r="BI10" s="286">
        <v>4.0</v>
      </c>
      <c r="BJ10" s="286">
        <v>1.0</v>
      </c>
      <c r="BK10" s="286">
        <v>5.0</v>
      </c>
      <c r="BL10" s="286">
        <v>2.0</v>
      </c>
      <c r="BM10" s="286">
        <v>2.0</v>
      </c>
      <c r="BN10" s="286">
        <v>4.0</v>
      </c>
      <c r="BO10" s="286">
        <v>4.0</v>
      </c>
      <c r="BP10" s="287">
        <v>1.0</v>
      </c>
      <c r="BR10" s="288">
        <v>7.0</v>
      </c>
      <c r="BS10" s="289">
        <v>7.0</v>
      </c>
      <c r="BT10" s="289">
        <v>7.0</v>
      </c>
      <c r="BU10" s="289">
        <v>6.0</v>
      </c>
      <c r="BV10" s="289">
        <v>7.0</v>
      </c>
      <c r="BW10" s="289">
        <v>7.0</v>
      </c>
      <c r="BX10" s="289">
        <v>7.0</v>
      </c>
      <c r="BY10" s="290">
        <v>7.0</v>
      </c>
      <c r="BZ10" s="273">
        <v>2.88</v>
      </c>
      <c r="CA10" s="288">
        <v>7.0</v>
      </c>
      <c r="CB10" s="289">
        <v>6.0</v>
      </c>
      <c r="CC10" s="289">
        <v>6.0</v>
      </c>
      <c r="CD10" s="289">
        <v>6.0</v>
      </c>
      <c r="CE10" s="289">
        <v>7.0</v>
      </c>
      <c r="CF10" s="289">
        <v>7.0</v>
      </c>
      <c r="CG10" s="289">
        <v>7.0</v>
      </c>
      <c r="CH10" s="290">
        <v>7.0</v>
      </c>
      <c r="CI10" s="273">
        <v>2.63</v>
      </c>
      <c r="CJ10" s="289"/>
    </row>
    <row r="11">
      <c r="A11" s="17">
        <v>28.0</v>
      </c>
      <c r="B11" s="269">
        <v>7.0</v>
      </c>
      <c r="C11" s="270">
        <v>33.0</v>
      </c>
      <c r="D11" s="271" t="s">
        <v>77</v>
      </c>
      <c r="E11" s="203">
        <v>3.0</v>
      </c>
      <c r="F11" s="272" t="s">
        <v>34</v>
      </c>
      <c r="G11" s="273">
        <v>1.0</v>
      </c>
      <c r="H11" s="274" t="s">
        <v>44</v>
      </c>
      <c r="I11" s="56">
        <v>0.0</v>
      </c>
      <c r="J11" s="56">
        <v>0.0</v>
      </c>
      <c r="K11" s="56">
        <v>0.0</v>
      </c>
      <c r="L11" s="56">
        <v>1.0</v>
      </c>
      <c r="M11" s="56">
        <v>0.0</v>
      </c>
      <c r="O11" s="275">
        <v>5.0</v>
      </c>
      <c r="P11" s="275">
        <v>5.0</v>
      </c>
      <c r="Q11" s="275">
        <v>5.0</v>
      </c>
      <c r="R11" s="275">
        <v>5.0</v>
      </c>
      <c r="S11" s="276">
        <f t="shared" si="1"/>
        <v>5</v>
      </c>
      <c r="U11" s="277" t="s">
        <v>40</v>
      </c>
      <c r="V11" s="277" t="s">
        <v>36</v>
      </c>
      <c r="W11" s="277"/>
      <c r="X11" s="278">
        <v>6.0</v>
      </c>
      <c r="Y11" s="279" t="str">
        <f t="shared" si="2"/>
        <v>No</v>
      </c>
      <c r="Z11" s="279">
        <v>3.0</v>
      </c>
      <c r="AA11" s="280" t="str">
        <f t="shared" si="3"/>
        <v>No</v>
      </c>
      <c r="AB11" s="281">
        <v>2.0</v>
      </c>
      <c r="AC11" s="281">
        <v>2.0</v>
      </c>
      <c r="AD11" s="281">
        <v>2.0</v>
      </c>
      <c r="AE11" s="281">
        <v>7.0</v>
      </c>
      <c r="AF11" s="281">
        <v>2.0</v>
      </c>
      <c r="AG11" s="281">
        <v>1.0</v>
      </c>
      <c r="AH11" s="282">
        <f t="shared" si="4"/>
        <v>2.666666667</v>
      </c>
      <c r="AI11" s="283"/>
      <c r="AJ11" s="284">
        <v>6.0</v>
      </c>
      <c r="AK11" s="281">
        <v>5.0</v>
      </c>
      <c r="AL11" s="281">
        <v>4.0</v>
      </c>
      <c r="AM11" s="281">
        <v>5.0</v>
      </c>
      <c r="AN11" s="281">
        <v>5.0</v>
      </c>
      <c r="AO11" s="281">
        <v>5.0</v>
      </c>
      <c r="AP11" s="282">
        <f t="shared" si="5"/>
        <v>5</v>
      </c>
      <c r="AU11" s="285">
        <v>1.0</v>
      </c>
      <c r="AV11" s="286">
        <v>2.0</v>
      </c>
      <c r="AW11" s="286">
        <v>5.0</v>
      </c>
      <c r="AX11" s="286">
        <v>1.0</v>
      </c>
      <c r="AY11" s="286">
        <v>4.0</v>
      </c>
      <c r="AZ11" s="286">
        <v>1.0</v>
      </c>
      <c r="BA11" s="286">
        <v>5.0</v>
      </c>
      <c r="BB11" s="286">
        <v>1.0</v>
      </c>
      <c r="BC11" s="286">
        <v>5.0</v>
      </c>
      <c r="BD11" s="287">
        <v>1.0</v>
      </c>
      <c r="BE11" s="195"/>
      <c r="BF11" s="195"/>
      <c r="BG11" s="285">
        <v>4.0</v>
      </c>
      <c r="BH11" s="286">
        <v>2.0</v>
      </c>
      <c r="BI11" s="286">
        <v>4.0</v>
      </c>
      <c r="BJ11" s="286">
        <v>4.0</v>
      </c>
      <c r="BK11" s="286">
        <v>5.0</v>
      </c>
      <c r="BL11" s="286">
        <v>1.0</v>
      </c>
      <c r="BM11" s="286">
        <v>4.0</v>
      </c>
      <c r="BN11" s="286">
        <v>2.0</v>
      </c>
      <c r="BO11" s="286">
        <v>4.0</v>
      </c>
      <c r="BP11" s="287">
        <v>1.0</v>
      </c>
      <c r="BR11" s="288">
        <v>7.0</v>
      </c>
      <c r="BS11" s="289">
        <v>7.0</v>
      </c>
      <c r="BT11" s="289">
        <v>6.0</v>
      </c>
      <c r="BU11" s="289">
        <v>7.0</v>
      </c>
      <c r="BV11" s="289">
        <v>5.0</v>
      </c>
      <c r="BW11" s="289">
        <v>4.0</v>
      </c>
      <c r="BX11" s="289">
        <v>5.0</v>
      </c>
      <c r="BY11" s="290">
        <v>5.0</v>
      </c>
      <c r="BZ11" s="273">
        <v>1.75</v>
      </c>
      <c r="CA11" s="288">
        <v>5.0</v>
      </c>
      <c r="CB11" s="289">
        <v>5.0</v>
      </c>
      <c r="CC11" s="289">
        <v>5.0</v>
      </c>
      <c r="CD11" s="289">
        <v>5.0</v>
      </c>
      <c r="CE11" s="289">
        <v>5.0</v>
      </c>
      <c r="CF11" s="289">
        <v>7.0</v>
      </c>
      <c r="CG11" s="289">
        <v>5.0</v>
      </c>
      <c r="CH11" s="290">
        <v>4.0</v>
      </c>
      <c r="CI11" s="273">
        <v>1.13</v>
      </c>
      <c r="CJ11" s="289"/>
    </row>
    <row r="12">
      <c r="A12" s="17">
        <v>29.0</v>
      </c>
      <c r="B12" s="269">
        <v>8.0</v>
      </c>
      <c r="C12" s="270">
        <v>33.0</v>
      </c>
      <c r="D12" s="271" t="s">
        <v>33</v>
      </c>
      <c r="E12" s="203">
        <v>1.0</v>
      </c>
      <c r="F12" s="272" t="s">
        <v>58</v>
      </c>
      <c r="G12" s="273">
        <v>2.0</v>
      </c>
      <c r="H12" s="274" t="s">
        <v>44</v>
      </c>
      <c r="I12" s="56">
        <v>0.0</v>
      </c>
      <c r="J12" s="56">
        <v>0.0</v>
      </c>
      <c r="K12" s="56">
        <v>0.0</v>
      </c>
      <c r="L12" s="56">
        <v>1.0</v>
      </c>
      <c r="M12" s="56">
        <v>0.0</v>
      </c>
      <c r="O12" s="275">
        <v>4.0</v>
      </c>
      <c r="P12" s="275">
        <v>4.0</v>
      </c>
      <c r="Q12" s="275">
        <v>4.0</v>
      </c>
      <c r="R12" s="275">
        <v>5.0</v>
      </c>
      <c r="S12" s="276">
        <f t="shared" si="1"/>
        <v>4.25</v>
      </c>
      <c r="U12" s="277" t="s">
        <v>36</v>
      </c>
      <c r="V12" s="277" t="s">
        <v>40</v>
      </c>
      <c r="W12" s="277"/>
      <c r="X12" s="278">
        <v>5.0</v>
      </c>
      <c r="Y12" s="279" t="str">
        <f t="shared" si="2"/>
        <v>No</v>
      </c>
      <c r="Z12" s="279">
        <v>3.0</v>
      </c>
      <c r="AA12" s="280" t="str">
        <f t="shared" si="3"/>
        <v>No</v>
      </c>
      <c r="AB12" s="281">
        <v>3.0</v>
      </c>
      <c r="AC12" s="281">
        <v>2.0</v>
      </c>
      <c r="AD12" s="281">
        <v>2.0</v>
      </c>
      <c r="AE12" s="281">
        <v>5.0</v>
      </c>
      <c r="AF12" s="281">
        <v>3.0</v>
      </c>
      <c r="AG12" s="281">
        <v>4.0</v>
      </c>
      <c r="AH12" s="282">
        <f t="shared" si="4"/>
        <v>3.166666667</v>
      </c>
      <c r="AI12" s="283"/>
      <c r="AJ12" s="284">
        <v>3.0</v>
      </c>
      <c r="AK12" s="281">
        <v>2.0</v>
      </c>
      <c r="AL12" s="281">
        <v>2.0</v>
      </c>
      <c r="AM12" s="281">
        <v>5.0</v>
      </c>
      <c r="AN12" s="281">
        <v>4.0</v>
      </c>
      <c r="AO12" s="281">
        <v>5.0</v>
      </c>
      <c r="AP12" s="282">
        <f t="shared" si="5"/>
        <v>3.5</v>
      </c>
      <c r="AU12" s="285">
        <v>4.0</v>
      </c>
      <c r="AV12" s="286">
        <v>2.0</v>
      </c>
      <c r="AW12" s="286">
        <v>5.0</v>
      </c>
      <c r="AX12" s="286">
        <v>1.0</v>
      </c>
      <c r="AY12" s="286">
        <v>5.0</v>
      </c>
      <c r="AZ12" s="286">
        <v>1.0</v>
      </c>
      <c r="BA12" s="286">
        <v>5.0</v>
      </c>
      <c r="BB12" s="286">
        <v>4.0</v>
      </c>
      <c r="BC12" s="286">
        <v>4.0</v>
      </c>
      <c r="BD12" s="287">
        <v>1.0</v>
      </c>
      <c r="BE12" s="195"/>
      <c r="BF12" s="195"/>
      <c r="BG12" s="285">
        <v>4.0</v>
      </c>
      <c r="BH12" s="286">
        <v>1.0</v>
      </c>
      <c r="BI12" s="286">
        <v>4.0</v>
      </c>
      <c r="BJ12" s="286">
        <v>1.0</v>
      </c>
      <c r="BK12" s="286">
        <v>5.0</v>
      </c>
      <c r="BL12" s="286">
        <v>1.0</v>
      </c>
      <c r="BM12" s="286">
        <v>4.0</v>
      </c>
      <c r="BN12" s="286">
        <v>4.0</v>
      </c>
      <c r="BO12" s="286">
        <v>3.0</v>
      </c>
      <c r="BP12" s="287">
        <v>2.0</v>
      </c>
      <c r="BR12" s="288">
        <v>6.0</v>
      </c>
      <c r="BS12" s="289">
        <v>5.0</v>
      </c>
      <c r="BT12" s="289">
        <v>5.0</v>
      </c>
      <c r="BU12" s="289">
        <v>5.0</v>
      </c>
      <c r="BV12" s="289">
        <v>5.0</v>
      </c>
      <c r="BW12" s="289">
        <v>4.0</v>
      </c>
      <c r="BX12" s="289">
        <v>3.0</v>
      </c>
      <c r="BY12" s="290">
        <v>5.0</v>
      </c>
      <c r="BZ12" s="273">
        <v>0.75</v>
      </c>
      <c r="CA12" s="288">
        <v>5.0</v>
      </c>
      <c r="CB12" s="289">
        <v>3.0</v>
      </c>
      <c r="CC12" s="289">
        <v>4.0</v>
      </c>
      <c r="CD12" s="289">
        <v>3.0</v>
      </c>
      <c r="CE12" s="289">
        <v>5.0</v>
      </c>
      <c r="CF12" s="289">
        <v>5.0</v>
      </c>
      <c r="CG12" s="289">
        <v>3.0</v>
      </c>
      <c r="CH12" s="290">
        <v>5.0</v>
      </c>
      <c r="CI12" s="273">
        <v>0.13</v>
      </c>
      <c r="CJ12" s="289"/>
    </row>
    <row r="13">
      <c r="A13" s="291">
        <v>30.0</v>
      </c>
      <c r="B13" s="292">
        <v>9.0</v>
      </c>
      <c r="C13" s="293">
        <v>34.0</v>
      </c>
      <c r="D13" s="294" t="s">
        <v>33</v>
      </c>
      <c r="E13" s="295">
        <v>1.0</v>
      </c>
      <c r="F13" s="294" t="s">
        <v>34</v>
      </c>
      <c r="G13" s="295">
        <v>1.0</v>
      </c>
      <c r="H13" s="294" t="s">
        <v>35</v>
      </c>
      <c r="I13" s="295">
        <v>1.0</v>
      </c>
      <c r="J13" s="295">
        <v>0.0</v>
      </c>
      <c r="K13" s="295">
        <v>0.0</v>
      </c>
      <c r="L13" s="295">
        <v>0.0</v>
      </c>
      <c r="M13" s="295">
        <v>0.0</v>
      </c>
      <c r="N13" s="296"/>
      <c r="O13" s="293">
        <v>4.0</v>
      </c>
      <c r="P13" s="293">
        <v>4.0</v>
      </c>
      <c r="Q13" s="293">
        <v>4.0</v>
      </c>
      <c r="R13" s="293">
        <v>3.0</v>
      </c>
      <c r="S13" s="296">
        <f t="shared" si="1"/>
        <v>3.75</v>
      </c>
      <c r="T13" s="296"/>
      <c r="U13" s="294" t="s">
        <v>40</v>
      </c>
      <c r="V13" s="294" t="s">
        <v>36</v>
      </c>
      <c r="W13" s="294"/>
      <c r="X13" s="297">
        <v>5.0</v>
      </c>
      <c r="Y13" s="298" t="str">
        <f t="shared" si="2"/>
        <v>No</v>
      </c>
      <c r="Z13" s="298">
        <v>6.0</v>
      </c>
      <c r="AA13" s="299" t="str">
        <f t="shared" si="3"/>
        <v>No</v>
      </c>
      <c r="AB13" s="293">
        <v>4.0</v>
      </c>
      <c r="AC13" s="293">
        <v>4.0</v>
      </c>
      <c r="AD13" s="293">
        <v>2.0</v>
      </c>
      <c r="AE13" s="293">
        <v>5.0</v>
      </c>
      <c r="AF13" s="293">
        <v>5.0</v>
      </c>
      <c r="AG13" s="293">
        <v>4.0</v>
      </c>
      <c r="AH13" s="300">
        <f t="shared" si="4"/>
        <v>4</v>
      </c>
      <c r="AI13" s="296"/>
      <c r="AJ13" s="301">
        <v>3.0</v>
      </c>
      <c r="AK13" s="293">
        <v>5.0</v>
      </c>
      <c r="AL13" s="293">
        <v>4.0</v>
      </c>
      <c r="AM13" s="293">
        <v>6.0</v>
      </c>
      <c r="AN13" s="293">
        <v>5.0</v>
      </c>
      <c r="AO13" s="293">
        <v>3.0</v>
      </c>
      <c r="AP13" s="300">
        <f t="shared" si="5"/>
        <v>4.333333333</v>
      </c>
      <c r="AQ13" s="296"/>
      <c r="AR13" s="296"/>
      <c r="AS13" s="296"/>
      <c r="AT13" s="296"/>
      <c r="AU13" s="301">
        <v>3.0</v>
      </c>
      <c r="AV13" s="293">
        <v>2.0</v>
      </c>
      <c r="AW13" s="293">
        <v>4.0</v>
      </c>
      <c r="AX13" s="293">
        <v>1.0</v>
      </c>
      <c r="AY13" s="293">
        <v>3.0</v>
      </c>
      <c r="AZ13" s="293">
        <v>2.0</v>
      </c>
      <c r="BA13" s="293">
        <v>4.0</v>
      </c>
      <c r="BB13" s="293">
        <v>2.0</v>
      </c>
      <c r="BC13" s="293">
        <v>3.0</v>
      </c>
      <c r="BD13" s="302">
        <v>1.0</v>
      </c>
      <c r="BE13" s="296"/>
      <c r="BF13" s="296"/>
      <c r="BG13" s="301">
        <v>4.0</v>
      </c>
      <c r="BH13" s="293">
        <v>2.0</v>
      </c>
      <c r="BI13" s="293">
        <v>4.0</v>
      </c>
      <c r="BJ13" s="293">
        <v>2.0</v>
      </c>
      <c r="BK13" s="293">
        <v>4.0</v>
      </c>
      <c r="BL13" s="293">
        <v>2.0</v>
      </c>
      <c r="BM13" s="293">
        <v>4.0</v>
      </c>
      <c r="BN13" s="293">
        <v>2.0</v>
      </c>
      <c r="BO13" s="293">
        <v>3.0</v>
      </c>
      <c r="BP13" s="302">
        <v>2.0</v>
      </c>
      <c r="BQ13" s="296"/>
      <c r="BR13" s="301">
        <v>6.0</v>
      </c>
      <c r="BS13" s="293">
        <v>5.0</v>
      </c>
      <c r="BT13" s="293">
        <v>3.0</v>
      </c>
      <c r="BU13" s="293">
        <v>6.0</v>
      </c>
      <c r="BV13" s="293">
        <v>3.0</v>
      </c>
      <c r="BW13" s="293">
        <v>3.0</v>
      </c>
      <c r="BX13" s="293">
        <v>3.0</v>
      </c>
      <c r="BY13" s="302">
        <v>3.0</v>
      </c>
      <c r="BZ13" s="295"/>
      <c r="CA13" s="301">
        <v>3.0</v>
      </c>
      <c r="CB13" s="293">
        <v>5.0</v>
      </c>
      <c r="CC13" s="293">
        <v>4.0</v>
      </c>
      <c r="CD13" s="293">
        <v>5.0</v>
      </c>
      <c r="CE13" s="293">
        <v>4.0</v>
      </c>
      <c r="CF13" s="293">
        <v>4.0</v>
      </c>
      <c r="CG13" s="293">
        <v>3.0</v>
      </c>
      <c r="CH13" s="302">
        <v>4.0</v>
      </c>
      <c r="CI13" s="295"/>
      <c r="CJ13" s="293"/>
    </row>
    <row r="14">
      <c r="A14" s="17">
        <v>31.0</v>
      </c>
      <c r="B14" s="269">
        <v>10.0</v>
      </c>
      <c r="C14" s="270">
        <v>27.0</v>
      </c>
      <c r="D14" s="271" t="s">
        <v>33</v>
      </c>
      <c r="E14" s="203">
        <v>1.0</v>
      </c>
      <c r="F14" s="272" t="s">
        <v>34</v>
      </c>
      <c r="G14" s="273">
        <v>1.0</v>
      </c>
      <c r="H14" s="274" t="s">
        <v>39</v>
      </c>
      <c r="I14" s="56">
        <v>0.0</v>
      </c>
      <c r="J14" s="56">
        <v>1.0</v>
      </c>
      <c r="K14" s="56">
        <v>0.0</v>
      </c>
      <c r="L14" s="56">
        <v>0.0</v>
      </c>
      <c r="M14" s="56">
        <v>0.0</v>
      </c>
      <c r="O14" s="275">
        <v>5.0</v>
      </c>
      <c r="P14" s="275">
        <v>5.0</v>
      </c>
      <c r="Q14" s="275">
        <v>5.0</v>
      </c>
      <c r="R14" s="275">
        <v>5.0</v>
      </c>
      <c r="S14" s="276">
        <f t="shared" si="1"/>
        <v>5</v>
      </c>
      <c r="U14" s="277" t="s">
        <v>36</v>
      </c>
      <c r="V14" s="277" t="s">
        <v>40</v>
      </c>
      <c r="W14" s="277"/>
      <c r="X14" s="278">
        <v>6.0</v>
      </c>
      <c r="Y14" s="279" t="str">
        <f t="shared" si="2"/>
        <v>No</v>
      </c>
      <c r="Z14" s="279">
        <v>2.0</v>
      </c>
      <c r="AA14" s="280" t="str">
        <f t="shared" si="3"/>
        <v>No</v>
      </c>
      <c r="AB14" s="281">
        <v>4.0</v>
      </c>
      <c r="AC14" s="281">
        <v>2.0</v>
      </c>
      <c r="AD14" s="281">
        <v>4.0</v>
      </c>
      <c r="AE14" s="281">
        <v>6.0</v>
      </c>
      <c r="AF14" s="281">
        <v>2.0</v>
      </c>
      <c r="AG14" s="281">
        <v>2.0</v>
      </c>
      <c r="AH14" s="282">
        <f t="shared" si="4"/>
        <v>3.333333333</v>
      </c>
      <c r="AI14" s="283"/>
      <c r="AJ14" s="284">
        <v>5.0</v>
      </c>
      <c r="AK14" s="281">
        <v>1.0</v>
      </c>
      <c r="AL14" s="281">
        <v>3.0</v>
      </c>
      <c r="AM14" s="281">
        <v>3.0</v>
      </c>
      <c r="AN14" s="281">
        <v>4.0</v>
      </c>
      <c r="AO14" s="281">
        <v>5.0</v>
      </c>
      <c r="AP14" s="282">
        <f t="shared" si="5"/>
        <v>3.5</v>
      </c>
      <c r="AU14" s="285">
        <v>4.0</v>
      </c>
      <c r="AV14" s="286">
        <v>2.0</v>
      </c>
      <c r="AW14" s="286">
        <v>4.0</v>
      </c>
      <c r="AX14" s="286">
        <v>1.0</v>
      </c>
      <c r="AY14" s="286">
        <v>3.0</v>
      </c>
      <c r="AZ14" s="286">
        <v>1.0</v>
      </c>
      <c r="BA14" s="286">
        <v>5.0</v>
      </c>
      <c r="BB14" s="286">
        <v>1.0</v>
      </c>
      <c r="BC14" s="286">
        <v>4.0</v>
      </c>
      <c r="BD14" s="287">
        <v>1.0</v>
      </c>
      <c r="BE14" s="195"/>
      <c r="BF14" s="195"/>
      <c r="BG14" s="285">
        <v>2.0</v>
      </c>
      <c r="BH14" s="286">
        <v>3.0</v>
      </c>
      <c r="BI14" s="286">
        <v>2.0</v>
      </c>
      <c r="BJ14" s="286">
        <v>1.0</v>
      </c>
      <c r="BK14" s="286">
        <v>2.0</v>
      </c>
      <c r="BL14" s="286">
        <v>4.0</v>
      </c>
      <c r="BM14" s="286">
        <v>2.0</v>
      </c>
      <c r="BN14" s="286">
        <v>4.0</v>
      </c>
      <c r="BO14" s="286">
        <v>1.0</v>
      </c>
      <c r="BP14" s="287">
        <v>1.0</v>
      </c>
      <c r="BR14" s="288">
        <v>6.0</v>
      </c>
      <c r="BS14" s="289">
        <v>4.0</v>
      </c>
      <c r="BT14" s="289">
        <v>6.0</v>
      </c>
      <c r="BU14" s="289">
        <v>6.0</v>
      </c>
      <c r="BV14" s="289">
        <v>5.0</v>
      </c>
      <c r="BW14" s="289">
        <v>5.0</v>
      </c>
      <c r="BX14" s="289">
        <v>3.0</v>
      </c>
      <c r="BY14" s="290">
        <v>2.0</v>
      </c>
      <c r="BZ14" s="273">
        <v>0.63</v>
      </c>
      <c r="CA14" s="288">
        <v>3.0</v>
      </c>
      <c r="CB14" s="289">
        <v>2.0</v>
      </c>
      <c r="CC14" s="289">
        <v>3.0</v>
      </c>
      <c r="CD14" s="289">
        <v>3.0</v>
      </c>
      <c r="CE14" s="289">
        <v>4.0</v>
      </c>
      <c r="CF14" s="289">
        <v>4.0</v>
      </c>
      <c r="CG14" s="289">
        <v>2.0</v>
      </c>
      <c r="CH14" s="290">
        <v>1.0</v>
      </c>
      <c r="CI14" s="273">
        <v>-1.25</v>
      </c>
      <c r="CJ14" s="289"/>
    </row>
    <row r="15">
      <c r="A15" s="17">
        <v>32.0</v>
      </c>
      <c r="B15" s="269">
        <v>11.0</v>
      </c>
      <c r="C15" s="270">
        <v>39.0</v>
      </c>
      <c r="D15" s="271" t="s">
        <v>33</v>
      </c>
      <c r="E15" s="203">
        <v>1.0</v>
      </c>
      <c r="F15" s="272" t="s">
        <v>34</v>
      </c>
      <c r="G15" s="273">
        <v>1.0</v>
      </c>
      <c r="H15" s="274" t="s">
        <v>69</v>
      </c>
      <c r="I15" s="56">
        <v>1.0</v>
      </c>
      <c r="J15" s="56">
        <v>1.0</v>
      </c>
      <c r="K15" s="56">
        <v>0.0</v>
      </c>
      <c r="L15" s="56">
        <v>0.0</v>
      </c>
      <c r="M15" s="56">
        <v>0.0</v>
      </c>
      <c r="O15" s="275">
        <v>5.0</v>
      </c>
      <c r="P15" s="275">
        <v>4.0</v>
      </c>
      <c r="Q15" s="275">
        <v>5.0</v>
      </c>
      <c r="R15" s="275">
        <v>3.0</v>
      </c>
      <c r="S15" s="276">
        <f t="shared" si="1"/>
        <v>4.25</v>
      </c>
      <c r="U15" s="277" t="s">
        <v>40</v>
      </c>
      <c r="V15" s="277" t="s">
        <v>36</v>
      </c>
      <c r="W15" s="277"/>
      <c r="X15" s="303">
        <v>5.0</v>
      </c>
      <c r="Y15" s="304" t="str">
        <f t="shared" si="2"/>
        <v>No</v>
      </c>
      <c r="Z15" s="304">
        <v>5.0</v>
      </c>
      <c r="AA15" s="305" t="str">
        <f t="shared" si="3"/>
        <v>No</v>
      </c>
      <c r="AB15" s="306">
        <v>3.0</v>
      </c>
      <c r="AC15" s="306">
        <v>1.0</v>
      </c>
      <c r="AD15" s="306">
        <v>1.0</v>
      </c>
      <c r="AE15" s="306">
        <v>6.0</v>
      </c>
      <c r="AF15" s="306">
        <v>2.0</v>
      </c>
      <c r="AG15" s="306">
        <v>4.0</v>
      </c>
      <c r="AH15" s="307">
        <f t="shared" si="4"/>
        <v>2.833333333</v>
      </c>
      <c r="AI15" s="308"/>
      <c r="AJ15" s="309">
        <v>1.0</v>
      </c>
      <c r="AK15" s="306">
        <v>1.0</v>
      </c>
      <c r="AL15" s="306">
        <v>1.0</v>
      </c>
      <c r="AM15" s="306">
        <v>6.0</v>
      </c>
      <c r="AN15" s="306">
        <v>3.0</v>
      </c>
      <c r="AO15" s="306">
        <v>3.0</v>
      </c>
      <c r="AP15" s="282">
        <f t="shared" si="5"/>
        <v>2.5</v>
      </c>
      <c r="AU15" s="310">
        <v>3.0</v>
      </c>
      <c r="AV15" s="311">
        <v>1.0</v>
      </c>
      <c r="AW15" s="311">
        <v>4.0</v>
      </c>
      <c r="AX15" s="311">
        <v>1.0</v>
      </c>
      <c r="AY15" s="311">
        <v>4.0</v>
      </c>
      <c r="AZ15" s="311">
        <v>2.0</v>
      </c>
      <c r="BA15" s="311">
        <v>4.0</v>
      </c>
      <c r="BB15" s="311">
        <v>2.0</v>
      </c>
      <c r="BC15" s="311">
        <v>5.0</v>
      </c>
      <c r="BD15" s="312">
        <v>1.0</v>
      </c>
      <c r="BE15" s="313"/>
      <c r="BF15" s="313"/>
      <c r="BG15" s="310">
        <v>4.0</v>
      </c>
      <c r="BH15" s="311">
        <v>1.0</v>
      </c>
      <c r="BI15" s="311">
        <v>4.0</v>
      </c>
      <c r="BJ15" s="311">
        <v>2.0</v>
      </c>
      <c r="BK15" s="311">
        <v>4.0</v>
      </c>
      <c r="BL15" s="311">
        <v>2.0</v>
      </c>
      <c r="BM15" s="311">
        <v>5.0</v>
      </c>
      <c r="BN15" s="311">
        <v>1.0</v>
      </c>
      <c r="BO15" s="311">
        <v>4.0</v>
      </c>
      <c r="BP15" s="312">
        <v>1.0</v>
      </c>
      <c r="BR15" s="288">
        <v>6.0</v>
      </c>
      <c r="BS15" s="289">
        <v>6.0</v>
      </c>
      <c r="BT15" s="289">
        <v>6.0</v>
      </c>
      <c r="BU15" s="289">
        <v>6.0</v>
      </c>
      <c r="BV15" s="289">
        <v>3.0</v>
      </c>
      <c r="BW15" s="289">
        <v>4.0</v>
      </c>
      <c r="BX15" s="289">
        <v>3.0</v>
      </c>
      <c r="BY15" s="290">
        <v>3.0</v>
      </c>
      <c r="BZ15" s="273">
        <v>0.63</v>
      </c>
      <c r="CA15" s="288">
        <v>6.0</v>
      </c>
      <c r="CB15" s="289">
        <v>7.0</v>
      </c>
      <c r="CC15" s="289">
        <v>7.0</v>
      </c>
      <c r="CD15" s="289">
        <v>6.0</v>
      </c>
      <c r="CE15" s="289">
        <v>4.0</v>
      </c>
      <c r="CF15" s="289">
        <v>5.0</v>
      </c>
      <c r="CG15" s="289">
        <v>4.0</v>
      </c>
      <c r="CH15" s="290">
        <v>4.0</v>
      </c>
      <c r="CI15" s="273">
        <v>1.38</v>
      </c>
      <c r="CJ15" s="289"/>
    </row>
    <row r="16">
      <c r="W16" s="36" t="s">
        <v>183</v>
      </c>
      <c r="X16" s="88">
        <f>AVERAGE(X5:X15)</f>
        <v>5.363636364</v>
      </c>
      <c r="Y16" s="314"/>
      <c r="Z16" s="88">
        <f>AVERAGE(Z5:Z15)</f>
        <v>4.636363636</v>
      </c>
      <c r="AA16" s="315"/>
      <c r="BR16" s="316"/>
      <c r="BS16" s="316"/>
      <c r="BT16" s="316"/>
      <c r="BU16" s="316"/>
      <c r="BV16" s="316"/>
      <c r="BW16" s="316"/>
      <c r="BX16" s="316"/>
      <c r="BY16" s="316"/>
      <c r="BZ16" s="316"/>
      <c r="CA16" s="316"/>
      <c r="CB16" s="316"/>
      <c r="CC16" s="316"/>
      <c r="CD16" s="316"/>
      <c r="CE16" s="316"/>
      <c r="CF16" s="316"/>
      <c r="CG16" s="316"/>
      <c r="CH16" s="316"/>
    </row>
    <row r="17">
      <c r="A17" s="317" t="s">
        <v>196</v>
      </c>
      <c r="W17" s="36" t="s">
        <v>141</v>
      </c>
      <c r="X17" s="88">
        <f>STDEV(X5:X15)</f>
        <v>0.5045249791</v>
      </c>
      <c r="Y17" s="314"/>
      <c r="Z17" s="88">
        <f>STDEV(Z5:Z15)</f>
        <v>1.501514387</v>
      </c>
      <c r="AA17" s="315"/>
      <c r="AB17" s="26" t="s">
        <v>130</v>
      </c>
    </row>
    <row r="18">
      <c r="AB18" s="31" t="s">
        <v>87</v>
      </c>
      <c r="AC18" s="32"/>
      <c r="AD18" s="32"/>
      <c r="AE18" s="32"/>
      <c r="AF18" s="32"/>
      <c r="AG18" s="32"/>
      <c r="AH18" s="33"/>
      <c r="AI18" s="35"/>
      <c r="AJ18" s="31" t="s">
        <v>88</v>
      </c>
      <c r="AK18" s="32"/>
      <c r="AL18" s="32"/>
      <c r="AM18" s="32"/>
      <c r="AN18" s="32"/>
      <c r="AO18" s="32"/>
      <c r="AP18" s="33"/>
      <c r="AU18" s="34" t="s">
        <v>87</v>
      </c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3"/>
      <c r="BG18" s="31" t="s">
        <v>88</v>
      </c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3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>
      <c r="AB19" s="37" t="s">
        <v>94</v>
      </c>
      <c r="AC19" s="26" t="s">
        <v>95</v>
      </c>
      <c r="AD19" s="26" t="s">
        <v>96</v>
      </c>
      <c r="AE19" s="26" t="s">
        <v>97</v>
      </c>
      <c r="AF19" s="26" t="s">
        <v>98</v>
      </c>
      <c r="AG19" s="26" t="s">
        <v>99</v>
      </c>
      <c r="AH19" s="27" t="s">
        <v>100</v>
      </c>
      <c r="AI19" s="26"/>
      <c r="AJ19" s="37" t="s">
        <v>94</v>
      </c>
      <c r="AK19" s="26" t="s">
        <v>95</v>
      </c>
      <c r="AL19" s="26" t="s">
        <v>96</v>
      </c>
      <c r="AM19" s="26" t="s">
        <v>97</v>
      </c>
      <c r="AN19" s="26" t="s">
        <v>98</v>
      </c>
      <c r="AO19" s="26" t="s">
        <v>99</v>
      </c>
      <c r="AP19" s="27" t="s">
        <v>100</v>
      </c>
      <c r="AU19" s="26" t="s">
        <v>101</v>
      </c>
      <c r="AV19" s="26" t="s">
        <v>102</v>
      </c>
      <c r="AW19" s="26" t="s">
        <v>101</v>
      </c>
      <c r="AX19" s="26" t="s">
        <v>102</v>
      </c>
      <c r="AY19" s="26" t="s">
        <v>101</v>
      </c>
      <c r="AZ19" s="26" t="s">
        <v>102</v>
      </c>
      <c r="BA19" s="26" t="s">
        <v>101</v>
      </c>
      <c r="BB19" s="26" t="s">
        <v>102</v>
      </c>
      <c r="BC19" s="26" t="s">
        <v>101</v>
      </c>
      <c r="BD19" s="27" t="s">
        <v>102</v>
      </c>
      <c r="BE19" s="26" t="s">
        <v>133</v>
      </c>
      <c r="BF19" s="27" t="s">
        <v>134</v>
      </c>
      <c r="BG19" s="37" t="s">
        <v>101</v>
      </c>
      <c r="BH19" s="26" t="s">
        <v>102</v>
      </c>
      <c r="BI19" s="26" t="s">
        <v>101</v>
      </c>
      <c r="BJ19" s="26" t="s">
        <v>102</v>
      </c>
      <c r="BK19" s="26" t="s">
        <v>101</v>
      </c>
      <c r="BL19" s="26" t="s">
        <v>102</v>
      </c>
      <c r="BM19" s="26" t="s">
        <v>101</v>
      </c>
      <c r="BN19" s="26" t="s">
        <v>102</v>
      </c>
      <c r="BO19" s="26" t="s">
        <v>101</v>
      </c>
      <c r="BP19" s="27" t="s">
        <v>102</v>
      </c>
      <c r="BQ19" s="26" t="s">
        <v>133</v>
      </c>
      <c r="BR19" s="27" t="s">
        <v>134</v>
      </c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>
      <c r="Z20" s="318">
        <v>22.0</v>
      </c>
      <c r="AB20" s="88">
        <f t="shared" ref="AB20:AH20" si="6">((AB5-1)*100)/(7-1)</f>
        <v>33.33333333</v>
      </c>
      <c r="AC20" s="88">
        <f t="shared" si="6"/>
        <v>50</v>
      </c>
      <c r="AD20" s="88">
        <f t="shared" si="6"/>
        <v>0</v>
      </c>
      <c r="AE20" s="88">
        <f t="shared" si="6"/>
        <v>100</v>
      </c>
      <c r="AF20" s="88">
        <f t="shared" si="6"/>
        <v>33.33333333</v>
      </c>
      <c r="AG20" s="88">
        <f t="shared" si="6"/>
        <v>0</v>
      </c>
      <c r="AH20" s="88">
        <f t="shared" si="6"/>
        <v>36.11111111</v>
      </c>
      <c r="AI20" s="88" t="str">
        <f t="shared" ref="AI20:AI30" si="9">IF(OR(AH20&gt;$AH$31+2*$AH$32, AH20&lt;$AH$31-2*$AH$32), "Outlier", "No")</f>
        <v>No</v>
      </c>
      <c r="AJ20" s="88">
        <f t="shared" ref="AJ20:AP20" si="7">((AJ5-1)*100)/(7-1)</f>
        <v>33.33333333</v>
      </c>
      <c r="AK20" s="88">
        <f t="shared" si="7"/>
        <v>66.66666667</v>
      </c>
      <c r="AL20" s="88">
        <f t="shared" si="7"/>
        <v>0</v>
      </c>
      <c r="AM20" s="88">
        <f t="shared" si="7"/>
        <v>83.33333333</v>
      </c>
      <c r="AN20" s="88">
        <f t="shared" si="7"/>
        <v>16.66666667</v>
      </c>
      <c r="AO20" s="88">
        <f t="shared" si="7"/>
        <v>16.66666667</v>
      </c>
      <c r="AP20" s="88">
        <f t="shared" si="7"/>
        <v>36.11111111</v>
      </c>
      <c r="AT20" s="318">
        <v>22.0</v>
      </c>
      <c r="AU20" s="36">
        <f t="shared" ref="AU20:AU30" si="11">AU5-1</f>
        <v>3</v>
      </c>
      <c r="AV20" s="68">
        <f t="shared" ref="AV20:AV30" si="12">5-AV5</f>
        <v>2</v>
      </c>
      <c r="AW20" s="68">
        <f t="shared" ref="AW20:AW30" si="13">AW5-1</f>
        <v>3</v>
      </c>
      <c r="AX20" s="68">
        <f t="shared" ref="AX20:AX30" si="14">5-AX5</f>
        <v>4</v>
      </c>
      <c r="AY20" s="68">
        <f t="shared" ref="AY20:AY30" si="15">AY5-1</f>
        <v>3</v>
      </c>
      <c r="AZ20" s="68">
        <f t="shared" ref="AZ20:AZ30" si="16">5-AZ5</f>
        <v>3</v>
      </c>
      <c r="BA20" s="68">
        <f t="shared" ref="BA20:BA30" si="17">BA5-1</f>
        <v>3</v>
      </c>
      <c r="BB20" s="68">
        <f t="shared" ref="BB20:BB30" si="18">5-BB5</f>
        <v>3</v>
      </c>
      <c r="BC20" s="68">
        <f t="shared" ref="BC20:BC30" si="19">BC5-1</f>
        <v>3</v>
      </c>
      <c r="BD20" s="68">
        <f t="shared" ref="BD20:BD30" si="20">5-BD5</f>
        <v>3</v>
      </c>
      <c r="BE20" s="68">
        <f t="shared" ref="BE20:BE30" si="21">sum(AU20:BD20)</f>
        <v>30</v>
      </c>
      <c r="BF20" s="195">
        <f t="shared" ref="BF20:BF30" si="22">BE20*2.5</f>
        <v>75</v>
      </c>
      <c r="BG20" s="68">
        <f t="shared" ref="BG20:BG30" si="23">BG5-1</f>
        <v>3</v>
      </c>
      <c r="BH20" s="68">
        <f t="shared" ref="BH20:BH30" si="24">5-BH5</f>
        <v>3</v>
      </c>
      <c r="BI20" s="68">
        <f t="shared" ref="BI20:BI30" si="25">BI5-1</f>
        <v>3</v>
      </c>
      <c r="BJ20" s="68">
        <f t="shared" ref="BJ20:BJ30" si="26">5-BJ5</f>
        <v>3</v>
      </c>
      <c r="BK20" s="68">
        <f t="shared" ref="BK20:BK30" si="27">BK5-1</f>
        <v>3</v>
      </c>
      <c r="BL20" s="68">
        <f t="shared" ref="BL20:BL30" si="28">5-BL5</f>
        <v>4</v>
      </c>
      <c r="BM20" s="68">
        <f t="shared" ref="BM20:BM30" si="29">BM5-1</f>
        <v>3</v>
      </c>
      <c r="BN20" s="68">
        <f t="shared" ref="BN20:BN30" si="30">5-BN5</f>
        <v>4</v>
      </c>
      <c r="BO20" s="68">
        <f t="shared" ref="BO20:BO30" si="31">BO5-1</f>
        <v>4</v>
      </c>
      <c r="BP20" s="68">
        <f t="shared" ref="BP20:BP30" si="32">5-BP5</f>
        <v>3</v>
      </c>
      <c r="BQ20" s="68">
        <f t="shared" ref="BQ20:BQ30" si="33">sum(BG20:BP20)</f>
        <v>33</v>
      </c>
      <c r="BR20" s="195">
        <f t="shared" ref="BR20:BR30" si="34">BQ20*2.5</f>
        <v>82.5</v>
      </c>
    </row>
    <row r="21">
      <c r="Z21" s="318">
        <v>23.0</v>
      </c>
      <c r="AB21" s="88">
        <f t="shared" ref="AB21:AH21" si="8">((AB6-1)*100)/(7-1)</f>
        <v>16.66666667</v>
      </c>
      <c r="AC21" s="88">
        <f t="shared" si="8"/>
        <v>83.33333333</v>
      </c>
      <c r="AD21" s="88">
        <f t="shared" si="8"/>
        <v>0</v>
      </c>
      <c r="AE21" s="88">
        <f t="shared" si="8"/>
        <v>100</v>
      </c>
      <c r="AF21" s="88">
        <f t="shared" si="8"/>
        <v>66.66666667</v>
      </c>
      <c r="AG21" s="88">
        <f t="shared" si="8"/>
        <v>33.33333333</v>
      </c>
      <c r="AH21" s="88">
        <f t="shared" si="8"/>
        <v>50</v>
      </c>
      <c r="AI21" s="88" t="str">
        <f t="shared" si="9"/>
        <v>No</v>
      </c>
      <c r="AJ21" s="88">
        <f t="shared" ref="AJ21:AP21" si="10">((AJ6-1)*100)/(7-1)</f>
        <v>50</v>
      </c>
      <c r="AK21" s="88">
        <f t="shared" si="10"/>
        <v>33.33333333</v>
      </c>
      <c r="AL21" s="88">
        <f t="shared" si="10"/>
        <v>16.66666667</v>
      </c>
      <c r="AM21" s="88">
        <f t="shared" si="10"/>
        <v>100</v>
      </c>
      <c r="AN21" s="88">
        <f t="shared" si="10"/>
        <v>50</v>
      </c>
      <c r="AO21" s="88">
        <f t="shared" si="10"/>
        <v>16.66666667</v>
      </c>
      <c r="AP21" s="88">
        <f t="shared" si="10"/>
        <v>44.44444444</v>
      </c>
      <c r="AQ21" s="68" t="str">
        <f t="shared" ref="AQ21:AQ30" si="37">IF(OR(AP21&gt;$AP$31+2*$AP$32, AP21&lt;$AP$31-2*$AP$32), "Outlier", "No")</f>
        <v>No</v>
      </c>
      <c r="AT21" s="318">
        <v>23.0</v>
      </c>
      <c r="AU21" s="36">
        <f t="shared" si="11"/>
        <v>1</v>
      </c>
      <c r="AV21" s="68">
        <f t="shared" si="12"/>
        <v>1</v>
      </c>
      <c r="AW21" s="68">
        <f t="shared" si="13"/>
        <v>4</v>
      </c>
      <c r="AX21" s="68">
        <f t="shared" si="14"/>
        <v>4</v>
      </c>
      <c r="AY21" s="68">
        <f t="shared" si="15"/>
        <v>3</v>
      </c>
      <c r="AZ21" s="68">
        <f t="shared" si="16"/>
        <v>4</v>
      </c>
      <c r="BA21" s="68">
        <f t="shared" si="17"/>
        <v>4</v>
      </c>
      <c r="BB21" s="68">
        <f t="shared" si="18"/>
        <v>3</v>
      </c>
      <c r="BC21" s="68">
        <f t="shared" si="19"/>
        <v>3</v>
      </c>
      <c r="BD21" s="68">
        <f t="shared" si="20"/>
        <v>4</v>
      </c>
      <c r="BE21" s="68">
        <f t="shared" si="21"/>
        <v>31</v>
      </c>
      <c r="BF21" s="195">
        <f t="shared" si="22"/>
        <v>77.5</v>
      </c>
      <c r="BG21" s="68">
        <f t="shared" si="23"/>
        <v>2</v>
      </c>
      <c r="BH21" s="68">
        <f t="shared" si="24"/>
        <v>3</v>
      </c>
      <c r="BI21" s="68">
        <f t="shared" si="25"/>
        <v>4</v>
      </c>
      <c r="BJ21" s="68">
        <f t="shared" si="26"/>
        <v>4</v>
      </c>
      <c r="BK21" s="68">
        <f t="shared" si="27"/>
        <v>3</v>
      </c>
      <c r="BL21" s="68">
        <f t="shared" si="28"/>
        <v>4</v>
      </c>
      <c r="BM21" s="68">
        <f t="shared" si="29"/>
        <v>3</v>
      </c>
      <c r="BN21" s="68">
        <f t="shared" si="30"/>
        <v>3</v>
      </c>
      <c r="BO21" s="68">
        <f t="shared" si="31"/>
        <v>4</v>
      </c>
      <c r="BP21" s="68">
        <f t="shared" si="32"/>
        <v>4</v>
      </c>
      <c r="BQ21" s="68">
        <f t="shared" si="33"/>
        <v>34</v>
      </c>
      <c r="BR21" s="195">
        <f t="shared" si="34"/>
        <v>85</v>
      </c>
    </row>
    <row r="22">
      <c r="Z22" s="318">
        <v>24.0</v>
      </c>
      <c r="AB22" s="88">
        <f t="shared" ref="AB22:AH22" si="35">((AB7-1)*100)/(7-1)</f>
        <v>33.33333333</v>
      </c>
      <c r="AC22" s="88">
        <f t="shared" si="35"/>
        <v>33.33333333</v>
      </c>
      <c r="AD22" s="88">
        <f t="shared" si="35"/>
        <v>50</v>
      </c>
      <c r="AE22" s="88">
        <f t="shared" si="35"/>
        <v>83.33333333</v>
      </c>
      <c r="AF22" s="88">
        <f t="shared" si="35"/>
        <v>33.33333333</v>
      </c>
      <c r="AG22" s="88">
        <f t="shared" si="35"/>
        <v>16.66666667</v>
      </c>
      <c r="AH22" s="88">
        <f t="shared" si="35"/>
        <v>41.66666667</v>
      </c>
      <c r="AI22" s="88" t="str">
        <f t="shared" si="9"/>
        <v>No</v>
      </c>
      <c r="AJ22" s="88">
        <f t="shared" ref="AJ22:AP22" si="36">((AJ7-1)*100)/(7-1)</f>
        <v>50</v>
      </c>
      <c r="AK22" s="88">
        <f t="shared" si="36"/>
        <v>50</v>
      </c>
      <c r="AL22" s="88">
        <f t="shared" si="36"/>
        <v>33.33333333</v>
      </c>
      <c r="AM22" s="88">
        <f t="shared" si="36"/>
        <v>83.33333333</v>
      </c>
      <c r="AN22" s="88">
        <f t="shared" si="36"/>
        <v>66.66666667</v>
      </c>
      <c r="AO22" s="88">
        <f t="shared" si="36"/>
        <v>66.66666667</v>
      </c>
      <c r="AP22" s="88">
        <f t="shared" si="36"/>
        <v>58.33333333</v>
      </c>
      <c r="AQ22" s="68" t="str">
        <f t="shared" si="37"/>
        <v>No</v>
      </c>
      <c r="AT22" s="318">
        <v>24.0</v>
      </c>
      <c r="AU22" s="36">
        <f t="shared" si="11"/>
        <v>3</v>
      </c>
      <c r="AV22" s="68">
        <f t="shared" si="12"/>
        <v>3</v>
      </c>
      <c r="AW22" s="68">
        <f t="shared" si="13"/>
        <v>3</v>
      </c>
      <c r="AX22" s="68">
        <f t="shared" si="14"/>
        <v>3</v>
      </c>
      <c r="AY22" s="68">
        <f t="shared" si="15"/>
        <v>3</v>
      </c>
      <c r="AZ22" s="68">
        <f t="shared" si="16"/>
        <v>3</v>
      </c>
      <c r="BA22" s="68">
        <f t="shared" si="17"/>
        <v>4</v>
      </c>
      <c r="BB22" s="68">
        <f t="shared" si="18"/>
        <v>2</v>
      </c>
      <c r="BC22" s="68">
        <f t="shared" si="19"/>
        <v>3</v>
      </c>
      <c r="BD22" s="68">
        <f t="shared" si="20"/>
        <v>3</v>
      </c>
      <c r="BE22" s="68">
        <f t="shared" si="21"/>
        <v>30</v>
      </c>
      <c r="BF22" s="195">
        <f t="shared" si="22"/>
        <v>75</v>
      </c>
      <c r="BG22" s="68">
        <f t="shared" si="23"/>
        <v>4</v>
      </c>
      <c r="BH22" s="68">
        <f t="shared" si="24"/>
        <v>3</v>
      </c>
      <c r="BI22" s="68">
        <f t="shared" si="25"/>
        <v>2</v>
      </c>
      <c r="BJ22" s="68">
        <f t="shared" si="26"/>
        <v>0</v>
      </c>
      <c r="BK22" s="68">
        <f t="shared" si="27"/>
        <v>3</v>
      </c>
      <c r="BL22" s="68">
        <f t="shared" si="28"/>
        <v>3</v>
      </c>
      <c r="BM22" s="68">
        <f t="shared" si="29"/>
        <v>3</v>
      </c>
      <c r="BN22" s="68">
        <f t="shared" si="30"/>
        <v>1</v>
      </c>
      <c r="BO22" s="68">
        <f t="shared" si="31"/>
        <v>3</v>
      </c>
      <c r="BP22" s="68">
        <f t="shared" si="32"/>
        <v>3</v>
      </c>
      <c r="BQ22" s="68">
        <f t="shared" si="33"/>
        <v>25</v>
      </c>
      <c r="BR22" s="195">
        <f t="shared" si="34"/>
        <v>62.5</v>
      </c>
    </row>
    <row r="23">
      <c r="Z23" s="318">
        <v>25.0</v>
      </c>
      <c r="AB23" s="88">
        <f t="shared" ref="AB23:AH23" si="38">((AB8-1)*100)/(7-1)</f>
        <v>0</v>
      </c>
      <c r="AC23" s="88">
        <f t="shared" si="38"/>
        <v>16.66666667</v>
      </c>
      <c r="AD23" s="88">
        <f t="shared" si="38"/>
        <v>0</v>
      </c>
      <c r="AE23" s="88">
        <f t="shared" si="38"/>
        <v>83.33333333</v>
      </c>
      <c r="AF23" s="88">
        <f t="shared" si="38"/>
        <v>16.66666667</v>
      </c>
      <c r="AG23" s="88">
        <f t="shared" si="38"/>
        <v>33.33333333</v>
      </c>
      <c r="AH23" s="88">
        <f t="shared" si="38"/>
        <v>25</v>
      </c>
      <c r="AI23" s="88" t="str">
        <f t="shared" si="9"/>
        <v>No</v>
      </c>
      <c r="AJ23" s="88">
        <f t="shared" ref="AJ23:AP23" si="39">((AJ8-1)*100)/(7-1)</f>
        <v>16.66666667</v>
      </c>
      <c r="AK23" s="88">
        <f t="shared" si="39"/>
        <v>0</v>
      </c>
      <c r="AL23" s="88">
        <f t="shared" si="39"/>
        <v>0</v>
      </c>
      <c r="AM23" s="88">
        <f t="shared" si="39"/>
        <v>100</v>
      </c>
      <c r="AN23" s="88">
        <f t="shared" si="39"/>
        <v>0</v>
      </c>
      <c r="AO23" s="88">
        <f t="shared" si="39"/>
        <v>16.66666667</v>
      </c>
      <c r="AP23" s="88">
        <f t="shared" si="39"/>
        <v>22.22222222</v>
      </c>
      <c r="AQ23" s="68" t="str">
        <f t="shared" si="37"/>
        <v>No</v>
      </c>
      <c r="AT23" s="318">
        <v>25.0</v>
      </c>
      <c r="AU23" s="36">
        <f t="shared" si="11"/>
        <v>1</v>
      </c>
      <c r="AV23" s="68">
        <f t="shared" si="12"/>
        <v>4</v>
      </c>
      <c r="AW23" s="68">
        <f t="shared" si="13"/>
        <v>4</v>
      </c>
      <c r="AX23" s="68">
        <f t="shared" si="14"/>
        <v>4</v>
      </c>
      <c r="AY23" s="68">
        <f t="shared" si="15"/>
        <v>4</v>
      </c>
      <c r="AZ23" s="68">
        <f t="shared" si="16"/>
        <v>4</v>
      </c>
      <c r="BA23" s="68">
        <f t="shared" si="17"/>
        <v>4</v>
      </c>
      <c r="BB23" s="68">
        <f t="shared" si="18"/>
        <v>4</v>
      </c>
      <c r="BC23" s="68">
        <f t="shared" si="19"/>
        <v>4</v>
      </c>
      <c r="BD23" s="68">
        <f t="shared" si="20"/>
        <v>4</v>
      </c>
      <c r="BE23" s="68">
        <f t="shared" si="21"/>
        <v>37</v>
      </c>
      <c r="BF23" s="195">
        <f t="shared" si="22"/>
        <v>92.5</v>
      </c>
      <c r="BG23" s="68">
        <f t="shared" si="23"/>
        <v>1</v>
      </c>
      <c r="BH23" s="68">
        <f t="shared" si="24"/>
        <v>4</v>
      </c>
      <c r="BI23" s="68">
        <f t="shared" si="25"/>
        <v>4</v>
      </c>
      <c r="BJ23" s="68">
        <f t="shared" si="26"/>
        <v>4</v>
      </c>
      <c r="BK23" s="68">
        <f t="shared" si="27"/>
        <v>3</v>
      </c>
      <c r="BL23" s="68">
        <f t="shared" si="28"/>
        <v>4</v>
      </c>
      <c r="BM23" s="68">
        <f t="shared" si="29"/>
        <v>4</v>
      </c>
      <c r="BN23" s="68">
        <f t="shared" si="30"/>
        <v>3</v>
      </c>
      <c r="BO23" s="68">
        <f t="shared" si="31"/>
        <v>3</v>
      </c>
      <c r="BP23" s="68">
        <f t="shared" si="32"/>
        <v>4</v>
      </c>
      <c r="BQ23" s="68">
        <f t="shared" si="33"/>
        <v>34</v>
      </c>
      <c r="BR23" s="195">
        <f t="shared" si="34"/>
        <v>85</v>
      </c>
    </row>
    <row r="24">
      <c r="Z24" s="318">
        <v>26.0</v>
      </c>
      <c r="AB24" s="88">
        <f t="shared" ref="AB24:AH24" si="40">((AB9-1)*100)/(7-1)</f>
        <v>83.33333333</v>
      </c>
      <c r="AC24" s="88">
        <f t="shared" si="40"/>
        <v>16.66666667</v>
      </c>
      <c r="AD24" s="88">
        <f t="shared" si="40"/>
        <v>50</v>
      </c>
      <c r="AE24" s="88">
        <f t="shared" si="40"/>
        <v>66.66666667</v>
      </c>
      <c r="AF24" s="88">
        <f t="shared" si="40"/>
        <v>66.66666667</v>
      </c>
      <c r="AG24" s="88">
        <f t="shared" si="40"/>
        <v>66.66666667</v>
      </c>
      <c r="AH24" s="88">
        <f t="shared" si="40"/>
        <v>58.33333333</v>
      </c>
      <c r="AI24" s="88" t="str">
        <f t="shared" si="9"/>
        <v>No</v>
      </c>
      <c r="AJ24" s="88">
        <f t="shared" ref="AJ24:AP24" si="41">((AJ9-1)*100)/(7-1)</f>
        <v>83.33333333</v>
      </c>
      <c r="AK24" s="88">
        <f t="shared" si="41"/>
        <v>33.33333333</v>
      </c>
      <c r="AL24" s="88">
        <f t="shared" si="41"/>
        <v>50</v>
      </c>
      <c r="AM24" s="88">
        <f t="shared" si="41"/>
        <v>50</v>
      </c>
      <c r="AN24" s="88">
        <f t="shared" si="41"/>
        <v>16.66666667</v>
      </c>
      <c r="AO24" s="88">
        <f t="shared" si="41"/>
        <v>16.66666667</v>
      </c>
      <c r="AP24" s="88">
        <f t="shared" si="41"/>
        <v>41.66666667</v>
      </c>
      <c r="AQ24" s="68" t="str">
        <f t="shared" si="37"/>
        <v>No</v>
      </c>
      <c r="AT24" s="318">
        <v>26.0</v>
      </c>
      <c r="AU24" s="36">
        <f t="shared" si="11"/>
        <v>3</v>
      </c>
      <c r="AV24" s="68">
        <f t="shared" si="12"/>
        <v>3</v>
      </c>
      <c r="AW24" s="68">
        <f t="shared" si="13"/>
        <v>3</v>
      </c>
      <c r="AX24" s="68">
        <f t="shared" si="14"/>
        <v>3</v>
      </c>
      <c r="AY24" s="68">
        <f t="shared" si="15"/>
        <v>3</v>
      </c>
      <c r="AZ24" s="68">
        <f t="shared" si="16"/>
        <v>3</v>
      </c>
      <c r="BA24" s="68">
        <f t="shared" si="17"/>
        <v>2</v>
      </c>
      <c r="BB24" s="68">
        <f t="shared" si="18"/>
        <v>2</v>
      </c>
      <c r="BC24" s="68">
        <f t="shared" si="19"/>
        <v>1</v>
      </c>
      <c r="BD24" s="68">
        <f t="shared" si="20"/>
        <v>4</v>
      </c>
      <c r="BE24" s="68">
        <f t="shared" si="21"/>
        <v>27</v>
      </c>
      <c r="BF24" s="195">
        <f t="shared" si="22"/>
        <v>67.5</v>
      </c>
      <c r="BG24" s="68">
        <f t="shared" si="23"/>
        <v>4</v>
      </c>
      <c r="BH24" s="68">
        <f t="shared" si="24"/>
        <v>3</v>
      </c>
      <c r="BI24" s="68">
        <f t="shared" si="25"/>
        <v>3</v>
      </c>
      <c r="BJ24" s="68">
        <f t="shared" si="26"/>
        <v>3</v>
      </c>
      <c r="BK24" s="68">
        <f t="shared" si="27"/>
        <v>3</v>
      </c>
      <c r="BL24" s="68">
        <f t="shared" si="28"/>
        <v>4</v>
      </c>
      <c r="BM24" s="68">
        <f t="shared" si="29"/>
        <v>3</v>
      </c>
      <c r="BN24" s="68">
        <f t="shared" si="30"/>
        <v>3</v>
      </c>
      <c r="BO24" s="68">
        <f t="shared" si="31"/>
        <v>2</v>
      </c>
      <c r="BP24" s="68">
        <f t="shared" si="32"/>
        <v>4</v>
      </c>
      <c r="BQ24" s="68">
        <f t="shared" si="33"/>
        <v>32</v>
      </c>
      <c r="BR24" s="195">
        <f t="shared" si="34"/>
        <v>80</v>
      </c>
    </row>
    <row r="25">
      <c r="Z25" s="318">
        <v>27.0</v>
      </c>
      <c r="AB25" s="88">
        <f t="shared" ref="AB25:AH25" si="42">((AB10-1)*100)/(7-1)</f>
        <v>50</v>
      </c>
      <c r="AC25" s="88">
        <f t="shared" si="42"/>
        <v>16.66666667</v>
      </c>
      <c r="AD25" s="88">
        <f t="shared" si="42"/>
        <v>16.66666667</v>
      </c>
      <c r="AE25" s="88">
        <f t="shared" si="42"/>
        <v>100</v>
      </c>
      <c r="AF25" s="88">
        <f t="shared" si="42"/>
        <v>33.33333333</v>
      </c>
      <c r="AG25" s="88">
        <f t="shared" si="42"/>
        <v>0</v>
      </c>
      <c r="AH25" s="88">
        <f t="shared" si="42"/>
        <v>36.11111111</v>
      </c>
      <c r="AI25" s="88" t="str">
        <f t="shared" si="9"/>
        <v>No</v>
      </c>
      <c r="AJ25" s="88">
        <f t="shared" ref="AJ25:AP25" si="43">((AJ10-1)*100)/(7-1)</f>
        <v>33.33333333</v>
      </c>
      <c r="AK25" s="88">
        <f t="shared" si="43"/>
        <v>50</v>
      </c>
      <c r="AL25" s="88">
        <f t="shared" si="43"/>
        <v>66.66666667</v>
      </c>
      <c r="AM25" s="88">
        <f t="shared" si="43"/>
        <v>100</v>
      </c>
      <c r="AN25" s="88">
        <f t="shared" si="43"/>
        <v>33.33333333</v>
      </c>
      <c r="AO25" s="88">
        <f t="shared" si="43"/>
        <v>33.33333333</v>
      </c>
      <c r="AP25" s="88">
        <f t="shared" si="43"/>
        <v>52.77777778</v>
      </c>
      <c r="AQ25" s="68" t="str">
        <f t="shared" si="37"/>
        <v>No</v>
      </c>
      <c r="AT25" s="318">
        <v>27.0</v>
      </c>
      <c r="AU25" s="36">
        <f t="shared" si="11"/>
        <v>1</v>
      </c>
      <c r="AV25" s="68">
        <f t="shared" si="12"/>
        <v>4</v>
      </c>
      <c r="AW25" s="68">
        <f t="shared" si="13"/>
        <v>4</v>
      </c>
      <c r="AX25" s="68">
        <f t="shared" si="14"/>
        <v>3</v>
      </c>
      <c r="AY25" s="68">
        <f t="shared" si="15"/>
        <v>4</v>
      </c>
      <c r="AZ25" s="68">
        <f t="shared" si="16"/>
        <v>4</v>
      </c>
      <c r="BA25" s="68">
        <f t="shared" si="17"/>
        <v>4</v>
      </c>
      <c r="BB25" s="68">
        <f t="shared" si="18"/>
        <v>1</v>
      </c>
      <c r="BC25" s="68">
        <f t="shared" si="19"/>
        <v>4</v>
      </c>
      <c r="BD25" s="68">
        <f t="shared" si="20"/>
        <v>3</v>
      </c>
      <c r="BE25" s="68">
        <f t="shared" si="21"/>
        <v>32</v>
      </c>
      <c r="BF25" s="195">
        <f t="shared" si="22"/>
        <v>80</v>
      </c>
      <c r="BG25" s="68">
        <f t="shared" si="23"/>
        <v>0</v>
      </c>
      <c r="BH25" s="68">
        <f t="shared" si="24"/>
        <v>4</v>
      </c>
      <c r="BI25" s="68">
        <f t="shared" si="25"/>
        <v>3</v>
      </c>
      <c r="BJ25" s="68">
        <f t="shared" si="26"/>
        <v>4</v>
      </c>
      <c r="BK25" s="68">
        <f t="shared" si="27"/>
        <v>4</v>
      </c>
      <c r="BL25" s="68">
        <f t="shared" si="28"/>
        <v>3</v>
      </c>
      <c r="BM25" s="68">
        <f t="shared" si="29"/>
        <v>1</v>
      </c>
      <c r="BN25" s="68">
        <f t="shared" si="30"/>
        <v>1</v>
      </c>
      <c r="BO25" s="68">
        <f t="shared" si="31"/>
        <v>3</v>
      </c>
      <c r="BP25" s="68">
        <f t="shared" si="32"/>
        <v>4</v>
      </c>
      <c r="BQ25" s="68">
        <f t="shared" si="33"/>
        <v>27</v>
      </c>
      <c r="BR25" s="195">
        <f t="shared" si="34"/>
        <v>67.5</v>
      </c>
    </row>
    <row r="26">
      <c r="Z26" s="318">
        <v>28.0</v>
      </c>
      <c r="AB26" s="88">
        <f t="shared" ref="AB26:AH26" si="44">((AB11-1)*100)/(7-1)</f>
        <v>16.66666667</v>
      </c>
      <c r="AC26" s="88">
        <f t="shared" si="44"/>
        <v>16.66666667</v>
      </c>
      <c r="AD26" s="88">
        <f t="shared" si="44"/>
        <v>16.66666667</v>
      </c>
      <c r="AE26" s="88">
        <f t="shared" si="44"/>
        <v>100</v>
      </c>
      <c r="AF26" s="88">
        <f t="shared" si="44"/>
        <v>16.66666667</v>
      </c>
      <c r="AG26" s="88">
        <f t="shared" si="44"/>
        <v>0</v>
      </c>
      <c r="AH26" s="88">
        <f t="shared" si="44"/>
        <v>27.77777778</v>
      </c>
      <c r="AI26" s="88" t="str">
        <f t="shared" si="9"/>
        <v>No</v>
      </c>
      <c r="AJ26" s="88">
        <f t="shared" ref="AJ26:AP26" si="45">((AJ11-1)*100)/(7-1)</f>
        <v>83.33333333</v>
      </c>
      <c r="AK26" s="88">
        <f t="shared" si="45"/>
        <v>66.66666667</v>
      </c>
      <c r="AL26" s="88">
        <f t="shared" si="45"/>
        <v>50</v>
      </c>
      <c r="AM26" s="88">
        <f t="shared" si="45"/>
        <v>66.66666667</v>
      </c>
      <c r="AN26" s="88">
        <f t="shared" si="45"/>
        <v>66.66666667</v>
      </c>
      <c r="AO26" s="88">
        <f t="shared" si="45"/>
        <v>66.66666667</v>
      </c>
      <c r="AP26" s="88">
        <f t="shared" si="45"/>
        <v>66.66666667</v>
      </c>
      <c r="AQ26" s="68" t="str">
        <f t="shared" si="37"/>
        <v>No</v>
      </c>
      <c r="AT26" s="318">
        <v>28.0</v>
      </c>
      <c r="AU26" s="36">
        <f t="shared" si="11"/>
        <v>0</v>
      </c>
      <c r="AV26" s="68">
        <f t="shared" si="12"/>
        <v>3</v>
      </c>
      <c r="AW26" s="68">
        <f t="shared" si="13"/>
        <v>4</v>
      </c>
      <c r="AX26" s="68">
        <f t="shared" si="14"/>
        <v>4</v>
      </c>
      <c r="AY26" s="68">
        <f t="shared" si="15"/>
        <v>3</v>
      </c>
      <c r="AZ26" s="68">
        <f t="shared" si="16"/>
        <v>4</v>
      </c>
      <c r="BA26" s="68">
        <f t="shared" si="17"/>
        <v>4</v>
      </c>
      <c r="BB26" s="68">
        <f t="shared" si="18"/>
        <v>4</v>
      </c>
      <c r="BC26" s="68">
        <f t="shared" si="19"/>
        <v>4</v>
      </c>
      <c r="BD26" s="68">
        <f t="shared" si="20"/>
        <v>4</v>
      </c>
      <c r="BE26" s="68">
        <f t="shared" si="21"/>
        <v>34</v>
      </c>
      <c r="BF26" s="195">
        <f t="shared" si="22"/>
        <v>85</v>
      </c>
      <c r="BG26" s="68">
        <f t="shared" si="23"/>
        <v>3</v>
      </c>
      <c r="BH26" s="68">
        <f t="shared" si="24"/>
        <v>3</v>
      </c>
      <c r="BI26" s="68">
        <f t="shared" si="25"/>
        <v>3</v>
      </c>
      <c r="BJ26" s="68">
        <f t="shared" si="26"/>
        <v>1</v>
      </c>
      <c r="BK26" s="68">
        <f t="shared" si="27"/>
        <v>4</v>
      </c>
      <c r="BL26" s="68">
        <f t="shared" si="28"/>
        <v>4</v>
      </c>
      <c r="BM26" s="68">
        <f t="shared" si="29"/>
        <v>3</v>
      </c>
      <c r="BN26" s="68">
        <f t="shared" si="30"/>
        <v>3</v>
      </c>
      <c r="BO26" s="68">
        <f t="shared" si="31"/>
        <v>3</v>
      </c>
      <c r="BP26" s="68">
        <f t="shared" si="32"/>
        <v>4</v>
      </c>
      <c r="BQ26" s="68">
        <f t="shared" si="33"/>
        <v>31</v>
      </c>
      <c r="BR26" s="195">
        <f t="shared" si="34"/>
        <v>77.5</v>
      </c>
    </row>
    <row r="27">
      <c r="Z27" s="318">
        <v>29.0</v>
      </c>
      <c r="AB27" s="88">
        <f t="shared" ref="AB27:AH27" si="46">((AB12-1)*100)/(7-1)</f>
        <v>33.33333333</v>
      </c>
      <c r="AC27" s="88">
        <f t="shared" si="46"/>
        <v>16.66666667</v>
      </c>
      <c r="AD27" s="88">
        <f t="shared" si="46"/>
        <v>16.66666667</v>
      </c>
      <c r="AE27" s="88">
        <f t="shared" si="46"/>
        <v>66.66666667</v>
      </c>
      <c r="AF27" s="88">
        <f t="shared" si="46"/>
        <v>33.33333333</v>
      </c>
      <c r="AG27" s="88">
        <f t="shared" si="46"/>
        <v>50</v>
      </c>
      <c r="AH27" s="88">
        <f t="shared" si="46"/>
        <v>36.11111111</v>
      </c>
      <c r="AI27" s="88" t="str">
        <f t="shared" si="9"/>
        <v>No</v>
      </c>
      <c r="AJ27" s="88">
        <f t="shared" ref="AJ27:AP27" si="47">((AJ12-1)*100)/(7-1)</f>
        <v>33.33333333</v>
      </c>
      <c r="AK27" s="88">
        <f t="shared" si="47"/>
        <v>16.66666667</v>
      </c>
      <c r="AL27" s="88">
        <f t="shared" si="47"/>
        <v>16.66666667</v>
      </c>
      <c r="AM27" s="88">
        <f t="shared" si="47"/>
        <v>66.66666667</v>
      </c>
      <c r="AN27" s="88">
        <f t="shared" si="47"/>
        <v>50</v>
      </c>
      <c r="AO27" s="88">
        <f t="shared" si="47"/>
        <v>66.66666667</v>
      </c>
      <c r="AP27" s="88">
        <f t="shared" si="47"/>
        <v>41.66666667</v>
      </c>
      <c r="AQ27" s="68" t="str">
        <f t="shared" si="37"/>
        <v>No</v>
      </c>
      <c r="AT27" s="318">
        <v>29.0</v>
      </c>
      <c r="AU27" s="36">
        <f t="shared" si="11"/>
        <v>3</v>
      </c>
      <c r="AV27" s="68">
        <f t="shared" si="12"/>
        <v>3</v>
      </c>
      <c r="AW27" s="68">
        <f t="shared" si="13"/>
        <v>4</v>
      </c>
      <c r="AX27" s="68">
        <f t="shared" si="14"/>
        <v>4</v>
      </c>
      <c r="AY27" s="68">
        <f t="shared" si="15"/>
        <v>4</v>
      </c>
      <c r="AZ27" s="68">
        <f t="shared" si="16"/>
        <v>4</v>
      </c>
      <c r="BA27" s="68">
        <f t="shared" si="17"/>
        <v>4</v>
      </c>
      <c r="BB27" s="68">
        <f t="shared" si="18"/>
        <v>1</v>
      </c>
      <c r="BC27" s="68">
        <f t="shared" si="19"/>
        <v>3</v>
      </c>
      <c r="BD27" s="68">
        <f t="shared" si="20"/>
        <v>4</v>
      </c>
      <c r="BE27" s="68">
        <f t="shared" si="21"/>
        <v>34</v>
      </c>
      <c r="BF27" s="195">
        <f t="shared" si="22"/>
        <v>85</v>
      </c>
      <c r="BG27" s="68">
        <f t="shared" si="23"/>
        <v>3</v>
      </c>
      <c r="BH27" s="68">
        <f t="shared" si="24"/>
        <v>4</v>
      </c>
      <c r="BI27" s="68">
        <f t="shared" si="25"/>
        <v>3</v>
      </c>
      <c r="BJ27" s="68">
        <f t="shared" si="26"/>
        <v>4</v>
      </c>
      <c r="BK27" s="68">
        <f t="shared" si="27"/>
        <v>4</v>
      </c>
      <c r="BL27" s="68">
        <f t="shared" si="28"/>
        <v>4</v>
      </c>
      <c r="BM27" s="68">
        <f t="shared" si="29"/>
        <v>3</v>
      </c>
      <c r="BN27" s="68">
        <f t="shared" si="30"/>
        <v>1</v>
      </c>
      <c r="BO27" s="68">
        <f t="shared" si="31"/>
        <v>2</v>
      </c>
      <c r="BP27" s="68">
        <f t="shared" si="32"/>
        <v>3</v>
      </c>
      <c r="BQ27" s="68">
        <f t="shared" si="33"/>
        <v>31</v>
      </c>
      <c r="BR27" s="195">
        <f t="shared" si="34"/>
        <v>77.5</v>
      </c>
    </row>
    <row r="28">
      <c r="A28" s="296"/>
      <c r="B28" s="29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1">
        <v>30.0</v>
      </c>
      <c r="AA28" s="296"/>
      <c r="AB28" s="319">
        <f t="shared" ref="AB28:AH28" si="48">((AB13-1)*100)/(7-1)</f>
        <v>50</v>
      </c>
      <c r="AC28" s="319">
        <f t="shared" si="48"/>
        <v>50</v>
      </c>
      <c r="AD28" s="319">
        <f t="shared" si="48"/>
        <v>16.66666667</v>
      </c>
      <c r="AE28" s="319">
        <f t="shared" si="48"/>
        <v>66.66666667</v>
      </c>
      <c r="AF28" s="319">
        <f t="shared" si="48"/>
        <v>66.66666667</v>
      </c>
      <c r="AG28" s="319">
        <f t="shared" si="48"/>
        <v>50</v>
      </c>
      <c r="AH28" s="319">
        <f t="shared" si="48"/>
        <v>50</v>
      </c>
      <c r="AI28" s="319" t="str">
        <f t="shared" si="9"/>
        <v>No</v>
      </c>
      <c r="AJ28" s="319">
        <f t="shared" ref="AJ28:AP28" si="49">((AJ13-1)*100)/(7-1)</f>
        <v>33.33333333</v>
      </c>
      <c r="AK28" s="319">
        <f t="shared" si="49"/>
        <v>66.66666667</v>
      </c>
      <c r="AL28" s="319">
        <f t="shared" si="49"/>
        <v>50</v>
      </c>
      <c r="AM28" s="319">
        <f t="shared" si="49"/>
        <v>83.33333333</v>
      </c>
      <c r="AN28" s="319">
        <f t="shared" si="49"/>
        <v>66.66666667</v>
      </c>
      <c r="AO28" s="319">
        <f t="shared" si="49"/>
        <v>33.33333333</v>
      </c>
      <c r="AP28" s="319">
        <f t="shared" si="49"/>
        <v>55.55555556</v>
      </c>
      <c r="AQ28" s="296" t="str">
        <f t="shared" si="37"/>
        <v>No</v>
      </c>
      <c r="AR28" s="296"/>
      <c r="AS28" s="296"/>
      <c r="AT28" s="291">
        <v>30.0</v>
      </c>
      <c r="AU28" s="295">
        <f t="shared" si="11"/>
        <v>2</v>
      </c>
      <c r="AV28" s="296">
        <f t="shared" si="12"/>
        <v>3</v>
      </c>
      <c r="AW28" s="296">
        <f t="shared" si="13"/>
        <v>3</v>
      </c>
      <c r="AX28" s="296">
        <f t="shared" si="14"/>
        <v>4</v>
      </c>
      <c r="AY28" s="296">
        <f t="shared" si="15"/>
        <v>2</v>
      </c>
      <c r="AZ28" s="296">
        <f t="shared" si="16"/>
        <v>3</v>
      </c>
      <c r="BA28" s="296">
        <f t="shared" si="17"/>
        <v>3</v>
      </c>
      <c r="BB28" s="296">
        <f t="shared" si="18"/>
        <v>3</v>
      </c>
      <c r="BC28" s="296">
        <f t="shared" si="19"/>
        <v>2</v>
      </c>
      <c r="BD28" s="296">
        <f t="shared" si="20"/>
        <v>4</v>
      </c>
      <c r="BE28" s="296">
        <f t="shared" si="21"/>
        <v>29</v>
      </c>
      <c r="BF28" s="296">
        <f t="shared" si="22"/>
        <v>72.5</v>
      </c>
      <c r="BG28" s="296">
        <f t="shared" si="23"/>
        <v>3</v>
      </c>
      <c r="BH28" s="296">
        <f t="shared" si="24"/>
        <v>3</v>
      </c>
      <c r="BI28" s="296">
        <f t="shared" si="25"/>
        <v>3</v>
      </c>
      <c r="BJ28" s="296">
        <f t="shared" si="26"/>
        <v>3</v>
      </c>
      <c r="BK28" s="296">
        <f t="shared" si="27"/>
        <v>3</v>
      </c>
      <c r="BL28" s="296">
        <f t="shared" si="28"/>
        <v>3</v>
      </c>
      <c r="BM28" s="296">
        <f t="shared" si="29"/>
        <v>3</v>
      </c>
      <c r="BN28" s="296">
        <f t="shared" si="30"/>
        <v>3</v>
      </c>
      <c r="BO28" s="296">
        <f t="shared" si="31"/>
        <v>2</v>
      </c>
      <c r="BP28" s="296">
        <f t="shared" si="32"/>
        <v>3</v>
      </c>
      <c r="BQ28" s="296">
        <f t="shared" si="33"/>
        <v>29</v>
      </c>
      <c r="BR28" s="296">
        <f t="shared" si="34"/>
        <v>72.5</v>
      </c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</row>
    <row r="29">
      <c r="Z29" s="318">
        <v>31.0</v>
      </c>
      <c r="AB29" s="88">
        <f t="shared" ref="AB29:AH29" si="50">((AB14-1)*100)/(7-1)</f>
        <v>50</v>
      </c>
      <c r="AC29" s="88">
        <f t="shared" si="50"/>
        <v>16.66666667</v>
      </c>
      <c r="AD29" s="88">
        <f t="shared" si="50"/>
        <v>50</v>
      </c>
      <c r="AE29" s="88">
        <f t="shared" si="50"/>
        <v>83.33333333</v>
      </c>
      <c r="AF29" s="88">
        <f t="shared" si="50"/>
        <v>16.66666667</v>
      </c>
      <c r="AG29" s="88">
        <f t="shared" si="50"/>
        <v>16.66666667</v>
      </c>
      <c r="AH29" s="88">
        <f t="shared" si="50"/>
        <v>38.88888889</v>
      </c>
      <c r="AI29" s="88" t="str">
        <f t="shared" si="9"/>
        <v>No</v>
      </c>
      <c r="AJ29" s="88">
        <f t="shared" ref="AJ29:AP29" si="51">((AJ14-1)*100)/(7-1)</f>
        <v>66.66666667</v>
      </c>
      <c r="AK29" s="88">
        <f t="shared" si="51"/>
        <v>0</v>
      </c>
      <c r="AL29" s="88">
        <f t="shared" si="51"/>
        <v>33.33333333</v>
      </c>
      <c r="AM29" s="88">
        <f t="shared" si="51"/>
        <v>33.33333333</v>
      </c>
      <c r="AN29" s="88">
        <f t="shared" si="51"/>
        <v>50</v>
      </c>
      <c r="AO29" s="88">
        <f t="shared" si="51"/>
        <v>66.66666667</v>
      </c>
      <c r="AP29" s="88">
        <f t="shared" si="51"/>
        <v>41.66666667</v>
      </c>
      <c r="AQ29" s="68" t="str">
        <f t="shared" si="37"/>
        <v>No</v>
      </c>
      <c r="AT29" s="318">
        <v>31.0</v>
      </c>
      <c r="AU29" s="36">
        <f t="shared" si="11"/>
        <v>3</v>
      </c>
      <c r="AV29" s="68">
        <f t="shared" si="12"/>
        <v>3</v>
      </c>
      <c r="AW29" s="68">
        <f t="shared" si="13"/>
        <v>3</v>
      </c>
      <c r="AX29" s="68">
        <f t="shared" si="14"/>
        <v>4</v>
      </c>
      <c r="AY29" s="68">
        <f t="shared" si="15"/>
        <v>2</v>
      </c>
      <c r="AZ29" s="68">
        <f t="shared" si="16"/>
        <v>4</v>
      </c>
      <c r="BA29" s="68">
        <f t="shared" si="17"/>
        <v>4</v>
      </c>
      <c r="BB29" s="68">
        <f t="shared" si="18"/>
        <v>4</v>
      </c>
      <c r="BC29" s="68">
        <f t="shared" si="19"/>
        <v>3</v>
      </c>
      <c r="BD29" s="68">
        <f t="shared" si="20"/>
        <v>4</v>
      </c>
      <c r="BE29" s="68">
        <f t="shared" si="21"/>
        <v>34</v>
      </c>
      <c r="BF29" s="195">
        <f t="shared" si="22"/>
        <v>85</v>
      </c>
      <c r="BG29" s="68">
        <f t="shared" si="23"/>
        <v>1</v>
      </c>
      <c r="BH29" s="68">
        <f t="shared" si="24"/>
        <v>2</v>
      </c>
      <c r="BI29" s="68">
        <f t="shared" si="25"/>
        <v>1</v>
      </c>
      <c r="BJ29" s="68">
        <f t="shared" si="26"/>
        <v>4</v>
      </c>
      <c r="BK29" s="68">
        <f t="shared" si="27"/>
        <v>1</v>
      </c>
      <c r="BL29" s="68">
        <f t="shared" si="28"/>
        <v>1</v>
      </c>
      <c r="BM29" s="68">
        <f t="shared" si="29"/>
        <v>1</v>
      </c>
      <c r="BN29" s="68">
        <f t="shared" si="30"/>
        <v>1</v>
      </c>
      <c r="BO29" s="68">
        <f t="shared" si="31"/>
        <v>0</v>
      </c>
      <c r="BP29" s="68">
        <f t="shared" si="32"/>
        <v>4</v>
      </c>
      <c r="BQ29" s="68">
        <f t="shared" si="33"/>
        <v>16</v>
      </c>
      <c r="BR29" s="195">
        <f t="shared" si="34"/>
        <v>40</v>
      </c>
    </row>
    <row r="30">
      <c r="Z30" s="318">
        <v>32.0</v>
      </c>
      <c r="AB30" s="88">
        <f t="shared" ref="AB30:AH30" si="52">((AB15-1)*100)/(7-1)</f>
        <v>33.33333333</v>
      </c>
      <c r="AC30" s="88">
        <f t="shared" si="52"/>
        <v>0</v>
      </c>
      <c r="AD30" s="88">
        <f t="shared" si="52"/>
        <v>0</v>
      </c>
      <c r="AE30" s="88">
        <f t="shared" si="52"/>
        <v>83.33333333</v>
      </c>
      <c r="AF30" s="88">
        <f t="shared" si="52"/>
        <v>16.66666667</v>
      </c>
      <c r="AG30" s="88">
        <f t="shared" si="52"/>
        <v>50</v>
      </c>
      <c r="AH30" s="88">
        <f t="shared" si="52"/>
        <v>30.55555556</v>
      </c>
      <c r="AI30" s="88" t="str">
        <f t="shared" si="9"/>
        <v>No</v>
      </c>
      <c r="AJ30" s="88">
        <f t="shared" ref="AJ30:AP30" si="53">((AJ15-1)*100)/(7-1)</f>
        <v>0</v>
      </c>
      <c r="AK30" s="88">
        <f t="shared" si="53"/>
        <v>0</v>
      </c>
      <c r="AL30" s="88">
        <f t="shared" si="53"/>
        <v>0</v>
      </c>
      <c r="AM30" s="88">
        <f t="shared" si="53"/>
        <v>83.33333333</v>
      </c>
      <c r="AN30" s="88">
        <f t="shared" si="53"/>
        <v>33.33333333</v>
      </c>
      <c r="AO30" s="88">
        <f t="shared" si="53"/>
        <v>33.33333333</v>
      </c>
      <c r="AP30" s="88">
        <f t="shared" si="53"/>
        <v>25</v>
      </c>
      <c r="AQ30" s="68" t="str">
        <f t="shared" si="37"/>
        <v>No</v>
      </c>
      <c r="AT30" s="318">
        <v>32.0</v>
      </c>
      <c r="AU30" s="36">
        <f t="shared" si="11"/>
        <v>2</v>
      </c>
      <c r="AV30" s="68">
        <f t="shared" si="12"/>
        <v>4</v>
      </c>
      <c r="AW30" s="68">
        <f t="shared" si="13"/>
        <v>3</v>
      </c>
      <c r="AX30" s="68">
        <f t="shared" si="14"/>
        <v>4</v>
      </c>
      <c r="AY30" s="68">
        <f t="shared" si="15"/>
        <v>3</v>
      </c>
      <c r="AZ30" s="68">
        <f t="shared" si="16"/>
        <v>3</v>
      </c>
      <c r="BA30" s="68">
        <f t="shared" si="17"/>
        <v>3</v>
      </c>
      <c r="BB30" s="68">
        <f t="shared" si="18"/>
        <v>3</v>
      </c>
      <c r="BC30" s="68">
        <f t="shared" si="19"/>
        <v>4</v>
      </c>
      <c r="BD30" s="68">
        <f t="shared" si="20"/>
        <v>4</v>
      </c>
      <c r="BE30" s="68">
        <f t="shared" si="21"/>
        <v>33</v>
      </c>
      <c r="BF30" s="195">
        <f t="shared" si="22"/>
        <v>82.5</v>
      </c>
      <c r="BG30" s="68">
        <f t="shared" si="23"/>
        <v>3</v>
      </c>
      <c r="BH30" s="68">
        <f t="shared" si="24"/>
        <v>4</v>
      </c>
      <c r="BI30" s="68">
        <f t="shared" si="25"/>
        <v>3</v>
      </c>
      <c r="BJ30" s="68">
        <f t="shared" si="26"/>
        <v>3</v>
      </c>
      <c r="BK30" s="68">
        <f t="shared" si="27"/>
        <v>3</v>
      </c>
      <c r="BL30" s="68">
        <f t="shared" si="28"/>
        <v>3</v>
      </c>
      <c r="BM30" s="68">
        <f t="shared" si="29"/>
        <v>4</v>
      </c>
      <c r="BN30" s="68">
        <f t="shared" si="30"/>
        <v>4</v>
      </c>
      <c r="BO30" s="68">
        <f t="shared" si="31"/>
        <v>3</v>
      </c>
      <c r="BP30" s="68">
        <f t="shared" si="32"/>
        <v>4</v>
      </c>
      <c r="BQ30" s="68">
        <f t="shared" si="33"/>
        <v>34</v>
      </c>
      <c r="BR30" s="195">
        <f t="shared" si="34"/>
        <v>85</v>
      </c>
    </row>
    <row r="31">
      <c r="AG31" s="36" t="s">
        <v>183</v>
      </c>
      <c r="AH31" s="320">
        <f>AVERAGE(AH21:AH30)</f>
        <v>39.44444444</v>
      </c>
      <c r="AI31" s="88"/>
      <c r="AO31" s="22" t="s">
        <v>197</v>
      </c>
      <c r="AP31" s="320">
        <f>AVERAGE(AP21:AP30)</f>
        <v>45</v>
      </c>
    </row>
    <row r="32">
      <c r="AG32" s="36" t="s">
        <v>141</v>
      </c>
      <c r="AH32" s="320">
        <f>STDEV(AH21:AH30)</f>
        <v>10.70235798</v>
      </c>
      <c r="AI32" s="88"/>
      <c r="AO32" s="22" t="s">
        <v>198</v>
      </c>
      <c r="AP32" s="321">
        <f>STDEV(AP21:AP30)</f>
        <v>14.03014587</v>
      </c>
    </row>
  </sheetData>
  <mergeCells count="17">
    <mergeCell ref="AJ2:AP2"/>
    <mergeCell ref="AU2:BD2"/>
    <mergeCell ref="AB17:AS17"/>
    <mergeCell ref="AB18:AH18"/>
    <mergeCell ref="AJ18:AP18"/>
    <mergeCell ref="AU18:BF18"/>
    <mergeCell ref="BG18:BR18"/>
    <mergeCell ref="BG2:BP2"/>
    <mergeCell ref="BR2:BY2"/>
    <mergeCell ref="X1:AA1"/>
    <mergeCell ref="AB1:AP1"/>
    <mergeCell ref="AU1:BP1"/>
    <mergeCell ref="BR1:CH1"/>
    <mergeCell ref="O2:S2"/>
    <mergeCell ref="U2:V2"/>
    <mergeCell ref="AB2:AH2"/>
    <mergeCell ref="CA2:C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38"/>
    <col customWidth="1" min="3" max="3" width="16.13"/>
    <col customWidth="1" min="4" max="4" width="17.38"/>
    <col customWidth="1" min="5" max="6" width="16.13"/>
    <col customWidth="1" min="16" max="16" width="14.75"/>
  </cols>
  <sheetData>
    <row r="1">
      <c r="A1" s="26"/>
      <c r="B1" s="26" t="s">
        <v>199</v>
      </c>
      <c r="D1" s="26"/>
      <c r="E1" s="26" t="s">
        <v>200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</row>
    <row r="2">
      <c r="A2" s="38" t="s">
        <v>2</v>
      </c>
      <c r="B2" s="43" t="s">
        <v>201</v>
      </c>
      <c r="D2" s="252" t="s">
        <v>2</v>
      </c>
      <c r="E2" s="253" t="s">
        <v>202</v>
      </c>
      <c r="G2" s="43" t="s">
        <v>86</v>
      </c>
      <c r="H2" s="43" t="s">
        <v>203</v>
      </c>
      <c r="I2" s="43" t="s">
        <v>204</v>
      </c>
      <c r="J2" s="43" t="s">
        <v>205</v>
      </c>
      <c r="K2" s="43" t="s">
        <v>149</v>
      </c>
      <c r="L2" s="43" t="s">
        <v>206</v>
      </c>
      <c r="M2" s="43" t="s">
        <v>207</v>
      </c>
      <c r="N2" s="43" t="s">
        <v>208</v>
      </c>
      <c r="O2" s="43" t="s">
        <v>209</v>
      </c>
      <c r="P2" s="43" t="s">
        <v>210</v>
      </c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</row>
    <row r="3">
      <c r="A3" s="71" t="s">
        <v>138</v>
      </c>
      <c r="B3" s="59" t="s">
        <v>40</v>
      </c>
      <c r="D3" s="323">
        <v>22.0</v>
      </c>
      <c r="E3" s="277" t="s">
        <v>40</v>
      </c>
      <c r="G3" s="315">
        <v>6.0</v>
      </c>
      <c r="H3" s="68" t="str">
        <f t="shared" ref="H3:H22" si="1">IF(OR(G3&gt;$G$25+2*$G$26, G3&lt;$G$25-2*$G$26), "Outlier", "No")</f>
        <v>No</v>
      </c>
      <c r="I3" s="88">
        <v>36.11111111111111</v>
      </c>
      <c r="J3" s="68" t="str">
        <f t="shared" ref="J3:J22" si="2">IF(OR(I3&gt;$I$25+2*$I$26, I3&lt;$I$25-2*$I$26), "Outlier", "No")</f>
        <v>No</v>
      </c>
      <c r="K3" s="68">
        <v>75.0</v>
      </c>
      <c r="L3" s="68" t="str">
        <f t="shared" ref="L3:L22" si="3">IF(OR(K3&gt;$K$25+2*$K$26, K3&lt;$K$25-2*$K$26), "Outlier", "No")</f>
        <v>No</v>
      </c>
      <c r="M3" s="36">
        <v>1.0</v>
      </c>
      <c r="N3" s="68" t="str">
        <f t="shared" ref="N3:N22" si="4">IF(OR(M3&gt;$M$25+2*$M$26, M3&lt;$M$25-2*$M$26), "Outlier", "No")</f>
        <v>No</v>
      </c>
      <c r="O3" s="88">
        <v>50.0</v>
      </c>
      <c r="P3" s="68" t="str">
        <f t="shared" ref="P3:P22" si="5">IF(OR(O3&gt;$O$25+2*$O$26, O3&lt;$O$25-2*$O$26), "Outlier", "No")</f>
        <v>No</v>
      </c>
    </row>
    <row r="4">
      <c r="A4" s="71" t="s">
        <v>121</v>
      </c>
      <c r="B4" s="59" t="s">
        <v>36</v>
      </c>
      <c r="D4" s="323">
        <v>23.0</v>
      </c>
      <c r="E4" s="277" t="s">
        <v>36</v>
      </c>
      <c r="G4" s="315">
        <v>5.0</v>
      </c>
      <c r="H4" s="68" t="str">
        <f t="shared" si="1"/>
        <v>No</v>
      </c>
      <c r="I4" s="88">
        <v>50.0</v>
      </c>
      <c r="J4" s="68" t="str">
        <f t="shared" si="2"/>
        <v>No</v>
      </c>
      <c r="K4" s="68">
        <v>77.5</v>
      </c>
      <c r="L4" s="68" t="str">
        <f t="shared" si="3"/>
        <v>No</v>
      </c>
      <c r="M4" s="36">
        <v>1.25</v>
      </c>
      <c r="N4" s="68" t="str">
        <f t="shared" si="4"/>
        <v>No</v>
      </c>
      <c r="O4" s="88">
        <v>83.33333333333333</v>
      </c>
      <c r="P4" s="324" t="str">
        <f t="shared" si="5"/>
        <v>Outlier</v>
      </c>
    </row>
    <row r="5">
      <c r="A5" s="71" t="s">
        <v>122</v>
      </c>
      <c r="B5" s="59" t="s">
        <v>40</v>
      </c>
      <c r="D5" s="323">
        <v>24.0</v>
      </c>
      <c r="E5" s="277" t="s">
        <v>40</v>
      </c>
      <c r="G5" s="315">
        <v>5.0</v>
      </c>
      <c r="H5" s="68" t="str">
        <f t="shared" si="1"/>
        <v>No</v>
      </c>
      <c r="I5" s="88">
        <v>41.666666666666664</v>
      </c>
      <c r="J5" s="68" t="str">
        <f t="shared" si="2"/>
        <v>No</v>
      </c>
      <c r="K5" s="68">
        <v>75.0</v>
      </c>
      <c r="L5" s="68" t="str">
        <f t="shared" si="3"/>
        <v>No</v>
      </c>
      <c r="M5" s="36">
        <v>1.88</v>
      </c>
      <c r="N5" s="68" t="str">
        <f t="shared" si="4"/>
        <v>No</v>
      </c>
      <c r="O5" s="88">
        <v>33.333333333333336</v>
      </c>
      <c r="P5" s="68" t="str">
        <f t="shared" si="5"/>
        <v>No</v>
      </c>
    </row>
    <row r="6">
      <c r="A6" s="71" t="s">
        <v>123</v>
      </c>
      <c r="B6" s="59" t="s">
        <v>40</v>
      </c>
      <c r="D6" s="323">
        <v>25.0</v>
      </c>
      <c r="E6" s="277" t="s">
        <v>36</v>
      </c>
      <c r="G6" s="315">
        <v>6.0</v>
      </c>
      <c r="H6" s="68" t="str">
        <f t="shared" si="1"/>
        <v>No</v>
      </c>
      <c r="I6" s="88">
        <v>25.0</v>
      </c>
      <c r="J6" s="68" t="str">
        <f t="shared" si="2"/>
        <v>No</v>
      </c>
      <c r="K6" s="68">
        <v>92.5</v>
      </c>
      <c r="L6" s="68" t="str">
        <f t="shared" si="3"/>
        <v>No</v>
      </c>
      <c r="M6" s="36">
        <v>0.88</v>
      </c>
      <c r="N6" s="68" t="str">
        <f t="shared" si="4"/>
        <v>No</v>
      </c>
      <c r="O6" s="88">
        <v>16.666666666666668</v>
      </c>
      <c r="P6" s="68" t="str">
        <f t="shared" si="5"/>
        <v>No</v>
      </c>
    </row>
    <row r="7">
      <c r="A7" s="71" t="s">
        <v>124</v>
      </c>
      <c r="B7" s="59" t="s">
        <v>36</v>
      </c>
      <c r="D7" s="323">
        <v>26.0</v>
      </c>
      <c r="E7" s="277" t="s">
        <v>40</v>
      </c>
      <c r="G7" s="315">
        <v>5.0</v>
      </c>
      <c r="H7" s="68" t="str">
        <f t="shared" si="1"/>
        <v>No</v>
      </c>
      <c r="I7" s="88">
        <v>58.333333333333336</v>
      </c>
      <c r="J7" s="68" t="str">
        <f t="shared" si="2"/>
        <v>No</v>
      </c>
      <c r="K7" s="68">
        <v>67.5</v>
      </c>
      <c r="L7" s="68" t="str">
        <f t="shared" si="3"/>
        <v>No</v>
      </c>
      <c r="M7" s="36">
        <v>1.5</v>
      </c>
      <c r="N7" s="68" t="str">
        <f t="shared" si="4"/>
        <v>No</v>
      </c>
      <c r="O7" s="88">
        <v>16.666666666666668</v>
      </c>
      <c r="P7" s="68" t="str">
        <f t="shared" si="5"/>
        <v>No</v>
      </c>
    </row>
    <row r="8">
      <c r="A8" s="71" t="s">
        <v>125</v>
      </c>
      <c r="B8" s="59" t="s">
        <v>36</v>
      </c>
      <c r="D8" s="323">
        <v>27.0</v>
      </c>
      <c r="E8" s="277" t="s">
        <v>36</v>
      </c>
      <c r="G8" s="315">
        <v>5.0</v>
      </c>
      <c r="H8" s="68" t="str">
        <f t="shared" si="1"/>
        <v>No</v>
      </c>
      <c r="I8" s="88">
        <v>36.11111111111111</v>
      </c>
      <c r="J8" s="68" t="str">
        <f t="shared" si="2"/>
        <v>No</v>
      </c>
      <c r="K8" s="68">
        <v>80.0</v>
      </c>
      <c r="L8" s="68" t="str">
        <f t="shared" si="3"/>
        <v>No</v>
      </c>
      <c r="M8" s="36">
        <v>2.88</v>
      </c>
      <c r="N8" s="68" t="str">
        <f t="shared" si="4"/>
        <v>No</v>
      </c>
      <c r="O8" s="88">
        <v>16.666666666666668</v>
      </c>
      <c r="P8" s="68" t="str">
        <f t="shared" si="5"/>
        <v>No</v>
      </c>
    </row>
    <row r="9">
      <c r="A9" s="71" t="s">
        <v>126</v>
      </c>
      <c r="B9" s="59" t="s">
        <v>40</v>
      </c>
      <c r="D9" s="323">
        <v>28.0</v>
      </c>
      <c r="E9" s="277" t="s">
        <v>40</v>
      </c>
      <c r="G9" s="315">
        <v>6.0</v>
      </c>
      <c r="H9" s="68" t="str">
        <f t="shared" si="1"/>
        <v>No</v>
      </c>
      <c r="I9" s="88">
        <v>27.777777777777775</v>
      </c>
      <c r="J9" s="68" t="str">
        <f t="shared" si="2"/>
        <v>No</v>
      </c>
      <c r="K9" s="68">
        <v>85.0</v>
      </c>
      <c r="L9" s="68" t="str">
        <f t="shared" si="3"/>
        <v>No</v>
      </c>
      <c r="M9" s="36">
        <v>1.75</v>
      </c>
      <c r="N9" s="68" t="str">
        <f t="shared" si="4"/>
        <v>No</v>
      </c>
      <c r="O9" s="88">
        <v>16.666666666666668</v>
      </c>
      <c r="P9" s="68" t="str">
        <f t="shared" si="5"/>
        <v>No</v>
      </c>
    </row>
    <row r="10">
      <c r="A10" s="71" t="s">
        <v>127</v>
      </c>
      <c r="B10" s="59" t="s">
        <v>40</v>
      </c>
      <c r="D10" s="323">
        <v>29.0</v>
      </c>
      <c r="E10" s="277" t="s">
        <v>36</v>
      </c>
      <c r="G10" s="315">
        <v>5.0</v>
      </c>
      <c r="H10" s="68" t="str">
        <f t="shared" si="1"/>
        <v>No</v>
      </c>
      <c r="I10" s="88">
        <v>36.11111111111111</v>
      </c>
      <c r="J10" s="68" t="str">
        <f t="shared" si="2"/>
        <v>No</v>
      </c>
      <c r="K10" s="68">
        <v>85.0</v>
      </c>
      <c r="L10" s="68" t="str">
        <f t="shared" si="3"/>
        <v>No</v>
      </c>
      <c r="M10" s="36">
        <v>0.75</v>
      </c>
      <c r="N10" s="68" t="str">
        <f t="shared" si="4"/>
        <v>No</v>
      </c>
      <c r="O10" s="88">
        <v>16.666666666666668</v>
      </c>
      <c r="P10" s="68" t="str">
        <f t="shared" si="5"/>
        <v>No</v>
      </c>
    </row>
    <row r="11">
      <c r="A11" s="51">
        <v>10.0</v>
      </c>
      <c r="B11" s="59" t="s">
        <v>36</v>
      </c>
      <c r="D11" s="323">
        <v>31.0</v>
      </c>
      <c r="E11" s="277" t="s">
        <v>36</v>
      </c>
      <c r="G11" s="315">
        <v>6.0</v>
      </c>
      <c r="H11" s="68" t="str">
        <f t="shared" si="1"/>
        <v>No</v>
      </c>
      <c r="I11" s="88">
        <v>38.88888888888889</v>
      </c>
      <c r="J11" s="68" t="str">
        <f t="shared" si="2"/>
        <v>No</v>
      </c>
      <c r="K11" s="68">
        <v>85.0</v>
      </c>
      <c r="L11" s="68" t="str">
        <f t="shared" si="3"/>
        <v>No</v>
      </c>
      <c r="M11" s="36">
        <v>0.63</v>
      </c>
      <c r="N11" s="68" t="str">
        <f t="shared" si="4"/>
        <v>No</v>
      </c>
      <c r="O11" s="88">
        <v>16.666666666666668</v>
      </c>
      <c r="P11" s="68" t="str">
        <f t="shared" si="5"/>
        <v>No</v>
      </c>
    </row>
    <row r="12">
      <c r="A12" s="51">
        <v>11.0</v>
      </c>
      <c r="B12" s="59" t="s">
        <v>36</v>
      </c>
      <c r="D12" s="323">
        <v>32.0</v>
      </c>
      <c r="E12" s="277" t="s">
        <v>40</v>
      </c>
      <c r="G12" s="315">
        <v>5.0</v>
      </c>
      <c r="H12" s="68" t="str">
        <f t="shared" si="1"/>
        <v>No</v>
      </c>
      <c r="I12" s="88">
        <v>30.555555555555557</v>
      </c>
      <c r="J12" s="68" t="str">
        <f t="shared" si="2"/>
        <v>No</v>
      </c>
      <c r="K12" s="68">
        <v>82.5</v>
      </c>
      <c r="L12" s="68" t="str">
        <f t="shared" si="3"/>
        <v>No</v>
      </c>
      <c r="M12" s="36">
        <v>0.63</v>
      </c>
      <c r="N12" s="68" t="str">
        <f t="shared" si="4"/>
        <v>No</v>
      </c>
      <c r="O12" s="88">
        <v>0.0</v>
      </c>
      <c r="P12" s="68" t="str">
        <f t="shared" si="5"/>
        <v>No</v>
      </c>
    </row>
    <row r="13">
      <c r="A13" s="51">
        <v>12.0</v>
      </c>
      <c r="B13" s="59" t="s">
        <v>40</v>
      </c>
      <c r="D13" s="323">
        <v>22.0</v>
      </c>
      <c r="E13" s="277" t="s">
        <v>36</v>
      </c>
      <c r="G13" s="315">
        <v>5.0</v>
      </c>
      <c r="H13" s="68" t="str">
        <f t="shared" si="1"/>
        <v>No</v>
      </c>
      <c r="I13" s="88">
        <v>36.11111111111111</v>
      </c>
      <c r="J13" s="68" t="str">
        <f t="shared" si="2"/>
        <v>No</v>
      </c>
      <c r="K13" s="68">
        <v>82.5</v>
      </c>
      <c r="L13" s="68" t="str">
        <f t="shared" si="3"/>
        <v>No</v>
      </c>
      <c r="M13" s="36">
        <v>1.38</v>
      </c>
      <c r="N13" s="68" t="str">
        <f t="shared" si="4"/>
        <v>No</v>
      </c>
      <c r="O13" s="88">
        <v>66.66666666666667</v>
      </c>
      <c r="P13" s="68" t="str">
        <f t="shared" si="5"/>
        <v>No</v>
      </c>
    </row>
    <row r="14">
      <c r="A14" s="51">
        <v>13.0</v>
      </c>
      <c r="B14" s="59" t="s">
        <v>40</v>
      </c>
      <c r="D14" s="323">
        <v>23.0</v>
      </c>
      <c r="E14" s="277" t="s">
        <v>40</v>
      </c>
      <c r="G14" s="315">
        <v>6.0</v>
      </c>
      <c r="H14" s="68" t="str">
        <f t="shared" si="1"/>
        <v>No</v>
      </c>
      <c r="I14" s="88">
        <v>44.444444444444436</v>
      </c>
      <c r="J14" s="68" t="str">
        <f t="shared" si="2"/>
        <v>No</v>
      </c>
      <c r="K14" s="68">
        <v>85.0</v>
      </c>
      <c r="L14" s="68" t="str">
        <f t="shared" si="3"/>
        <v>No</v>
      </c>
      <c r="M14" s="36">
        <v>1.13</v>
      </c>
      <c r="N14" s="68" t="str">
        <f t="shared" si="4"/>
        <v>No</v>
      </c>
      <c r="O14" s="88">
        <v>33.333333333333336</v>
      </c>
      <c r="P14" s="68" t="str">
        <f t="shared" si="5"/>
        <v>No</v>
      </c>
    </row>
    <row r="15">
      <c r="A15" s="51">
        <v>14.0</v>
      </c>
      <c r="B15" s="59" t="s">
        <v>36</v>
      </c>
      <c r="D15" s="323">
        <v>24.0</v>
      </c>
      <c r="E15" s="277" t="s">
        <v>36</v>
      </c>
      <c r="G15" s="315">
        <v>5.0</v>
      </c>
      <c r="H15" s="68" t="str">
        <f t="shared" si="1"/>
        <v>No</v>
      </c>
      <c r="I15" s="88">
        <v>58.333333333333336</v>
      </c>
      <c r="J15" s="68" t="str">
        <f t="shared" si="2"/>
        <v>No</v>
      </c>
      <c r="K15" s="68">
        <v>62.5</v>
      </c>
      <c r="L15" s="68" t="str">
        <f t="shared" si="3"/>
        <v>No</v>
      </c>
      <c r="M15" s="36">
        <v>1.63</v>
      </c>
      <c r="N15" s="68" t="str">
        <f t="shared" si="4"/>
        <v>No</v>
      </c>
      <c r="O15" s="88">
        <v>50.0</v>
      </c>
      <c r="P15" s="68" t="str">
        <f t="shared" si="5"/>
        <v>No</v>
      </c>
    </row>
    <row r="16">
      <c r="A16" s="51">
        <v>15.0</v>
      </c>
      <c r="B16" s="59" t="s">
        <v>36</v>
      </c>
      <c r="D16" s="323">
        <v>25.0</v>
      </c>
      <c r="E16" s="277" t="s">
        <v>40</v>
      </c>
      <c r="G16" s="315">
        <v>7.0</v>
      </c>
      <c r="H16" s="68" t="str">
        <f t="shared" si="1"/>
        <v>No</v>
      </c>
      <c r="I16" s="88">
        <v>22.222222222222225</v>
      </c>
      <c r="J16" s="68" t="str">
        <f t="shared" si="2"/>
        <v>No</v>
      </c>
      <c r="K16" s="68">
        <v>85.0</v>
      </c>
      <c r="L16" s="68" t="str">
        <f t="shared" si="3"/>
        <v>No</v>
      </c>
      <c r="M16" s="36">
        <v>0.88</v>
      </c>
      <c r="N16" s="68" t="str">
        <f t="shared" si="4"/>
        <v>No</v>
      </c>
      <c r="O16" s="88">
        <v>0.0</v>
      </c>
      <c r="P16" s="68" t="str">
        <f t="shared" si="5"/>
        <v>No</v>
      </c>
    </row>
    <row r="17">
      <c r="A17" s="51">
        <v>16.0</v>
      </c>
      <c r="B17" s="59" t="s">
        <v>40</v>
      </c>
      <c r="D17" s="323">
        <v>26.0</v>
      </c>
      <c r="E17" s="277" t="s">
        <v>36</v>
      </c>
      <c r="G17" s="315">
        <v>5.0</v>
      </c>
      <c r="H17" s="68" t="str">
        <f t="shared" si="1"/>
        <v>No</v>
      </c>
      <c r="I17" s="88">
        <v>41.666666666666664</v>
      </c>
      <c r="J17" s="68" t="str">
        <f t="shared" si="2"/>
        <v>No</v>
      </c>
      <c r="K17" s="68">
        <v>80.0</v>
      </c>
      <c r="L17" s="68" t="str">
        <f t="shared" si="3"/>
        <v>No</v>
      </c>
      <c r="M17" s="36">
        <v>1.13</v>
      </c>
      <c r="N17" s="68" t="str">
        <f t="shared" si="4"/>
        <v>No</v>
      </c>
      <c r="O17" s="88">
        <v>33.333333333333336</v>
      </c>
      <c r="P17" s="68" t="str">
        <f t="shared" si="5"/>
        <v>No</v>
      </c>
    </row>
    <row r="18">
      <c r="A18" s="51">
        <v>17.0</v>
      </c>
      <c r="B18" s="59" t="s">
        <v>40</v>
      </c>
      <c r="D18" s="323">
        <v>27.0</v>
      </c>
      <c r="E18" s="277" t="s">
        <v>40</v>
      </c>
      <c r="G18" s="315">
        <v>4.0</v>
      </c>
      <c r="H18" s="68" t="str">
        <f t="shared" si="1"/>
        <v>No</v>
      </c>
      <c r="I18" s="88">
        <v>52.77777777777778</v>
      </c>
      <c r="J18" s="68" t="str">
        <f t="shared" si="2"/>
        <v>No</v>
      </c>
      <c r="K18" s="68">
        <v>67.5</v>
      </c>
      <c r="L18" s="68" t="str">
        <f t="shared" si="3"/>
        <v>No</v>
      </c>
      <c r="M18" s="36">
        <v>2.63</v>
      </c>
      <c r="N18" s="68" t="str">
        <f t="shared" si="4"/>
        <v>No</v>
      </c>
      <c r="O18" s="88">
        <v>50.0</v>
      </c>
      <c r="P18" s="68" t="str">
        <f t="shared" si="5"/>
        <v>No</v>
      </c>
    </row>
    <row r="19">
      <c r="A19" s="51">
        <v>18.0</v>
      </c>
      <c r="B19" s="59" t="s">
        <v>36</v>
      </c>
      <c r="D19" s="323">
        <v>28.0</v>
      </c>
      <c r="E19" s="277" t="s">
        <v>36</v>
      </c>
      <c r="G19" s="315">
        <v>3.0</v>
      </c>
      <c r="H19" s="68" t="str">
        <f t="shared" si="1"/>
        <v>No</v>
      </c>
      <c r="I19" s="88">
        <v>66.66666666666667</v>
      </c>
      <c r="J19" s="325" t="str">
        <f t="shared" si="2"/>
        <v>Outlier</v>
      </c>
      <c r="K19" s="68">
        <v>77.5</v>
      </c>
      <c r="L19" s="68" t="str">
        <f t="shared" si="3"/>
        <v>No</v>
      </c>
      <c r="M19" s="36">
        <v>1.13</v>
      </c>
      <c r="N19" s="68" t="str">
        <f t="shared" si="4"/>
        <v>No</v>
      </c>
      <c r="O19" s="88">
        <v>66.66666666666667</v>
      </c>
      <c r="P19" s="68" t="str">
        <f t="shared" si="5"/>
        <v>No</v>
      </c>
    </row>
    <row r="20">
      <c r="A20" s="51">
        <v>19.0</v>
      </c>
      <c r="B20" s="59" t="s">
        <v>36</v>
      </c>
      <c r="D20" s="323">
        <v>29.0</v>
      </c>
      <c r="E20" s="277" t="s">
        <v>40</v>
      </c>
      <c r="G20" s="315">
        <v>3.0</v>
      </c>
      <c r="H20" s="68" t="str">
        <f t="shared" si="1"/>
        <v>No</v>
      </c>
      <c r="I20" s="88">
        <v>41.666666666666664</v>
      </c>
      <c r="J20" s="68" t="str">
        <f t="shared" si="2"/>
        <v>No</v>
      </c>
      <c r="K20" s="68">
        <v>77.5</v>
      </c>
      <c r="L20" s="68" t="str">
        <f t="shared" si="3"/>
        <v>No</v>
      </c>
      <c r="M20" s="36">
        <v>0.13</v>
      </c>
      <c r="N20" s="68" t="str">
        <f t="shared" si="4"/>
        <v>No</v>
      </c>
      <c r="O20" s="88">
        <v>16.666666666666668</v>
      </c>
      <c r="P20" s="68" t="str">
        <f t="shared" si="5"/>
        <v>No</v>
      </c>
    </row>
    <row r="21">
      <c r="A21" s="51">
        <v>20.0</v>
      </c>
      <c r="B21" s="59" t="s">
        <v>40</v>
      </c>
      <c r="D21" s="323">
        <v>31.0</v>
      </c>
      <c r="E21" s="277" t="s">
        <v>40</v>
      </c>
      <c r="G21" s="315">
        <v>2.0</v>
      </c>
      <c r="H21" s="325" t="str">
        <f t="shared" si="1"/>
        <v>Outlier</v>
      </c>
      <c r="I21" s="88">
        <v>41.666666666666664</v>
      </c>
      <c r="J21" s="68" t="str">
        <f t="shared" si="2"/>
        <v>No</v>
      </c>
      <c r="K21" s="68">
        <v>40.0</v>
      </c>
      <c r="L21" s="325" t="str">
        <f t="shared" si="3"/>
        <v>Outlier</v>
      </c>
      <c r="M21" s="36">
        <v>-1.25</v>
      </c>
      <c r="N21" s="325" t="str">
        <f t="shared" si="4"/>
        <v>Outlier</v>
      </c>
      <c r="O21" s="88">
        <v>0.0</v>
      </c>
      <c r="P21" s="68" t="str">
        <f t="shared" si="5"/>
        <v>No</v>
      </c>
    </row>
    <row r="22">
      <c r="A22" s="51">
        <v>21.0</v>
      </c>
      <c r="B22" s="59" t="s">
        <v>36</v>
      </c>
      <c r="D22" s="323">
        <v>32.0</v>
      </c>
      <c r="E22" s="277" t="s">
        <v>36</v>
      </c>
      <c r="G22" s="315">
        <v>5.0</v>
      </c>
      <c r="H22" s="68" t="str">
        <f t="shared" si="1"/>
        <v>No</v>
      </c>
      <c r="I22" s="88">
        <v>25.0</v>
      </c>
      <c r="J22" s="68" t="str">
        <f t="shared" si="2"/>
        <v>No</v>
      </c>
      <c r="K22" s="68">
        <v>85.0</v>
      </c>
      <c r="L22" s="68" t="str">
        <f t="shared" si="3"/>
        <v>No</v>
      </c>
      <c r="M22" s="36">
        <v>1.38</v>
      </c>
      <c r="N22" s="68" t="str">
        <f t="shared" si="4"/>
        <v>No</v>
      </c>
      <c r="O22" s="88">
        <v>0.0</v>
      </c>
      <c r="P22" s="68" t="str">
        <f t="shared" si="5"/>
        <v>No</v>
      </c>
    </row>
    <row r="25">
      <c r="F25" s="326" t="s">
        <v>211</v>
      </c>
      <c r="G25" s="24">
        <f>AVERAGE(G3:G22)</f>
        <v>4.95</v>
      </c>
      <c r="I25" s="320">
        <f>AVERAGE(I3:I22)</f>
        <v>40.55555556</v>
      </c>
      <c r="K25" s="320">
        <f>AVERAGE(K3:K22)</f>
        <v>77.375</v>
      </c>
      <c r="M25" s="24">
        <f>AVERAGE(M3:M22)</f>
        <v>1.166</v>
      </c>
      <c r="O25" s="320">
        <f>AVERAGE(O3:O22)</f>
        <v>29.16666667</v>
      </c>
    </row>
    <row r="26">
      <c r="F26" s="326" t="s">
        <v>141</v>
      </c>
      <c r="G26" s="320">
        <f>STDEV(G3:G22)</f>
        <v>1.190974833</v>
      </c>
      <c r="I26" s="320">
        <f>STDEV(I3:I22)</f>
        <v>12.00362735</v>
      </c>
      <c r="K26" s="320">
        <f>STDEV(K3:K22)</f>
        <v>11.39814736</v>
      </c>
      <c r="M26" s="320">
        <f>STDEV(M3:M22)</f>
        <v>0.8648236815</v>
      </c>
      <c r="O26" s="320">
        <f>STDEV(O3:O22)</f>
        <v>24.70587211</v>
      </c>
    </row>
    <row r="28">
      <c r="A28" s="199"/>
      <c r="B28" s="199"/>
      <c r="C28" s="199"/>
      <c r="D28" s="199"/>
      <c r="F28" s="26"/>
    </row>
    <row r="29">
      <c r="A29" s="199"/>
      <c r="B29" s="199"/>
      <c r="C29" s="199"/>
      <c r="D29" s="199"/>
      <c r="F29" s="259"/>
    </row>
    <row r="30">
      <c r="A30" s="199"/>
      <c r="B30" s="199"/>
      <c r="C30" s="199"/>
      <c r="D30" s="199"/>
      <c r="G30" s="315"/>
      <c r="I30" s="88"/>
    </row>
    <row r="31">
      <c r="A31" s="199"/>
      <c r="B31" s="199"/>
      <c r="C31" s="199"/>
      <c r="D31" s="199"/>
      <c r="G31" s="315"/>
      <c r="I31" s="88"/>
    </row>
    <row r="32">
      <c r="A32" s="199"/>
      <c r="B32" s="199"/>
      <c r="C32" s="199"/>
      <c r="D32" s="199"/>
      <c r="G32" s="315"/>
      <c r="I32" s="88"/>
    </row>
    <row r="33">
      <c r="A33" s="199"/>
      <c r="B33" s="199"/>
      <c r="C33" s="199"/>
      <c r="D33" s="199"/>
      <c r="G33" s="315"/>
      <c r="I33" s="88"/>
    </row>
    <row r="34">
      <c r="A34" s="199"/>
      <c r="B34" s="199"/>
      <c r="C34" s="199"/>
      <c r="D34" s="199"/>
      <c r="G34" s="315"/>
      <c r="I34" s="88"/>
    </row>
    <row r="35">
      <c r="A35" s="199"/>
      <c r="B35" s="199"/>
      <c r="C35" s="199"/>
      <c r="D35" s="199"/>
      <c r="G35" s="315"/>
      <c r="I35" s="88"/>
    </row>
    <row r="36">
      <c r="A36" s="199"/>
      <c r="B36" s="199"/>
      <c r="C36" s="199"/>
      <c r="D36" s="199"/>
      <c r="G36" s="315"/>
      <c r="I36" s="88"/>
    </row>
    <row r="37">
      <c r="A37" s="199"/>
      <c r="B37" s="199"/>
      <c r="C37" s="199"/>
      <c r="D37" s="199"/>
      <c r="G37" s="315"/>
      <c r="I37" s="88"/>
    </row>
    <row r="38">
      <c r="A38" s="199"/>
      <c r="B38" s="199"/>
      <c r="C38" s="199"/>
      <c r="D38" s="199"/>
      <c r="G38" s="315"/>
      <c r="I38" s="88"/>
    </row>
    <row r="39">
      <c r="A39" s="199"/>
      <c r="B39" s="199"/>
      <c r="C39" s="199"/>
      <c r="D39" s="199"/>
      <c r="G39" s="315"/>
      <c r="I39" s="88"/>
    </row>
    <row r="40">
      <c r="A40" s="199"/>
      <c r="B40" s="199"/>
      <c r="C40" s="199"/>
      <c r="D40" s="199"/>
      <c r="G40" s="315"/>
      <c r="I40" s="88"/>
    </row>
    <row r="41">
      <c r="A41" s="199"/>
      <c r="B41" s="199"/>
      <c r="C41" s="199"/>
      <c r="D41" s="199"/>
      <c r="G41" s="315"/>
      <c r="I41" s="88"/>
    </row>
    <row r="42">
      <c r="A42" s="199"/>
      <c r="B42" s="199"/>
      <c r="C42" s="199"/>
      <c r="D42" s="199"/>
      <c r="G42" s="315"/>
      <c r="I42" s="88"/>
    </row>
    <row r="43">
      <c r="A43" s="199"/>
      <c r="B43" s="199"/>
      <c r="C43" s="199"/>
      <c r="D43" s="199"/>
      <c r="G43" s="315"/>
      <c r="I43" s="88"/>
    </row>
    <row r="44">
      <c r="A44" s="199"/>
      <c r="B44" s="199"/>
      <c r="C44" s="199"/>
      <c r="D44" s="199"/>
      <c r="G44" s="315"/>
      <c r="I44" s="88"/>
    </row>
    <row r="45">
      <c r="A45" s="199"/>
      <c r="B45" s="199"/>
      <c r="C45" s="199"/>
      <c r="D45" s="199"/>
      <c r="G45" s="315"/>
      <c r="I45" s="88"/>
    </row>
    <row r="46">
      <c r="A46" s="199"/>
      <c r="B46" s="199"/>
      <c r="C46" s="199"/>
      <c r="D46" s="199"/>
      <c r="G46" s="315"/>
      <c r="I46" s="88"/>
    </row>
    <row r="47">
      <c r="A47" s="199"/>
      <c r="B47" s="199"/>
      <c r="C47" s="199"/>
      <c r="D47" s="199"/>
      <c r="G47" s="315"/>
      <c r="I47" s="88"/>
    </row>
    <row r="48">
      <c r="A48" s="199"/>
      <c r="B48" s="199"/>
      <c r="C48" s="199"/>
      <c r="D48" s="199"/>
      <c r="G48" s="315"/>
      <c r="I48" s="88"/>
    </row>
    <row r="49">
      <c r="A49" s="199"/>
      <c r="B49" s="199"/>
      <c r="C49" s="199"/>
      <c r="D49" s="199"/>
      <c r="G49" s="315"/>
      <c r="I49" s="88"/>
    </row>
    <row r="50">
      <c r="D50" s="315"/>
      <c r="E50" s="277"/>
      <c r="G50" s="315"/>
      <c r="I50" s="88"/>
    </row>
    <row r="51">
      <c r="D51" s="315"/>
      <c r="E51" s="277"/>
      <c r="G51" s="315"/>
      <c r="I51" s="88"/>
    </row>
    <row r="52">
      <c r="I52" s="88"/>
      <c r="K52" s="88"/>
    </row>
    <row r="53">
      <c r="G53" s="88"/>
      <c r="I53" s="88"/>
      <c r="K53" s="88"/>
      <c r="M53" s="88"/>
    </row>
  </sheetData>
  <mergeCells count="24">
    <mergeCell ref="B1:C1"/>
    <mergeCell ref="E1:F1"/>
    <mergeCell ref="B2:C2"/>
    <mergeCell ref="E2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20:C20"/>
    <mergeCell ref="B21:C21"/>
    <mergeCell ref="B22:C22"/>
    <mergeCell ref="B13:C13"/>
    <mergeCell ref="B14:C14"/>
    <mergeCell ref="B15:C15"/>
    <mergeCell ref="B16:C16"/>
    <mergeCell ref="B17:C17"/>
    <mergeCell ref="B18:C18"/>
    <mergeCell ref="B19:C19"/>
  </mergeCells>
  <conditionalFormatting sqref="B3:E22 E30:E49">
    <cfRule type="containsText" dxfId="7" priority="1" operator="containsText" text="BionicBack">
      <formula>NOT(ISERROR(SEARCH(("BionicBack"),(B3))))</formula>
    </cfRule>
  </conditionalFormatting>
  <conditionalFormatting sqref="B3:E22 E30:E49">
    <cfRule type="containsText" dxfId="8" priority="2" operator="containsText" text="Apogee">
      <formula>NOT(ISERROR(SEARCH(("Apogee"),(B3))))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38"/>
    <col customWidth="1" min="3" max="6" width="16.13"/>
    <col customWidth="1" min="7" max="7" width="17.38"/>
    <col customWidth="1" min="8" max="9" width="16.13"/>
  </cols>
  <sheetData>
    <row r="1">
      <c r="A1" s="26"/>
      <c r="B1" s="26" t="s">
        <v>199</v>
      </c>
      <c r="F1" s="26"/>
      <c r="G1" s="26" t="s">
        <v>200</v>
      </c>
      <c r="H1" s="26"/>
      <c r="I1" s="26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</row>
    <row r="2">
      <c r="A2" s="38" t="s">
        <v>2</v>
      </c>
      <c r="B2" s="43" t="s">
        <v>201</v>
      </c>
      <c r="C2" s="252"/>
      <c r="D2" s="252"/>
      <c r="E2" s="252"/>
      <c r="F2" s="252" t="s">
        <v>2</v>
      </c>
      <c r="G2" s="253" t="s">
        <v>202</v>
      </c>
      <c r="H2" s="259"/>
      <c r="I2" s="259"/>
      <c r="J2" s="26"/>
      <c r="K2" s="26"/>
      <c r="L2" s="26"/>
      <c r="M2" s="26"/>
      <c r="N2" s="26"/>
      <c r="O2" s="26"/>
      <c r="P2" s="26"/>
      <c r="Q2" s="26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</row>
    <row r="3">
      <c r="A3" s="71" t="s">
        <v>138</v>
      </c>
      <c r="B3" s="59" t="s">
        <v>40</v>
      </c>
      <c r="C3" s="323"/>
      <c r="D3" s="323"/>
      <c r="E3" s="323"/>
      <c r="F3" s="323">
        <v>22.0</v>
      </c>
      <c r="G3" s="277" t="s">
        <v>40</v>
      </c>
      <c r="H3" s="277"/>
      <c r="J3" s="315"/>
      <c r="L3" s="88"/>
    </row>
    <row r="4">
      <c r="A4" s="71" t="s">
        <v>121</v>
      </c>
      <c r="B4" s="59" t="s">
        <v>36</v>
      </c>
      <c r="C4" s="323"/>
      <c r="D4" s="323"/>
      <c r="E4" s="323"/>
      <c r="F4" s="323">
        <v>23.0</v>
      </c>
      <c r="G4" s="277" t="s">
        <v>36</v>
      </c>
      <c r="H4" s="277"/>
      <c r="J4" s="315"/>
      <c r="L4" s="88"/>
    </row>
    <row r="5">
      <c r="A5" s="71" t="s">
        <v>122</v>
      </c>
      <c r="B5" s="59" t="s">
        <v>40</v>
      </c>
      <c r="C5" s="323"/>
      <c r="D5" s="323"/>
      <c r="E5" s="323"/>
      <c r="F5" s="323">
        <v>24.0</v>
      </c>
      <c r="G5" s="277" t="s">
        <v>40</v>
      </c>
      <c r="H5" s="277"/>
      <c r="J5" s="315"/>
      <c r="L5" s="88"/>
    </row>
    <row r="6">
      <c r="A6" s="71" t="s">
        <v>124</v>
      </c>
      <c r="B6" s="59" t="s">
        <v>36</v>
      </c>
      <c r="C6" s="323"/>
      <c r="D6" s="323"/>
      <c r="E6" s="323"/>
      <c r="F6" s="323">
        <v>25.0</v>
      </c>
      <c r="G6" s="277" t="s">
        <v>36</v>
      </c>
      <c r="H6" s="277"/>
      <c r="J6" s="315"/>
      <c r="L6" s="88"/>
    </row>
    <row r="7">
      <c r="A7" s="71" t="s">
        <v>123</v>
      </c>
      <c r="B7" s="59" t="s">
        <v>40</v>
      </c>
      <c r="C7" s="323"/>
      <c r="D7" s="323"/>
      <c r="E7" s="323"/>
      <c r="F7" s="323">
        <v>26.0</v>
      </c>
      <c r="G7" s="277" t="s">
        <v>40</v>
      </c>
      <c r="H7" s="277"/>
      <c r="J7" s="315"/>
      <c r="L7" s="88"/>
    </row>
    <row r="8">
      <c r="A8" s="71" t="s">
        <v>125</v>
      </c>
      <c r="B8" s="59" t="s">
        <v>36</v>
      </c>
      <c r="C8" s="323"/>
      <c r="D8" s="323"/>
      <c r="E8" s="323"/>
      <c r="F8" s="323">
        <v>27.0</v>
      </c>
      <c r="G8" s="277" t="s">
        <v>36</v>
      </c>
      <c r="H8" s="277"/>
      <c r="L8" s="327"/>
    </row>
    <row r="9">
      <c r="A9" s="71" t="s">
        <v>126</v>
      </c>
      <c r="B9" s="59" t="s">
        <v>40</v>
      </c>
      <c r="C9" s="323"/>
      <c r="D9" s="323"/>
      <c r="E9" s="323"/>
      <c r="F9" s="323">
        <v>28.0</v>
      </c>
      <c r="G9" s="277" t="s">
        <v>40</v>
      </c>
      <c r="H9" s="277"/>
      <c r="J9" s="315"/>
      <c r="L9" s="88"/>
    </row>
    <row r="10">
      <c r="A10" s="51">
        <v>10.0</v>
      </c>
      <c r="B10" s="59" t="s">
        <v>36</v>
      </c>
      <c r="C10" s="323"/>
      <c r="D10" s="323"/>
      <c r="E10" s="323"/>
      <c r="F10" s="323">
        <v>29.0</v>
      </c>
      <c r="G10" s="277" t="s">
        <v>36</v>
      </c>
      <c r="H10" s="277"/>
      <c r="J10" s="315"/>
      <c r="L10" s="88"/>
    </row>
    <row r="11">
      <c r="A11" s="71" t="s">
        <v>127</v>
      </c>
      <c r="B11" s="59" t="s">
        <v>40</v>
      </c>
      <c r="C11" s="323"/>
      <c r="D11" s="323"/>
      <c r="E11" s="323"/>
      <c r="F11" s="323">
        <v>32.0</v>
      </c>
      <c r="G11" s="277" t="s">
        <v>40</v>
      </c>
      <c r="H11" s="277"/>
      <c r="J11" s="315"/>
      <c r="L11" s="88"/>
    </row>
    <row r="12">
      <c r="A12" s="51">
        <v>11.0</v>
      </c>
      <c r="B12" s="59" t="s">
        <v>36</v>
      </c>
      <c r="C12" s="323"/>
      <c r="D12" s="323"/>
      <c r="E12" s="323"/>
      <c r="F12" s="323">
        <v>31.0</v>
      </c>
      <c r="G12" s="277" t="s">
        <v>36</v>
      </c>
      <c r="H12" s="277"/>
      <c r="J12" s="315"/>
      <c r="L12" s="88"/>
    </row>
    <row r="13">
      <c r="A13" s="51">
        <v>12.0</v>
      </c>
      <c r="B13" s="59" t="s">
        <v>40</v>
      </c>
      <c r="C13" s="323"/>
      <c r="D13" s="323"/>
      <c r="E13" s="323"/>
      <c r="F13" s="323">
        <v>23.0</v>
      </c>
      <c r="G13" s="277" t="s">
        <v>40</v>
      </c>
      <c r="H13" s="277"/>
      <c r="J13" s="315"/>
      <c r="L13" s="88"/>
    </row>
    <row r="14">
      <c r="A14" s="51">
        <v>14.0</v>
      </c>
      <c r="B14" s="59" t="s">
        <v>36</v>
      </c>
      <c r="C14" s="323"/>
      <c r="D14" s="323"/>
      <c r="E14" s="323"/>
      <c r="F14" s="323">
        <v>22.0</v>
      </c>
      <c r="G14" s="277" t="s">
        <v>36</v>
      </c>
      <c r="H14" s="277"/>
      <c r="J14" s="315"/>
      <c r="L14" s="88"/>
    </row>
    <row r="15">
      <c r="A15" s="51">
        <v>13.0</v>
      </c>
      <c r="B15" s="59" t="s">
        <v>40</v>
      </c>
      <c r="C15" s="323"/>
      <c r="D15" s="323"/>
      <c r="E15" s="323"/>
      <c r="F15" s="323">
        <v>25.0</v>
      </c>
      <c r="G15" s="277" t="s">
        <v>40</v>
      </c>
      <c r="H15" s="277"/>
      <c r="J15" s="315"/>
      <c r="L15" s="88"/>
    </row>
    <row r="16">
      <c r="A16" s="51">
        <v>15.0</v>
      </c>
      <c r="B16" s="59" t="s">
        <v>36</v>
      </c>
      <c r="C16" s="323"/>
      <c r="D16" s="323"/>
      <c r="E16" s="323"/>
      <c r="F16" s="323">
        <v>24.0</v>
      </c>
      <c r="G16" s="277" t="s">
        <v>36</v>
      </c>
      <c r="H16" s="277"/>
      <c r="J16" s="315"/>
      <c r="L16" s="88"/>
    </row>
    <row r="17">
      <c r="A17" s="51">
        <v>16.0</v>
      </c>
      <c r="B17" s="59" t="s">
        <v>40</v>
      </c>
      <c r="C17" s="323"/>
      <c r="D17" s="323"/>
      <c r="E17" s="323"/>
      <c r="F17" s="323">
        <v>27.0</v>
      </c>
      <c r="G17" s="277" t="s">
        <v>40</v>
      </c>
      <c r="H17" s="277"/>
      <c r="J17" s="315"/>
      <c r="L17" s="88"/>
    </row>
    <row r="18">
      <c r="A18" s="51">
        <v>18.0</v>
      </c>
      <c r="B18" s="59" t="s">
        <v>36</v>
      </c>
      <c r="C18" s="323"/>
      <c r="D18" s="323"/>
      <c r="E18" s="323"/>
      <c r="F18" s="323">
        <v>26.0</v>
      </c>
      <c r="G18" s="277" t="s">
        <v>36</v>
      </c>
      <c r="H18" s="277"/>
      <c r="J18" s="315"/>
      <c r="L18" s="88"/>
    </row>
    <row r="19">
      <c r="A19" s="51">
        <v>17.0</v>
      </c>
      <c r="B19" s="59" t="s">
        <v>40</v>
      </c>
      <c r="C19" s="323"/>
      <c r="D19" s="323"/>
      <c r="E19" s="323"/>
      <c r="F19" s="323">
        <v>29.0</v>
      </c>
      <c r="G19" s="277" t="s">
        <v>40</v>
      </c>
      <c r="H19" s="328"/>
      <c r="J19" s="315"/>
      <c r="L19" s="88"/>
    </row>
    <row r="20">
      <c r="A20" s="51">
        <v>19.0</v>
      </c>
      <c r="B20" s="59" t="s">
        <v>36</v>
      </c>
      <c r="C20" s="323"/>
      <c r="D20" s="323"/>
      <c r="E20" s="323"/>
      <c r="F20" s="323">
        <v>28.0</v>
      </c>
      <c r="G20" s="277" t="s">
        <v>36</v>
      </c>
      <c r="H20" s="328"/>
      <c r="J20" s="315"/>
      <c r="L20" s="88"/>
    </row>
    <row r="21">
      <c r="A21" s="51">
        <v>20.0</v>
      </c>
      <c r="B21" s="59" t="s">
        <v>40</v>
      </c>
      <c r="C21" s="323"/>
      <c r="D21" s="323"/>
      <c r="E21" s="323"/>
      <c r="F21" s="323">
        <v>31.0</v>
      </c>
      <c r="G21" s="277" t="s">
        <v>40</v>
      </c>
      <c r="H21" s="277"/>
      <c r="J21" s="315"/>
      <c r="L21" s="88"/>
    </row>
    <row r="22">
      <c r="A22" s="51">
        <v>21.0</v>
      </c>
      <c r="B22" s="59" t="s">
        <v>36</v>
      </c>
      <c r="C22" s="323"/>
      <c r="D22" s="323"/>
      <c r="E22" s="323"/>
      <c r="F22" s="323">
        <v>32.0</v>
      </c>
      <c r="G22" s="277" t="s">
        <v>36</v>
      </c>
      <c r="H22" s="277"/>
      <c r="J22" s="315"/>
      <c r="L22" s="88"/>
    </row>
    <row r="24">
      <c r="A24" s="26" t="s">
        <v>199</v>
      </c>
      <c r="N24" s="26"/>
    </row>
    <row r="25">
      <c r="A25" s="38" t="s">
        <v>2</v>
      </c>
      <c r="B25" s="43" t="s">
        <v>201</v>
      </c>
      <c r="C25" s="43" t="s">
        <v>212</v>
      </c>
      <c r="D25" s="43" t="s">
        <v>213</v>
      </c>
      <c r="E25" s="43" t="s">
        <v>214</v>
      </c>
      <c r="F25" s="329" t="s">
        <v>86</v>
      </c>
      <c r="G25" s="330" t="s">
        <v>215</v>
      </c>
      <c r="H25" s="329" t="s">
        <v>216</v>
      </c>
      <c r="I25" s="330" t="s">
        <v>217</v>
      </c>
      <c r="J25" s="329" t="s">
        <v>149</v>
      </c>
      <c r="K25" s="330" t="s">
        <v>218</v>
      </c>
      <c r="L25" s="329" t="s">
        <v>219</v>
      </c>
      <c r="M25" s="330" t="s">
        <v>220</v>
      </c>
      <c r="O25" s="24"/>
    </row>
    <row r="26">
      <c r="A26" s="71" t="s">
        <v>138</v>
      </c>
      <c r="B26" s="59" t="s">
        <v>40</v>
      </c>
      <c r="C26" s="331">
        <v>1.0</v>
      </c>
      <c r="D26" s="90">
        <v>50.0</v>
      </c>
      <c r="E26" s="332" t="s">
        <v>152</v>
      </c>
      <c r="F26" s="333">
        <v>5.0</v>
      </c>
      <c r="G26" s="67" t="s">
        <v>152</v>
      </c>
      <c r="H26" s="334">
        <v>38.88888888888889</v>
      </c>
      <c r="I26" s="335" t="s">
        <v>152</v>
      </c>
      <c r="J26" s="87">
        <v>72.5</v>
      </c>
      <c r="K26" s="335" t="s">
        <v>152</v>
      </c>
      <c r="L26" s="336">
        <v>-0.38</v>
      </c>
      <c r="M26" s="69" t="s">
        <v>152</v>
      </c>
      <c r="O26" s="320"/>
    </row>
    <row r="27">
      <c r="A27" s="71" t="s">
        <v>121</v>
      </c>
      <c r="B27" s="59" t="s">
        <v>36</v>
      </c>
      <c r="C27" s="331">
        <v>2.0</v>
      </c>
      <c r="D27" s="90">
        <v>83.33333333333333</v>
      </c>
      <c r="E27" s="337" t="s">
        <v>164</v>
      </c>
      <c r="F27" s="333">
        <v>3.0</v>
      </c>
      <c r="G27" s="338" t="s">
        <v>164</v>
      </c>
      <c r="H27" s="334">
        <v>66.66666666666667</v>
      </c>
      <c r="I27" s="339" t="s">
        <v>164</v>
      </c>
      <c r="J27" s="87">
        <v>52.5</v>
      </c>
      <c r="K27" s="339" t="s">
        <v>164</v>
      </c>
      <c r="L27" s="336">
        <v>1.25</v>
      </c>
      <c r="M27" s="69" t="s">
        <v>152</v>
      </c>
    </row>
    <row r="28">
      <c r="A28" s="71" t="s">
        <v>122</v>
      </c>
      <c r="B28" s="59" t="s">
        <v>40</v>
      </c>
      <c r="C28" s="331">
        <v>3.0</v>
      </c>
      <c r="D28" s="90">
        <v>33.333333333333336</v>
      </c>
      <c r="E28" s="332" t="s">
        <v>152</v>
      </c>
      <c r="F28" s="333">
        <v>6.0</v>
      </c>
      <c r="G28" s="67" t="s">
        <v>152</v>
      </c>
      <c r="H28" s="334">
        <v>41.666666666666664</v>
      </c>
      <c r="I28" s="335" t="s">
        <v>152</v>
      </c>
      <c r="J28" s="87">
        <v>80.0</v>
      </c>
      <c r="K28" s="335" t="s">
        <v>152</v>
      </c>
      <c r="L28" s="336">
        <v>-0.25</v>
      </c>
      <c r="M28" s="69" t="s">
        <v>152</v>
      </c>
    </row>
    <row r="29">
      <c r="A29" s="71" t="s">
        <v>124</v>
      </c>
      <c r="B29" s="59" t="s">
        <v>36</v>
      </c>
      <c r="C29" s="331">
        <v>4.0</v>
      </c>
      <c r="D29" s="90">
        <v>33.333333333333336</v>
      </c>
      <c r="E29" s="332" t="s">
        <v>152</v>
      </c>
      <c r="F29" s="333">
        <v>5.0</v>
      </c>
      <c r="G29" s="67" t="s">
        <v>152</v>
      </c>
      <c r="H29" s="334">
        <v>30.555555555555557</v>
      </c>
      <c r="I29" s="335" t="s">
        <v>152</v>
      </c>
      <c r="J29" s="87">
        <v>95.0</v>
      </c>
      <c r="K29" s="335" t="s">
        <v>152</v>
      </c>
      <c r="L29" s="336">
        <v>2.63</v>
      </c>
      <c r="M29" s="69" t="s">
        <v>152</v>
      </c>
    </row>
    <row r="30">
      <c r="A30" s="71" t="s">
        <v>123</v>
      </c>
      <c r="B30" s="59" t="s">
        <v>40</v>
      </c>
      <c r="C30" s="331">
        <v>5.0</v>
      </c>
      <c r="D30" s="90">
        <v>50.0</v>
      </c>
      <c r="E30" s="332" t="s">
        <v>152</v>
      </c>
      <c r="F30" s="333">
        <v>5.0</v>
      </c>
      <c r="G30" s="67" t="s">
        <v>152</v>
      </c>
      <c r="H30" s="334">
        <v>38.88888888888889</v>
      </c>
      <c r="I30" s="335" t="s">
        <v>152</v>
      </c>
      <c r="J30" s="87">
        <v>75.0</v>
      </c>
      <c r="K30" s="335" t="s">
        <v>152</v>
      </c>
      <c r="L30" s="336">
        <v>-0.25</v>
      </c>
      <c r="M30" s="69" t="s">
        <v>152</v>
      </c>
    </row>
    <row r="31">
      <c r="A31" s="71" t="s">
        <v>125</v>
      </c>
      <c r="B31" s="59" t="s">
        <v>36</v>
      </c>
      <c r="C31" s="331">
        <v>6.0</v>
      </c>
      <c r="D31" s="90">
        <v>50.0</v>
      </c>
      <c r="E31" s="332" t="s">
        <v>152</v>
      </c>
      <c r="F31" s="333">
        <v>3.0</v>
      </c>
      <c r="G31" s="338" t="s">
        <v>164</v>
      </c>
      <c r="H31" s="334">
        <v>41.666666666666664</v>
      </c>
      <c r="I31" s="335" t="s">
        <v>152</v>
      </c>
      <c r="J31" s="87">
        <v>72.5</v>
      </c>
      <c r="K31" s="335" t="s">
        <v>152</v>
      </c>
      <c r="L31" s="336">
        <v>1.38</v>
      </c>
      <c r="M31" s="69" t="s">
        <v>152</v>
      </c>
    </row>
    <row r="32">
      <c r="A32" s="71" t="s">
        <v>126</v>
      </c>
      <c r="B32" s="59" t="s">
        <v>40</v>
      </c>
      <c r="C32" s="331">
        <v>7.0</v>
      </c>
      <c r="D32" s="90">
        <v>0.0</v>
      </c>
      <c r="E32" s="332" t="s">
        <v>152</v>
      </c>
      <c r="F32" s="333">
        <v>7.0</v>
      </c>
      <c r="G32" s="67" t="s">
        <v>152</v>
      </c>
      <c r="H32" s="334">
        <v>16.666666666666668</v>
      </c>
      <c r="I32" s="335" t="s">
        <v>152</v>
      </c>
      <c r="J32" s="87">
        <v>100.0</v>
      </c>
      <c r="K32" s="335" t="s">
        <v>152</v>
      </c>
      <c r="L32" s="336">
        <v>1.88</v>
      </c>
      <c r="M32" s="69" t="s">
        <v>152</v>
      </c>
    </row>
    <row r="33">
      <c r="A33" s="51">
        <v>10.0</v>
      </c>
      <c r="B33" s="59" t="s">
        <v>36</v>
      </c>
      <c r="C33" s="331">
        <v>8.0</v>
      </c>
      <c r="D33" s="90">
        <v>16.666666666666668</v>
      </c>
      <c r="E33" s="332" t="s">
        <v>152</v>
      </c>
      <c r="F33" s="333">
        <v>6.0</v>
      </c>
      <c r="G33" s="67" t="s">
        <v>152</v>
      </c>
      <c r="H33" s="334">
        <v>11.111111111111112</v>
      </c>
      <c r="I33" s="335" t="s">
        <v>152</v>
      </c>
      <c r="J33" s="87">
        <v>90.0</v>
      </c>
      <c r="K33" s="335" t="s">
        <v>152</v>
      </c>
      <c r="L33" s="336">
        <v>0.5</v>
      </c>
      <c r="M33" s="69" t="s">
        <v>152</v>
      </c>
    </row>
    <row r="34">
      <c r="A34" s="71" t="s">
        <v>127</v>
      </c>
      <c r="B34" s="59" t="s">
        <v>40</v>
      </c>
      <c r="C34" s="331">
        <v>9.0</v>
      </c>
      <c r="D34" s="90">
        <v>16.666666666666668</v>
      </c>
      <c r="E34" s="332" t="s">
        <v>152</v>
      </c>
      <c r="F34" s="333">
        <v>6.0</v>
      </c>
      <c r="G34" s="67" t="s">
        <v>152</v>
      </c>
      <c r="H34" s="334">
        <v>27.777777777777775</v>
      </c>
      <c r="I34" s="335" t="s">
        <v>152</v>
      </c>
      <c r="J34" s="87">
        <v>90.0</v>
      </c>
      <c r="K34" s="335" t="s">
        <v>152</v>
      </c>
      <c r="L34" s="336">
        <v>0.38</v>
      </c>
      <c r="M34" s="69" t="s">
        <v>152</v>
      </c>
    </row>
    <row r="35">
      <c r="A35" s="51">
        <v>11.0</v>
      </c>
      <c r="B35" s="59" t="s">
        <v>36</v>
      </c>
      <c r="C35" s="331">
        <v>10.0</v>
      </c>
      <c r="D35" s="90">
        <v>33.333333333333336</v>
      </c>
      <c r="E35" s="332" t="s">
        <v>152</v>
      </c>
      <c r="F35" s="333">
        <v>6.0</v>
      </c>
      <c r="G35" s="67" t="s">
        <v>152</v>
      </c>
      <c r="H35" s="334">
        <v>38.88888888888889</v>
      </c>
      <c r="I35" s="335" t="s">
        <v>152</v>
      </c>
      <c r="J35" s="87">
        <v>97.5</v>
      </c>
      <c r="K35" s="335" t="s">
        <v>152</v>
      </c>
      <c r="L35" s="336">
        <v>0.63</v>
      </c>
      <c r="M35" s="69" t="s">
        <v>152</v>
      </c>
    </row>
    <row r="36">
      <c r="A36" s="51">
        <v>12.0</v>
      </c>
      <c r="B36" s="59" t="s">
        <v>40</v>
      </c>
      <c r="C36" s="331">
        <v>11.0</v>
      </c>
      <c r="D36" s="90">
        <v>33.333333333333336</v>
      </c>
      <c r="E36" s="332" t="s">
        <v>152</v>
      </c>
      <c r="F36" s="333">
        <v>5.0</v>
      </c>
      <c r="G36" s="67" t="s">
        <v>152</v>
      </c>
      <c r="H36" s="334">
        <v>22.222222222222225</v>
      </c>
      <c r="I36" s="335" t="s">
        <v>152</v>
      </c>
      <c r="J36" s="87">
        <v>90.0</v>
      </c>
      <c r="K36" s="335" t="s">
        <v>152</v>
      </c>
      <c r="L36" s="336">
        <v>1.25</v>
      </c>
      <c r="M36" s="69" t="s">
        <v>152</v>
      </c>
    </row>
    <row r="37">
      <c r="A37" s="51">
        <v>14.0</v>
      </c>
      <c r="B37" s="59" t="s">
        <v>36</v>
      </c>
      <c r="C37" s="331">
        <v>12.0</v>
      </c>
      <c r="D37" s="90">
        <v>66.66666666666667</v>
      </c>
      <c r="E37" s="332" t="s">
        <v>152</v>
      </c>
      <c r="F37" s="333">
        <v>4.0</v>
      </c>
      <c r="G37" s="67" t="s">
        <v>152</v>
      </c>
      <c r="H37" s="334">
        <v>52.77777777777778</v>
      </c>
      <c r="I37" s="335" t="s">
        <v>152</v>
      </c>
      <c r="J37" s="87">
        <v>57.5</v>
      </c>
      <c r="K37" s="335" t="s">
        <v>152</v>
      </c>
      <c r="L37" s="336">
        <v>1.0</v>
      </c>
      <c r="M37" s="69" t="s">
        <v>152</v>
      </c>
    </row>
    <row r="38">
      <c r="A38" s="51">
        <v>13.0</v>
      </c>
      <c r="B38" s="59" t="s">
        <v>40</v>
      </c>
      <c r="C38" s="331">
        <v>13.0</v>
      </c>
      <c r="D38" s="90">
        <v>16.666666666666668</v>
      </c>
      <c r="E38" s="332" t="s">
        <v>152</v>
      </c>
      <c r="F38" s="333">
        <v>6.0</v>
      </c>
      <c r="G38" s="67" t="s">
        <v>152</v>
      </c>
      <c r="H38" s="334">
        <v>30.555555555555557</v>
      </c>
      <c r="I38" s="335" t="s">
        <v>152</v>
      </c>
      <c r="J38" s="87">
        <v>95.0</v>
      </c>
      <c r="K38" s="335" t="s">
        <v>152</v>
      </c>
      <c r="L38" s="336">
        <v>2.25</v>
      </c>
      <c r="M38" s="69" t="s">
        <v>152</v>
      </c>
    </row>
    <row r="39">
      <c r="A39" s="51">
        <v>15.0</v>
      </c>
      <c r="B39" s="59" t="s">
        <v>36</v>
      </c>
      <c r="C39" s="331">
        <v>14.0</v>
      </c>
      <c r="D39" s="90">
        <v>16.666666666666668</v>
      </c>
      <c r="E39" s="332" t="s">
        <v>152</v>
      </c>
      <c r="F39" s="333">
        <v>6.0</v>
      </c>
      <c r="G39" s="67" t="s">
        <v>152</v>
      </c>
      <c r="H39" s="334">
        <v>25.0</v>
      </c>
      <c r="I39" s="335" t="s">
        <v>152</v>
      </c>
      <c r="J39" s="87">
        <v>97.5</v>
      </c>
      <c r="K39" s="335" t="s">
        <v>152</v>
      </c>
      <c r="L39" s="336">
        <v>1.88</v>
      </c>
      <c r="M39" s="69" t="s">
        <v>152</v>
      </c>
    </row>
    <row r="40">
      <c r="A40" s="51">
        <v>16.0</v>
      </c>
      <c r="B40" s="59" t="s">
        <v>40</v>
      </c>
      <c r="C40" s="331">
        <v>15.0</v>
      </c>
      <c r="D40" s="90">
        <v>16.666666666666668</v>
      </c>
      <c r="E40" s="332" t="s">
        <v>152</v>
      </c>
      <c r="F40" s="333">
        <v>6.0</v>
      </c>
      <c r="G40" s="67" t="s">
        <v>152</v>
      </c>
      <c r="H40" s="334">
        <v>25.0</v>
      </c>
      <c r="I40" s="335" t="s">
        <v>152</v>
      </c>
      <c r="J40" s="87">
        <v>87.5</v>
      </c>
      <c r="K40" s="335" t="s">
        <v>152</v>
      </c>
      <c r="L40" s="336">
        <v>0.75</v>
      </c>
      <c r="M40" s="69" t="s">
        <v>152</v>
      </c>
    </row>
    <row r="41">
      <c r="A41" s="51">
        <v>18.0</v>
      </c>
      <c r="B41" s="59" t="s">
        <v>36</v>
      </c>
      <c r="C41" s="331">
        <v>16.0</v>
      </c>
      <c r="D41" s="90">
        <v>33.333333333333336</v>
      </c>
      <c r="E41" s="332" t="s">
        <v>152</v>
      </c>
      <c r="F41" s="333">
        <v>5.0</v>
      </c>
      <c r="G41" s="67" t="s">
        <v>152</v>
      </c>
      <c r="H41" s="334">
        <v>38.88888888888889</v>
      </c>
      <c r="I41" s="335" t="s">
        <v>152</v>
      </c>
      <c r="J41" s="87">
        <v>60.0</v>
      </c>
      <c r="K41" s="335" t="s">
        <v>152</v>
      </c>
      <c r="L41" s="336">
        <v>1.25</v>
      </c>
      <c r="M41" s="69" t="s">
        <v>152</v>
      </c>
    </row>
    <row r="42">
      <c r="A42" s="51">
        <v>17.0</v>
      </c>
      <c r="B42" s="59" t="s">
        <v>40</v>
      </c>
      <c r="C42" s="331">
        <v>17.0</v>
      </c>
      <c r="D42" s="90">
        <v>16.666666666666668</v>
      </c>
      <c r="E42" s="332" t="s">
        <v>152</v>
      </c>
      <c r="F42" s="333">
        <v>6.0</v>
      </c>
      <c r="G42" s="67" t="s">
        <v>152</v>
      </c>
      <c r="H42" s="334">
        <v>36.11111111111111</v>
      </c>
      <c r="I42" s="335" t="s">
        <v>152</v>
      </c>
      <c r="J42" s="87">
        <v>82.5</v>
      </c>
      <c r="K42" s="335" t="s">
        <v>152</v>
      </c>
      <c r="L42" s="336">
        <v>0.63</v>
      </c>
      <c r="M42" s="69" t="s">
        <v>152</v>
      </c>
    </row>
    <row r="43">
      <c r="A43" s="51">
        <v>19.0</v>
      </c>
      <c r="B43" s="59" t="s">
        <v>36</v>
      </c>
      <c r="C43" s="331">
        <v>18.0</v>
      </c>
      <c r="D43" s="90">
        <v>16.666666666666668</v>
      </c>
      <c r="E43" s="332" t="s">
        <v>152</v>
      </c>
      <c r="F43" s="333">
        <v>5.0</v>
      </c>
      <c r="G43" s="67" t="s">
        <v>152</v>
      </c>
      <c r="H43" s="334">
        <v>50.0</v>
      </c>
      <c r="I43" s="335" t="s">
        <v>152</v>
      </c>
      <c r="J43" s="87">
        <v>67.5</v>
      </c>
      <c r="K43" s="335" t="s">
        <v>152</v>
      </c>
      <c r="L43" s="336">
        <v>1.63</v>
      </c>
      <c r="M43" s="69" t="s">
        <v>152</v>
      </c>
    </row>
    <row r="44">
      <c r="A44" s="51">
        <v>20.0</v>
      </c>
      <c r="B44" s="59" t="s">
        <v>40</v>
      </c>
      <c r="C44" s="331">
        <v>19.0</v>
      </c>
      <c r="D44" s="90">
        <v>50.0</v>
      </c>
      <c r="E44" s="332" t="s">
        <v>152</v>
      </c>
      <c r="F44" s="333">
        <v>7.0</v>
      </c>
      <c r="G44" s="67" t="s">
        <v>152</v>
      </c>
      <c r="H44" s="334">
        <v>38.88888888888889</v>
      </c>
      <c r="I44" s="335" t="s">
        <v>152</v>
      </c>
      <c r="J44" s="87">
        <v>87.5</v>
      </c>
      <c r="K44" s="335" t="s">
        <v>152</v>
      </c>
      <c r="L44" s="336">
        <v>1.63</v>
      </c>
      <c r="M44" s="69" t="s">
        <v>152</v>
      </c>
    </row>
    <row r="45">
      <c r="A45" s="51">
        <v>21.0</v>
      </c>
      <c r="B45" s="59" t="s">
        <v>36</v>
      </c>
      <c r="C45" s="331">
        <v>20.0</v>
      </c>
      <c r="D45" s="90">
        <v>16.666666666666668</v>
      </c>
      <c r="E45" s="332" t="s">
        <v>152</v>
      </c>
      <c r="F45" s="340">
        <v>6.0</v>
      </c>
      <c r="G45" s="341" t="s">
        <v>152</v>
      </c>
      <c r="H45" s="342">
        <v>41.666666666666664</v>
      </c>
      <c r="I45" s="343" t="s">
        <v>152</v>
      </c>
      <c r="J45" s="98">
        <v>92.5</v>
      </c>
      <c r="K45" s="343" t="s">
        <v>152</v>
      </c>
      <c r="L45" s="344">
        <v>1.25</v>
      </c>
      <c r="M45" s="78" t="s">
        <v>152</v>
      </c>
    </row>
    <row r="46">
      <c r="J46" s="315"/>
      <c r="L46" s="88"/>
    </row>
    <row r="47">
      <c r="J47" s="315"/>
      <c r="L47" s="88"/>
    </row>
    <row r="48">
      <c r="J48" s="315"/>
      <c r="L48" s="88"/>
    </row>
    <row r="49">
      <c r="J49" s="315"/>
      <c r="L49" s="88"/>
    </row>
    <row r="50">
      <c r="J50" s="315"/>
      <c r="L50" s="88"/>
    </row>
    <row r="52">
      <c r="A52" s="26" t="s">
        <v>200</v>
      </c>
      <c r="N52" s="26"/>
    </row>
    <row r="53">
      <c r="A53" s="38" t="s">
        <v>2</v>
      </c>
      <c r="B53" s="43" t="s">
        <v>201</v>
      </c>
      <c r="C53" s="43" t="s">
        <v>212</v>
      </c>
      <c r="D53" s="43" t="s">
        <v>213</v>
      </c>
      <c r="E53" s="43" t="s">
        <v>214</v>
      </c>
      <c r="F53" s="329" t="s">
        <v>86</v>
      </c>
      <c r="G53" s="330" t="s">
        <v>215</v>
      </c>
      <c r="H53" s="329" t="s">
        <v>216</v>
      </c>
      <c r="I53" s="330" t="s">
        <v>217</v>
      </c>
      <c r="J53" s="329" t="s">
        <v>149</v>
      </c>
      <c r="K53" s="330" t="s">
        <v>218</v>
      </c>
      <c r="L53" s="329" t="s">
        <v>219</v>
      </c>
      <c r="M53" s="330" t="s">
        <v>220</v>
      </c>
    </row>
    <row r="54">
      <c r="A54" s="323">
        <v>22.0</v>
      </c>
      <c r="B54" s="277" t="s">
        <v>40</v>
      </c>
      <c r="C54" s="331">
        <v>1.0</v>
      </c>
      <c r="D54" s="88">
        <v>50.0</v>
      </c>
      <c r="E54" s="106" t="s">
        <v>152</v>
      </c>
      <c r="F54" s="345">
        <v>6.0</v>
      </c>
      <c r="G54" s="69" t="s">
        <v>152</v>
      </c>
      <c r="H54" s="87">
        <v>36.11111111111111</v>
      </c>
      <c r="I54" s="69" t="s">
        <v>152</v>
      </c>
      <c r="J54" s="70">
        <v>75.0</v>
      </c>
      <c r="K54" s="69" t="s">
        <v>152</v>
      </c>
      <c r="L54" s="336">
        <v>1.0</v>
      </c>
      <c r="M54" s="69" t="s">
        <v>152</v>
      </c>
    </row>
    <row r="55">
      <c r="A55" s="323">
        <v>23.0</v>
      </c>
      <c r="B55" s="277" t="s">
        <v>36</v>
      </c>
      <c r="C55" s="331">
        <v>2.0</v>
      </c>
      <c r="D55" s="88">
        <v>83.33333333333333</v>
      </c>
      <c r="E55" s="346" t="s">
        <v>164</v>
      </c>
      <c r="F55" s="345">
        <v>5.0</v>
      </c>
      <c r="G55" s="69" t="s">
        <v>152</v>
      </c>
      <c r="H55" s="87">
        <v>50.0</v>
      </c>
      <c r="I55" s="69" t="s">
        <v>152</v>
      </c>
      <c r="J55" s="70">
        <v>77.5</v>
      </c>
      <c r="K55" s="69" t="s">
        <v>152</v>
      </c>
      <c r="L55" s="336">
        <v>1.25</v>
      </c>
      <c r="M55" s="69" t="s">
        <v>152</v>
      </c>
    </row>
    <row r="56">
      <c r="A56" s="323">
        <v>24.0</v>
      </c>
      <c r="B56" s="277" t="s">
        <v>40</v>
      </c>
      <c r="C56" s="331">
        <v>3.0</v>
      </c>
      <c r="D56" s="88">
        <v>33.333333333333336</v>
      </c>
      <c r="E56" s="106" t="s">
        <v>152</v>
      </c>
      <c r="F56" s="345">
        <v>5.0</v>
      </c>
      <c r="G56" s="69" t="s">
        <v>152</v>
      </c>
      <c r="H56" s="87">
        <v>41.666666666666664</v>
      </c>
      <c r="I56" s="69" t="s">
        <v>152</v>
      </c>
      <c r="J56" s="70">
        <v>75.0</v>
      </c>
      <c r="K56" s="69" t="s">
        <v>152</v>
      </c>
      <c r="L56" s="336">
        <v>1.88</v>
      </c>
      <c r="M56" s="69" t="s">
        <v>152</v>
      </c>
      <c r="N56" s="88"/>
    </row>
    <row r="57">
      <c r="A57" s="323">
        <v>25.0</v>
      </c>
      <c r="B57" s="277" t="s">
        <v>36</v>
      </c>
      <c r="C57" s="331">
        <v>4.0</v>
      </c>
      <c r="D57" s="88">
        <v>16.666666666666668</v>
      </c>
      <c r="E57" s="106" t="s">
        <v>152</v>
      </c>
      <c r="F57" s="345">
        <v>6.0</v>
      </c>
      <c r="G57" s="69" t="s">
        <v>152</v>
      </c>
      <c r="H57" s="87">
        <v>25.0</v>
      </c>
      <c r="I57" s="69" t="s">
        <v>152</v>
      </c>
      <c r="J57" s="70">
        <v>92.5</v>
      </c>
      <c r="K57" s="69" t="s">
        <v>152</v>
      </c>
      <c r="L57" s="336">
        <v>0.88</v>
      </c>
      <c r="M57" s="69" t="s">
        <v>152</v>
      </c>
      <c r="N57" s="88"/>
      <c r="P57" s="88"/>
    </row>
    <row r="58">
      <c r="A58" s="323">
        <v>26.0</v>
      </c>
      <c r="B58" s="277" t="s">
        <v>40</v>
      </c>
      <c r="C58" s="331">
        <v>5.0</v>
      </c>
      <c r="D58" s="347">
        <v>16.666666666666668</v>
      </c>
      <c r="E58" s="106" t="s">
        <v>152</v>
      </c>
      <c r="F58" s="348">
        <v>5.0</v>
      </c>
      <c r="G58" s="69" t="s">
        <v>152</v>
      </c>
      <c r="H58" s="87">
        <v>58.333333333333336</v>
      </c>
      <c r="I58" s="69" t="s">
        <v>152</v>
      </c>
      <c r="J58" s="70">
        <v>67.5</v>
      </c>
      <c r="K58" s="69" t="s">
        <v>152</v>
      </c>
      <c r="L58" s="336">
        <v>1.5</v>
      </c>
      <c r="M58" s="69" t="s">
        <v>152</v>
      </c>
    </row>
    <row r="59">
      <c r="A59" s="323">
        <v>27.0</v>
      </c>
      <c r="B59" s="277" t="s">
        <v>36</v>
      </c>
      <c r="C59" s="331">
        <v>6.0</v>
      </c>
      <c r="D59" s="349">
        <v>16.666666666666668</v>
      </c>
      <c r="E59" s="350" t="s">
        <v>152</v>
      </c>
      <c r="F59" s="351">
        <v>5.0</v>
      </c>
      <c r="G59" s="69" t="s">
        <v>152</v>
      </c>
      <c r="H59" s="87">
        <v>36.11111111111111</v>
      </c>
      <c r="I59" s="69" t="s">
        <v>152</v>
      </c>
      <c r="J59" s="70">
        <v>80.0</v>
      </c>
      <c r="K59" s="69" t="s">
        <v>152</v>
      </c>
      <c r="L59" s="336">
        <v>2.88</v>
      </c>
      <c r="M59" s="69" t="s">
        <v>152</v>
      </c>
    </row>
    <row r="60">
      <c r="A60" s="323">
        <v>28.0</v>
      </c>
      <c r="B60" s="277" t="s">
        <v>40</v>
      </c>
      <c r="C60" s="331">
        <v>7.0</v>
      </c>
      <c r="D60" s="88">
        <v>16.666666666666668</v>
      </c>
      <c r="E60" s="106" t="s">
        <v>152</v>
      </c>
      <c r="F60" s="345">
        <v>6.0</v>
      </c>
      <c r="G60" s="69" t="s">
        <v>152</v>
      </c>
      <c r="H60" s="87">
        <v>27.777777777777775</v>
      </c>
      <c r="I60" s="69" t="s">
        <v>152</v>
      </c>
      <c r="J60" s="70">
        <v>85.0</v>
      </c>
      <c r="K60" s="69" t="s">
        <v>152</v>
      </c>
      <c r="L60" s="336">
        <v>1.75</v>
      </c>
      <c r="M60" s="69" t="s">
        <v>152</v>
      </c>
    </row>
    <row r="61">
      <c r="A61" s="323">
        <v>29.0</v>
      </c>
      <c r="B61" s="277" t="s">
        <v>36</v>
      </c>
      <c r="C61" s="331">
        <v>8.0</v>
      </c>
      <c r="D61" s="88">
        <v>16.666666666666668</v>
      </c>
      <c r="E61" s="106" t="s">
        <v>152</v>
      </c>
      <c r="F61" s="345">
        <v>5.0</v>
      </c>
      <c r="G61" s="69" t="s">
        <v>152</v>
      </c>
      <c r="H61" s="87">
        <v>36.11111111111111</v>
      </c>
      <c r="I61" s="69" t="s">
        <v>152</v>
      </c>
      <c r="J61" s="70">
        <v>85.0</v>
      </c>
      <c r="K61" s="69" t="s">
        <v>152</v>
      </c>
      <c r="L61" s="336">
        <v>0.75</v>
      </c>
      <c r="M61" s="69" t="s">
        <v>152</v>
      </c>
    </row>
    <row r="62">
      <c r="A62" s="323">
        <v>32.0</v>
      </c>
      <c r="B62" s="277" t="s">
        <v>40</v>
      </c>
      <c r="C62" s="331">
        <v>9.0</v>
      </c>
      <c r="D62" s="88">
        <v>0.0</v>
      </c>
      <c r="E62" s="106" t="s">
        <v>152</v>
      </c>
      <c r="F62" s="345">
        <v>5.0</v>
      </c>
      <c r="G62" s="69" t="s">
        <v>152</v>
      </c>
      <c r="H62" s="87">
        <v>30.555555555555557</v>
      </c>
      <c r="I62" s="69" t="s">
        <v>152</v>
      </c>
      <c r="J62" s="70">
        <v>82.5</v>
      </c>
      <c r="K62" s="69" t="s">
        <v>152</v>
      </c>
      <c r="L62" s="336">
        <v>0.63</v>
      </c>
      <c r="M62" s="69" t="s">
        <v>152</v>
      </c>
    </row>
    <row r="63">
      <c r="A63" s="323">
        <v>31.0</v>
      </c>
      <c r="B63" s="277" t="s">
        <v>36</v>
      </c>
      <c r="C63" s="331">
        <v>10.0</v>
      </c>
      <c r="D63" s="88">
        <v>16.666666666666668</v>
      </c>
      <c r="E63" s="106" t="s">
        <v>152</v>
      </c>
      <c r="F63" s="345">
        <v>6.0</v>
      </c>
      <c r="G63" s="69" t="s">
        <v>152</v>
      </c>
      <c r="H63" s="87">
        <v>38.88888888888889</v>
      </c>
      <c r="I63" s="69" t="s">
        <v>152</v>
      </c>
      <c r="J63" s="70">
        <v>85.0</v>
      </c>
      <c r="K63" s="69" t="s">
        <v>152</v>
      </c>
      <c r="L63" s="336">
        <v>0.63</v>
      </c>
      <c r="M63" s="69" t="s">
        <v>152</v>
      </c>
    </row>
    <row r="64">
      <c r="A64" s="323">
        <v>23.0</v>
      </c>
      <c r="B64" s="277" t="s">
        <v>40</v>
      </c>
      <c r="C64" s="331">
        <v>11.0</v>
      </c>
      <c r="D64" s="88">
        <v>33.333333333333336</v>
      </c>
      <c r="E64" s="106" t="s">
        <v>152</v>
      </c>
      <c r="F64" s="345">
        <v>6.0</v>
      </c>
      <c r="G64" s="69" t="s">
        <v>152</v>
      </c>
      <c r="H64" s="87">
        <v>44.444444444444436</v>
      </c>
      <c r="I64" s="69" t="s">
        <v>152</v>
      </c>
      <c r="J64" s="70">
        <v>85.0</v>
      </c>
      <c r="K64" s="69" t="s">
        <v>152</v>
      </c>
      <c r="L64" s="336">
        <v>1.13</v>
      </c>
      <c r="M64" s="69" t="s">
        <v>152</v>
      </c>
    </row>
    <row r="65">
      <c r="A65" s="323">
        <v>22.0</v>
      </c>
      <c r="B65" s="277" t="s">
        <v>36</v>
      </c>
      <c r="C65" s="331">
        <v>12.0</v>
      </c>
      <c r="D65" s="88">
        <v>66.66666666666667</v>
      </c>
      <c r="E65" s="106" t="s">
        <v>152</v>
      </c>
      <c r="F65" s="345">
        <v>5.0</v>
      </c>
      <c r="G65" s="69" t="s">
        <v>152</v>
      </c>
      <c r="H65" s="87">
        <v>36.11111111111111</v>
      </c>
      <c r="I65" s="69" t="s">
        <v>152</v>
      </c>
      <c r="J65" s="70">
        <v>82.5</v>
      </c>
      <c r="K65" s="69" t="s">
        <v>152</v>
      </c>
      <c r="L65" s="336">
        <v>1.38</v>
      </c>
      <c r="M65" s="69" t="s">
        <v>152</v>
      </c>
    </row>
    <row r="66">
      <c r="A66" s="323">
        <v>25.0</v>
      </c>
      <c r="B66" s="277" t="s">
        <v>40</v>
      </c>
      <c r="C66" s="331">
        <v>13.0</v>
      </c>
      <c r="D66" s="88">
        <v>0.0</v>
      </c>
      <c r="E66" s="106" t="s">
        <v>152</v>
      </c>
      <c r="F66" s="345">
        <v>7.0</v>
      </c>
      <c r="G66" s="69" t="s">
        <v>152</v>
      </c>
      <c r="H66" s="87">
        <v>22.222222222222225</v>
      </c>
      <c r="I66" s="69" t="s">
        <v>152</v>
      </c>
      <c r="J66" s="70">
        <v>85.0</v>
      </c>
      <c r="K66" s="69" t="s">
        <v>152</v>
      </c>
      <c r="L66" s="336">
        <v>0.88</v>
      </c>
      <c r="M66" s="69" t="s">
        <v>152</v>
      </c>
    </row>
    <row r="67">
      <c r="A67" s="323">
        <v>24.0</v>
      </c>
      <c r="B67" s="277" t="s">
        <v>36</v>
      </c>
      <c r="C67" s="331">
        <v>14.0</v>
      </c>
      <c r="D67" s="88">
        <v>50.0</v>
      </c>
      <c r="E67" s="106" t="s">
        <v>152</v>
      </c>
      <c r="F67" s="345">
        <v>5.0</v>
      </c>
      <c r="G67" s="69" t="s">
        <v>152</v>
      </c>
      <c r="H67" s="87">
        <v>58.333333333333336</v>
      </c>
      <c r="I67" s="69" t="s">
        <v>152</v>
      </c>
      <c r="J67" s="70">
        <v>62.5</v>
      </c>
      <c r="K67" s="69" t="s">
        <v>152</v>
      </c>
      <c r="L67" s="336">
        <v>1.63</v>
      </c>
      <c r="M67" s="69" t="s">
        <v>152</v>
      </c>
    </row>
    <row r="68">
      <c r="A68" s="323">
        <v>27.0</v>
      </c>
      <c r="B68" s="277" t="s">
        <v>40</v>
      </c>
      <c r="C68" s="331">
        <v>15.0</v>
      </c>
      <c r="D68" s="88">
        <v>50.0</v>
      </c>
      <c r="E68" s="106" t="s">
        <v>152</v>
      </c>
      <c r="F68" s="345">
        <v>4.0</v>
      </c>
      <c r="G68" s="69" t="s">
        <v>152</v>
      </c>
      <c r="H68" s="87">
        <v>52.77777777777778</v>
      </c>
      <c r="I68" s="69" t="s">
        <v>152</v>
      </c>
      <c r="J68" s="70">
        <v>67.5</v>
      </c>
      <c r="K68" s="69" t="s">
        <v>152</v>
      </c>
      <c r="L68" s="336">
        <v>2.63</v>
      </c>
      <c r="M68" s="69" t="s">
        <v>152</v>
      </c>
    </row>
    <row r="69">
      <c r="A69" s="323">
        <v>26.0</v>
      </c>
      <c r="B69" s="277" t="s">
        <v>36</v>
      </c>
      <c r="C69" s="331">
        <v>16.0</v>
      </c>
      <c r="D69" s="88">
        <v>33.333333333333336</v>
      </c>
      <c r="E69" s="106" t="s">
        <v>152</v>
      </c>
      <c r="F69" s="345">
        <v>5.0</v>
      </c>
      <c r="G69" s="69" t="s">
        <v>152</v>
      </c>
      <c r="H69" s="87">
        <v>41.666666666666664</v>
      </c>
      <c r="I69" s="69" t="s">
        <v>152</v>
      </c>
      <c r="J69" s="70">
        <v>80.0</v>
      </c>
      <c r="K69" s="69" t="s">
        <v>152</v>
      </c>
      <c r="L69" s="336">
        <v>1.13</v>
      </c>
      <c r="M69" s="69" t="s">
        <v>152</v>
      </c>
    </row>
    <row r="70">
      <c r="A70" s="323">
        <v>29.0</v>
      </c>
      <c r="B70" s="277" t="s">
        <v>40</v>
      </c>
      <c r="C70" s="331">
        <v>17.0</v>
      </c>
      <c r="D70" s="88">
        <v>16.666666666666668</v>
      </c>
      <c r="E70" s="106" t="s">
        <v>152</v>
      </c>
      <c r="F70" s="345">
        <v>3.0</v>
      </c>
      <c r="G70" s="69" t="s">
        <v>152</v>
      </c>
      <c r="H70" s="87">
        <v>41.666666666666664</v>
      </c>
      <c r="I70" s="69" t="s">
        <v>152</v>
      </c>
      <c r="J70" s="70">
        <v>77.5</v>
      </c>
      <c r="K70" s="69" t="s">
        <v>152</v>
      </c>
      <c r="L70" s="336">
        <v>0.13</v>
      </c>
      <c r="M70" s="69" t="s">
        <v>152</v>
      </c>
    </row>
    <row r="71">
      <c r="A71" s="323">
        <v>28.0</v>
      </c>
      <c r="B71" s="277" t="s">
        <v>36</v>
      </c>
      <c r="C71" s="331">
        <v>18.0</v>
      </c>
      <c r="D71" s="88">
        <v>66.66666666666667</v>
      </c>
      <c r="E71" s="106" t="s">
        <v>152</v>
      </c>
      <c r="F71" s="345">
        <v>3.0</v>
      </c>
      <c r="G71" s="69" t="s">
        <v>152</v>
      </c>
      <c r="H71" s="87">
        <v>66.66666666666667</v>
      </c>
      <c r="I71" s="352" t="s">
        <v>164</v>
      </c>
      <c r="J71" s="70">
        <v>77.5</v>
      </c>
      <c r="K71" s="69" t="s">
        <v>152</v>
      </c>
      <c r="L71" s="336">
        <v>1.13</v>
      </c>
      <c r="M71" s="69" t="s">
        <v>152</v>
      </c>
    </row>
    <row r="72">
      <c r="A72" s="323">
        <v>31.0</v>
      </c>
      <c r="B72" s="277" t="s">
        <v>40</v>
      </c>
      <c r="C72" s="331">
        <v>19.0</v>
      </c>
      <c r="D72" s="88">
        <v>0.0</v>
      </c>
      <c r="E72" s="106" t="s">
        <v>152</v>
      </c>
      <c r="F72" s="345">
        <v>2.0</v>
      </c>
      <c r="G72" s="352" t="s">
        <v>164</v>
      </c>
      <c r="H72" s="87">
        <v>41.666666666666664</v>
      </c>
      <c r="I72" s="69" t="s">
        <v>152</v>
      </c>
      <c r="J72" s="70">
        <v>40.0</v>
      </c>
      <c r="K72" s="352" t="s">
        <v>164</v>
      </c>
      <c r="L72" s="336">
        <v>-1.25</v>
      </c>
      <c r="M72" s="352" t="s">
        <v>164</v>
      </c>
    </row>
    <row r="73">
      <c r="A73" s="323">
        <v>32.0</v>
      </c>
      <c r="B73" s="277" t="s">
        <v>36</v>
      </c>
      <c r="C73" s="331">
        <v>20.0</v>
      </c>
      <c r="D73" s="88">
        <v>0.0</v>
      </c>
      <c r="E73" s="106" t="s">
        <v>152</v>
      </c>
      <c r="F73" s="353">
        <v>5.0</v>
      </c>
      <c r="G73" s="78" t="s">
        <v>152</v>
      </c>
      <c r="H73" s="98">
        <v>25.0</v>
      </c>
      <c r="I73" s="78" t="s">
        <v>152</v>
      </c>
      <c r="J73" s="79">
        <v>85.0</v>
      </c>
      <c r="K73" s="78" t="s">
        <v>152</v>
      </c>
      <c r="L73" s="344">
        <v>1.38</v>
      </c>
      <c r="M73" s="78" t="s">
        <v>152</v>
      </c>
    </row>
    <row r="74">
      <c r="A74" s="323"/>
      <c r="B74" s="277"/>
    </row>
    <row r="75">
      <c r="A75" s="323"/>
      <c r="B75" s="277"/>
    </row>
    <row r="76">
      <c r="A76" s="323"/>
      <c r="B76" s="277"/>
    </row>
    <row r="77">
      <c r="A77" s="323"/>
      <c r="B77" s="277"/>
    </row>
    <row r="78">
      <c r="A78" s="323"/>
    </row>
    <row r="79">
      <c r="A79" s="323"/>
      <c r="B79" s="277"/>
    </row>
    <row r="81">
      <c r="B81" s="328"/>
    </row>
    <row r="82">
      <c r="B82" s="328"/>
    </row>
    <row r="83">
      <c r="B83" s="328"/>
    </row>
    <row r="84">
      <c r="B84" s="328"/>
    </row>
    <row r="85">
      <c r="B85" s="328"/>
    </row>
    <row r="86">
      <c r="B86" s="328"/>
    </row>
    <row r="87">
      <c r="B87" s="328"/>
    </row>
    <row r="88">
      <c r="B88" s="328"/>
    </row>
    <row r="89">
      <c r="B89" s="328"/>
    </row>
    <row r="90">
      <c r="B90" s="328"/>
    </row>
    <row r="91">
      <c r="B91" s="328"/>
    </row>
    <row r="92">
      <c r="B92" s="328"/>
    </row>
    <row r="93">
      <c r="B93" s="328"/>
    </row>
    <row r="94">
      <c r="B94" s="328"/>
    </row>
    <row r="95">
      <c r="B95" s="328"/>
    </row>
    <row r="96">
      <c r="B96" s="328"/>
    </row>
    <row r="97">
      <c r="B97" s="328"/>
    </row>
    <row r="98">
      <c r="B98" s="328"/>
    </row>
    <row r="99">
      <c r="B99" s="328"/>
    </row>
    <row r="100">
      <c r="B100" s="328"/>
    </row>
    <row r="101">
      <c r="B101" s="328"/>
    </row>
    <row r="102">
      <c r="B102" s="328"/>
    </row>
    <row r="103">
      <c r="B103" s="328"/>
    </row>
    <row r="104">
      <c r="B104" s="328"/>
    </row>
    <row r="105">
      <c r="B105" s="328"/>
    </row>
    <row r="106">
      <c r="B106" s="328"/>
    </row>
    <row r="107">
      <c r="B107" s="328"/>
    </row>
    <row r="108">
      <c r="B108" s="328"/>
    </row>
    <row r="109">
      <c r="B109" s="328"/>
    </row>
    <row r="110">
      <c r="B110" s="328"/>
    </row>
    <row r="111">
      <c r="B111" s="328"/>
    </row>
    <row r="112">
      <c r="B112" s="328"/>
    </row>
    <row r="113">
      <c r="B113" s="328"/>
    </row>
    <row r="114">
      <c r="B114" s="328"/>
    </row>
    <row r="115">
      <c r="B115" s="328"/>
    </row>
    <row r="116">
      <c r="B116" s="328"/>
    </row>
    <row r="117">
      <c r="B117" s="328"/>
    </row>
    <row r="118">
      <c r="B118" s="328"/>
    </row>
    <row r="119">
      <c r="B119" s="328"/>
    </row>
    <row r="120">
      <c r="B120" s="328"/>
    </row>
  </sheetData>
  <mergeCells count="2">
    <mergeCell ref="A24:M24"/>
    <mergeCell ref="A52:M52"/>
  </mergeCells>
  <conditionalFormatting sqref="G1:G22 B3:F22 H3:H22 B26:B51 D29:F30 G29:H51 D33:F34 D37:F38 D41:F42 C46:F51 A54:A79 B54:B77 D54:H55 B79 B81:B120">
    <cfRule type="containsText" dxfId="7" priority="1" operator="containsText" text="BionicBack">
      <formula>NOT(ISERROR(SEARCH(("BionicBack"),(G1))))</formula>
    </cfRule>
  </conditionalFormatting>
  <conditionalFormatting sqref="G1:G22 B3:F22 H3:H22 B26:B51 D29:F30 G29:H51 D33:F34 D37:F38 D41:F42 C46:F51 A54:A79 B54:B77 D54:H55 B79 B81:B120">
    <cfRule type="containsText" dxfId="8" priority="2" operator="containsText" text="Apogee">
      <formula>NOT(ISERROR(SEARCH(("Apogee"),(G1))))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</cols>
  <sheetData>
    <row r="1">
      <c r="A1" s="3" t="s">
        <v>2</v>
      </c>
      <c r="B1" s="354" t="s">
        <v>221</v>
      </c>
      <c r="C1" s="354" t="s">
        <v>222</v>
      </c>
      <c r="D1" s="354" t="s">
        <v>223</v>
      </c>
      <c r="E1" s="354" t="s">
        <v>224</v>
      </c>
      <c r="F1" s="354" t="s">
        <v>225</v>
      </c>
      <c r="G1" s="354" t="s">
        <v>226</v>
      </c>
      <c r="H1" s="354" t="s">
        <v>227</v>
      </c>
      <c r="I1" s="354" t="s">
        <v>228</v>
      </c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</row>
    <row r="2">
      <c r="A2" s="10">
        <v>1.0</v>
      </c>
      <c r="B2" s="356" t="s">
        <v>229</v>
      </c>
      <c r="C2" s="199"/>
      <c r="D2" s="36" t="s">
        <v>230</v>
      </c>
      <c r="E2" s="36" t="s">
        <v>231</v>
      </c>
      <c r="F2" s="36" t="s">
        <v>232</v>
      </c>
      <c r="G2" s="199"/>
      <c r="H2" s="36" t="s">
        <v>233</v>
      </c>
      <c r="I2" s="36" t="s">
        <v>234</v>
      </c>
    </row>
    <row r="3">
      <c r="A3" s="10">
        <v>2.0</v>
      </c>
      <c r="B3" s="356" t="s">
        <v>235</v>
      </c>
      <c r="C3" s="199"/>
      <c r="D3" s="36" t="s">
        <v>236</v>
      </c>
      <c r="E3" s="36" t="s">
        <v>237</v>
      </c>
      <c r="F3" s="36" t="s">
        <v>238</v>
      </c>
      <c r="G3" s="239" t="s">
        <v>239</v>
      </c>
      <c r="H3" s="36" t="s">
        <v>240</v>
      </c>
      <c r="I3" s="36" t="s">
        <v>241</v>
      </c>
    </row>
    <row r="4">
      <c r="A4" s="10">
        <v>4.0</v>
      </c>
      <c r="B4" s="356" t="s">
        <v>242</v>
      </c>
      <c r="C4" s="36" t="s">
        <v>243</v>
      </c>
      <c r="D4" s="36" t="s">
        <v>244</v>
      </c>
      <c r="E4" s="36" t="s">
        <v>245</v>
      </c>
      <c r="F4" s="36" t="s">
        <v>246</v>
      </c>
      <c r="G4" s="199"/>
      <c r="H4" s="36" t="s">
        <v>247</v>
      </c>
      <c r="I4" s="36" t="s">
        <v>248</v>
      </c>
    </row>
    <row r="5">
      <c r="A5" s="10">
        <v>5.0</v>
      </c>
      <c r="B5" s="356" t="s">
        <v>249</v>
      </c>
      <c r="C5" s="199"/>
      <c r="D5" s="36" t="s">
        <v>250</v>
      </c>
      <c r="E5" s="36" t="s">
        <v>251</v>
      </c>
      <c r="F5" s="239" t="s">
        <v>252</v>
      </c>
      <c r="G5" s="36" t="s">
        <v>253</v>
      </c>
      <c r="H5" s="36" t="s">
        <v>254</v>
      </c>
      <c r="I5" s="36" t="s">
        <v>255</v>
      </c>
    </row>
    <row r="6">
      <c r="A6" s="10">
        <v>6.0</v>
      </c>
      <c r="B6" s="356" t="s">
        <v>256</v>
      </c>
      <c r="C6" s="199"/>
      <c r="D6" s="36" t="s">
        <v>257</v>
      </c>
      <c r="E6" s="36" t="s">
        <v>258</v>
      </c>
      <c r="F6" s="36" t="s">
        <v>259</v>
      </c>
      <c r="G6" s="199"/>
      <c r="H6" s="36" t="s">
        <v>260</v>
      </c>
      <c r="I6" s="36" t="s">
        <v>261</v>
      </c>
    </row>
    <row r="7">
      <c r="A7" s="10">
        <v>7.0</v>
      </c>
      <c r="B7" s="357" t="s">
        <v>262</v>
      </c>
      <c r="C7" s="199"/>
      <c r="D7" s="36" t="s">
        <v>263</v>
      </c>
      <c r="E7" s="36" t="s">
        <v>264</v>
      </c>
      <c r="F7" s="36" t="s">
        <v>265</v>
      </c>
      <c r="G7" s="199"/>
      <c r="H7" s="36" t="s">
        <v>266</v>
      </c>
      <c r="I7" s="36" t="s">
        <v>267</v>
      </c>
    </row>
    <row r="8">
      <c r="A8" s="10">
        <v>8.0</v>
      </c>
      <c r="B8" s="356" t="s">
        <v>268</v>
      </c>
      <c r="C8" s="199"/>
      <c r="D8" s="36" t="s">
        <v>269</v>
      </c>
      <c r="E8" s="36" t="s">
        <v>270</v>
      </c>
      <c r="F8" s="36" t="s">
        <v>271</v>
      </c>
      <c r="G8" s="199"/>
      <c r="H8" s="36" t="s">
        <v>272</v>
      </c>
      <c r="I8" s="36" t="s">
        <v>273</v>
      </c>
    </row>
    <row r="9">
      <c r="A9" s="10">
        <v>9.0</v>
      </c>
      <c r="B9" s="356" t="s">
        <v>274</v>
      </c>
      <c r="C9" s="199"/>
      <c r="D9" s="36" t="s">
        <v>275</v>
      </c>
      <c r="E9" s="36" t="s">
        <v>276</v>
      </c>
      <c r="F9" s="36" t="s">
        <v>277</v>
      </c>
      <c r="G9" s="199"/>
      <c r="H9" s="36" t="s">
        <v>278</v>
      </c>
      <c r="I9" s="36" t="s">
        <v>279</v>
      </c>
    </row>
    <row r="10">
      <c r="A10" s="10">
        <v>10.0</v>
      </c>
      <c r="B10" s="356" t="s">
        <v>280</v>
      </c>
      <c r="C10" s="199"/>
      <c r="D10" s="36" t="s">
        <v>281</v>
      </c>
      <c r="E10" s="36" t="s">
        <v>282</v>
      </c>
      <c r="F10" s="36" t="s">
        <v>283</v>
      </c>
      <c r="G10" s="199"/>
      <c r="H10" s="36" t="s">
        <v>284</v>
      </c>
      <c r="I10" s="36" t="s">
        <v>285</v>
      </c>
    </row>
    <row r="11">
      <c r="A11" s="10">
        <v>11.0</v>
      </c>
      <c r="B11" s="356" t="s">
        <v>286</v>
      </c>
      <c r="C11" s="199"/>
      <c r="D11" s="36" t="s">
        <v>287</v>
      </c>
      <c r="E11" s="36" t="s">
        <v>288</v>
      </c>
      <c r="F11" s="36" t="s">
        <v>289</v>
      </c>
      <c r="G11" s="199"/>
      <c r="H11" s="36" t="s">
        <v>290</v>
      </c>
      <c r="I11" s="36" t="s">
        <v>291</v>
      </c>
    </row>
    <row r="12">
      <c r="A12" s="10">
        <v>12.0</v>
      </c>
      <c r="B12" s="356" t="s">
        <v>292</v>
      </c>
      <c r="C12" s="199"/>
      <c r="D12" s="36" t="s">
        <v>293</v>
      </c>
      <c r="E12" s="36" t="s">
        <v>294</v>
      </c>
      <c r="F12" s="36" t="s">
        <v>295</v>
      </c>
      <c r="G12" s="199"/>
      <c r="H12" s="36" t="s">
        <v>296</v>
      </c>
      <c r="I12" s="36" t="s">
        <v>297</v>
      </c>
    </row>
    <row r="13">
      <c r="A13" s="10">
        <v>13.0</v>
      </c>
      <c r="B13" s="356" t="s">
        <v>298</v>
      </c>
      <c r="C13" s="199"/>
      <c r="D13" s="36" t="s">
        <v>299</v>
      </c>
      <c r="E13" s="36" t="s">
        <v>300</v>
      </c>
      <c r="F13" s="36" t="s">
        <v>301</v>
      </c>
      <c r="G13" s="199"/>
      <c r="H13" s="36" t="s">
        <v>302</v>
      </c>
      <c r="I13" s="36" t="s">
        <v>303</v>
      </c>
    </row>
    <row r="14">
      <c r="A14" s="10">
        <v>14.0</v>
      </c>
      <c r="B14" s="356" t="s">
        <v>304</v>
      </c>
      <c r="C14" s="199"/>
      <c r="D14" s="36" t="s">
        <v>305</v>
      </c>
      <c r="E14" s="36" t="s">
        <v>306</v>
      </c>
      <c r="F14" s="36" t="s">
        <v>307</v>
      </c>
      <c r="G14" s="36" t="s">
        <v>308</v>
      </c>
      <c r="H14" s="36" t="s">
        <v>309</v>
      </c>
      <c r="I14" s="36" t="s">
        <v>310</v>
      </c>
    </row>
    <row r="15">
      <c r="A15" s="10">
        <v>15.0</v>
      </c>
      <c r="B15" s="356" t="s">
        <v>311</v>
      </c>
      <c r="C15" s="199"/>
      <c r="D15" s="36" t="s">
        <v>312</v>
      </c>
      <c r="E15" s="36" t="s">
        <v>313</v>
      </c>
      <c r="F15" s="36" t="s">
        <v>314</v>
      </c>
      <c r="G15" s="199"/>
      <c r="H15" s="36" t="s">
        <v>315</v>
      </c>
      <c r="I15" s="36" t="s">
        <v>316</v>
      </c>
    </row>
    <row r="16">
      <c r="A16" s="10">
        <v>16.0</v>
      </c>
      <c r="B16" s="356" t="s">
        <v>317</v>
      </c>
      <c r="C16" s="199"/>
      <c r="D16" s="36" t="s">
        <v>318</v>
      </c>
      <c r="E16" s="36" t="s">
        <v>319</v>
      </c>
      <c r="F16" s="36" t="s">
        <v>320</v>
      </c>
      <c r="G16" s="36" t="s">
        <v>321</v>
      </c>
      <c r="H16" s="36" t="s">
        <v>322</v>
      </c>
      <c r="I16" s="36" t="s">
        <v>323</v>
      </c>
    </row>
    <row r="17">
      <c r="A17" s="10">
        <v>17.0</v>
      </c>
      <c r="B17" s="356" t="s">
        <v>324</v>
      </c>
      <c r="C17" s="199"/>
      <c r="D17" s="36" t="s">
        <v>325</v>
      </c>
      <c r="E17" s="36" t="s">
        <v>326</v>
      </c>
      <c r="F17" s="36" t="s">
        <v>327</v>
      </c>
      <c r="G17" s="199"/>
      <c r="H17" s="36" t="s">
        <v>328</v>
      </c>
      <c r="I17" s="36" t="s">
        <v>329</v>
      </c>
    </row>
    <row r="18">
      <c r="A18" s="10">
        <v>18.0</v>
      </c>
      <c r="B18" s="356" t="s">
        <v>330</v>
      </c>
      <c r="C18" s="199"/>
      <c r="D18" s="36" t="s">
        <v>331</v>
      </c>
      <c r="E18" s="36" t="s">
        <v>332</v>
      </c>
      <c r="F18" s="36" t="s">
        <v>333</v>
      </c>
      <c r="G18" s="199"/>
      <c r="H18" s="36" t="s">
        <v>334</v>
      </c>
      <c r="I18" s="36" t="s">
        <v>335</v>
      </c>
    </row>
    <row r="19">
      <c r="A19" s="10">
        <v>19.0</v>
      </c>
      <c r="B19" s="356" t="s">
        <v>336</v>
      </c>
      <c r="C19" s="199"/>
      <c r="D19" s="36" t="s">
        <v>337</v>
      </c>
      <c r="E19" s="36" t="s">
        <v>338</v>
      </c>
      <c r="F19" s="36" t="s">
        <v>339</v>
      </c>
      <c r="G19" s="199"/>
      <c r="H19" s="36" t="s">
        <v>340</v>
      </c>
      <c r="I19" s="36" t="s">
        <v>341</v>
      </c>
    </row>
    <row r="20">
      <c r="A20" s="10">
        <v>20.0</v>
      </c>
      <c r="B20" s="356" t="s">
        <v>342</v>
      </c>
      <c r="C20" s="199"/>
      <c r="D20" s="36" t="s">
        <v>343</v>
      </c>
      <c r="E20" s="36" t="s">
        <v>344</v>
      </c>
      <c r="F20" s="36" t="s">
        <v>345</v>
      </c>
      <c r="G20" s="36" t="s">
        <v>346</v>
      </c>
      <c r="H20" s="36" t="s">
        <v>347</v>
      </c>
      <c r="I20" s="36" t="s">
        <v>348</v>
      </c>
    </row>
    <row r="21">
      <c r="A21" s="10">
        <v>21.0</v>
      </c>
      <c r="B21" s="356" t="s">
        <v>349</v>
      </c>
      <c r="C21" s="36" t="s">
        <v>350</v>
      </c>
      <c r="D21" s="36" t="s">
        <v>351</v>
      </c>
      <c r="E21" s="36" t="s">
        <v>352</v>
      </c>
      <c r="F21" s="36" t="s">
        <v>353</v>
      </c>
      <c r="G21" s="199"/>
      <c r="H21" s="36" t="s">
        <v>354</v>
      </c>
      <c r="I21" s="36" t="s">
        <v>355</v>
      </c>
    </row>
    <row r="22">
      <c r="A22" s="14">
        <v>22.0</v>
      </c>
      <c r="B22" s="356" t="s">
        <v>356</v>
      </c>
      <c r="C22" s="199"/>
      <c r="D22" s="36" t="s">
        <v>357</v>
      </c>
      <c r="E22" s="36" t="s">
        <v>358</v>
      </c>
      <c r="F22" s="36" t="s">
        <v>359</v>
      </c>
      <c r="G22" s="199"/>
      <c r="H22" s="239" t="s">
        <v>360</v>
      </c>
      <c r="I22" s="36" t="s">
        <v>361</v>
      </c>
    </row>
    <row r="23">
      <c r="A23" s="14">
        <v>23.0</v>
      </c>
      <c r="B23" s="356" t="s">
        <v>362</v>
      </c>
      <c r="C23" s="199"/>
      <c r="D23" s="239" t="s">
        <v>363</v>
      </c>
      <c r="E23" s="36" t="s">
        <v>364</v>
      </c>
      <c r="F23" s="36" t="s">
        <v>365</v>
      </c>
      <c r="G23" s="199"/>
      <c r="H23" s="36" t="s">
        <v>366</v>
      </c>
      <c r="I23" s="36" t="s">
        <v>367</v>
      </c>
    </row>
    <row r="24">
      <c r="A24" s="14">
        <v>24.0</v>
      </c>
      <c r="B24" s="356" t="s">
        <v>368</v>
      </c>
      <c r="C24" s="199"/>
      <c r="D24" s="36" t="s">
        <v>369</v>
      </c>
      <c r="E24" s="36" t="s">
        <v>370</v>
      </c>
      <c r="F24" s="36" t="s">
        <v>371</v>
      </c>
      <c r="G24" s="199"/>
      <c r="H24" s="36" t="s">
        <v>372</v>
      </c>
      <c r="I24" s="36" t="s">
        <v>373</v>
      </c>
    </row>
    <row r="25">
      <c r="A25" s="14">
        <v>25.0</v>
      </c>
      <c r="B25" s="356" t="s">
        <v>374</v>
      </c>
      <c r="C25" s="199"/>
      <c r="D25" s="36" t="s">
        <v>375</v>
      </c>
      <c r="E25" s="36" t="s">
        <v>376</v>
      </c>
      <c r="F25" s="36" t="s">
        <v>377</v>
      </c>
      <c r="G25" s="199"/>
      <c r="H25" s="36" t="s">
        <v>378</v>
      </c>
      <c r="I25" s="36" t="s">
        <v>379</v>
      </c>
    </row>
    <row r="26">
      <c r="A26" s="14">
        <v>26.0</v>
      </c>
      <c r="B26" s="356" t="s">
        <v>380</v>
      </c>
      <c r="C26" s="199"/>
      <c r="D26" s="36" t="s">
        <v>381</v>
      </c>
      <c r="E26" s="36" t="s">
        <v>382</v>
      </c>
      <c r="F26" s="36" t="s">
        <v>383</v>
      </c>
      <c r="G26" s="199"/>
      <c r="H26" s="36" t="s">
        <v>384</v>
      </c>
      <c r="I26" s="36" t="s">
        <v>385</v>
      </c>
    </row>
    <row r="27">
      <c r="A27" s="14">
        <v>27.0</v>
      </c>
      <c r="B27" s="356" t="s">
        <v>386</v>
      </c>
      <c r="C27" s="199"/>
      <c r="D27" s="36" t="s">
        <v>387</v>
      </c>
      <c r="E27" s="36" t="s">
        <v>388</v>
      </c>
      <c r="F27" s="36" t="s">
        <v>389</v>
      </c>
      <c r="G27" s="199"/>
      <c r="H27" s="36" t="s">
        <v>390</v>
      </c>
      <c r="I27" s="36" t="s">
        <v>391</v>
      </c>
    </row>
    <row r="28">
      <c r="A28" s="14">
        <v>28.0</v>
      </c>
      <c r="B28" s="356" t="s">
        <v>392</v>
      </c>
      <c r="C28" s="199"/>
      <c r="D28" s="36" t="s">
        <v>393</v>
      </c>
      <c r="E28" s="36" t="s">
        <v>394</v>
      </c>
      <c r="F28" s="36" t="s">
        <v>395</v>
      </c>
      <c r="G28" s="199"/>
      <c r="H28" s="36" t="s">
        <v>396</v>
      </c>
      <c r="I28" s="36" t="s">
        <v>397</v>
      </c>
    </row>
    <row r="29">
      <c r="A29" s="14">
        <v>29.0</v>
      </c>
      <c r="B29" s="356" t="s">
        <v>398</v>
      </c>
      <c r="C29" s="199"/>
      <c r="D29" s="36" t="s">
        <v>399</v>
      </c>
      <c r="E29" s="36" t="s">
        <v>400</v>
      </c>
      <c r="F29" s="36" t="s">
        <v>401</v>
      </c>
      <c r="G29" s="199"/>
      <c r="H29" s="36" t="s">
        <v>402</v>
      </c>
      <c r="I29" s="36" t="s">
        <v>403</v>
      </c>
    </row>
    <row r="30">
      <c r="A30" s="14">
        <v>31.0</v>
      </c>
      <c r="B30" s="356" t="s">
        <v>404</v>
      </c>
      <c r="C30" s="199"/>
      <c r="D30" s="36" t="s">
        <v>405</v>
      </c>
      <c r="E30" s="36" t="s">
        <v>406</v>
      </c>
      <c r="F30" s="36" t="s">
        <v>407</v>
      </c>
      <c r="G30" s="199"/>
      <c r="H30" s="36" t="s">
        <v>408</v>
      </c>
      <c r="I30" s="36" t="s">
        <v>409</v>
      </c>
    </row>
    <row r="31">
      <c r="A31" s="14">
        <v>32.0</v>
      </c>
      <c r="B31" s="356" t="s">
        <v>410</v>
      </c>
      <c r="C31" s="199"/>
      <c r="D31" s="36" t="s">
        <v>411</v>
      </c>
      <c r="E31" s="36" t="s">
        <v>412</v>
      </c>
      <c r="F31" s="36" t="s">
        <v>413</v>
      </c>
      <c r="G31" s="199"/>
      <c r="H31" s="36" t="s">
        <v>414</v>
      </c>
      <c r="I31" s="36" t="s">
        <v>415</v>
      </c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8" t="s">
        <v>416</v>
      </c>
      <c r="B1" s="243"/>
      <c r="C1" s="243"/>
      <c r="D1" s="243"/>
      <c r="E1" s="244"/>
      <c r="F1" s="36" t="s">
        <v>417</v>
      </c>
      <c r="G1" s="358" t="s">
        <v>418</v>
      </c>
      <c r="H1" s="243"/>
      <c r="I1" s="243"/>
      <c r="J1" s="243"/>
      <c r="K1" s="244"/>
      <c r="L1" s="36" t="s">
        <v>417</v>
      </c>
      <c r="M1" s="358" t="s">
        <v>419</v>
      </c>
      <c r="N1" s="243"/>
      <c r="O1" s="243"/>
      <c r="P1" s="243"/>
      <c r="Q1" s="244"/>
      <c r="S1" s="358" t="s">
        <v>420</v>
      </c>
      <c r="T1" s="243"/>
      <c r="U1" s="243"/>
      <c r="V1" s="243"/>
      <c r="W1" s="244"/>
    </row>
    <row r="2">
      <c r="A2" s="359" t="s">
        <v>2</v>
      </c>
      <c r="B2" s="360" t="s">
        <v>221</v>
      </c>
      <c r="C2" s="360" t="s">
        <v>222</v>
      </c>
      <c r="D2" s="360" t="s">
        <v>223</v>
      </c>
      <c r="E2" s="360" t="s">
        <v>224</v>
      </c>
      <c r="G2" s="359" t="s">
        <v>2</v>
      </c>
      <c r="H2" s="360" t="s">
        <v>225</v>
      </c>
      <c r="I2" s="360" t="s">
        <v>226</v>
      </c>
      <c r="J2" s="360" t="s">
        <v>227</v>
      </c>
      <c r="K2" s="360" t="s">
        <v>228</v>
      </c>
      <c r="M2" s="359" t="s">
        <v>2</v>
      </c>
      <c r="N2" s="360" t="s">
        <v>221</v>
      </c>
      <c r="O2" s="360" t="s">
        <v>222</v>
      </c>
      <c r="P2" s="360" t="s">
        <v>223</v>
      </c>
      <c r="Q2" s="360" t="s">
        <v>224</v>
      </c>
      <c r="S2" s="359" t="s">
        <v>2</v>
      </c>
      <c r="T2" s="360" t="s">
        <v>225</v>
      </c>
      <c r="U2" s="360" t="s">
        <v>226</v>
      </c>
      <c r="V2" s="360" t="s">
        <v>227</v>
      </c>
      <c r="W2" s="360" t="s">
        <v>228</v>
      </c>
    </row>
    <row r="3">
      <c r="A3" s="361">
        <v>22.0</v>
      </c>
      <c r="B3" s="362" t="s">
        <v>356</v>
      </c>
      <c r="C3" s="363"/>
      <c r="D3" s="364" t="s">
        <v>357</v>
      </c>
      <c r="E3" s="364" t="s">
        <v>358</v>
      </c>
      <c r="G3" s="361">
        <v>22.0</v>
      </c>
      <c r="H3" s="364" t="s">
        <v>359</v>
      </c>
      <c r="I3" s="363"/>
      <c r="J3" s="365" t="s">
        <v>360</v>
      </c>
      <c r="K3" s="364" t="s">
        <v>361</v>
      </c>
      <c r="M3" s="361">
        <v>22.0</v>
      </c>
      <c r="N3" s="362">
        <f t="shared" ref="N3:N12" si="3">VALUE(LEFT(B3,2))*60 + VALUE(MID(B3,4,5))</f>
        <v>305.94</v>
      </c>
      <c r="O3" s="362"/>
      <c r="P3" s="362">
        <f t="shared" ref="P3:Q3" si="1">VALUE(LEFT(D3,2))*60 + VALUE(MID(D3,4,5))</f>
        <v>305.44</v>
      </c>
      <c r="Q3" s="362">
        <f t="shared" si="1"/>
        <v>39.62</v>
      </c>
      <c r="S3" s="361">
        <v>22.0</v>
      </c>
      <c r="T3" s="364">
        <f t="shared" ref="T3:T12" si="5">VALUE(LEFT(H3,2))*60 + VALUE(MID(H3,4,5))</f>
        <v>433.38</v>
      </c>
      <c r="U3" s="364"/>
      <c r="V3" s="364">
        <f t="shared" ref="V3:W3" si="2">VALUE(LEFT(J3,2))*60 + VALUE(MID(J3,4,5))</f>
        <v>484.8</v>
      </c>
      <c r="W3" s="364">
        <f t="shared" si="2"/>
        <v>70.79</v>
      </c>
    </row>
    <row r="4">
      <c r="A4" s="361">
        <v>23.0</v>
      </c>
      <c r="B4" s="362" t="s">
        <v>362</v>
      </c>
      <c r="C4" s="363"/>
      <c r="D4" s="365" t="s">
        <v>363</v>
      </c>
      <c r="E4" s="364" t="s">
        <v>364</v>
      </c>
      <c r="G4" s="361">
        <v>23.0</v>
      </c>
      <c r="H4" s="364" t="s">
        <v>365</v>
      </c>
      <c r="I4" s="363"/>
      <c r="J4" s="364" t="s">
        <v>366</v>
      </c>
      <c r="K4" s="364" t="s">
        <v>367</v>
      </c>
      <c r="M4" s="361">
        <v>23.0</v>
      </c>
      <c r="N4" s="362">
        <f t="shared" si="3"/>
        <v>469.6</v>
      </c>
      <c r="O4" s="363"/>
      <c r="P4" s="362">
        <f t="shared" ref="P4:Q4" si="4">VALUE(LEFT(D4,2))*60 + VALUE(MID(D4,4,5))</f>
        <v>340.26</v>
      </c>
      <c r="Q4" s="362">
        <f t="shared" si="4"/>
        <v>53.14</v>
      </c>
      <c r="S4" s="361">
        <v>23.0</v>
      </c>
      <c r="T4" s="364">
        <f t="shared" si="5"/>
        <v>667.86</v>
      </c>
      <c r="U4" s="363"/>
      <c r="V4" s="364">
        <f t="shared" ref="V4:W4" si="6">VALUE(LEFT(J4,2))*60 + VALUE(MID(J4,4,5))</f>
        <v>371.11</v>
      </c>
      <c r="W4" s="364">
        <f t="shared" si="6"/>
        <v>109.77</v>
      </c>
    </row>
    <row r="5">
      <c r="A5" s="361">
        <v>24.0</v>
      </c>
      <c r="B5" s="362" t="s">
        <v>368</v>
      </c>
      <c r="C5" s="363"/>
      <c r="D5" s="364" t="s">
        <v>369</v>
      </c>
      <c r="E5" s="364" t="s">
        <v>370</v>
      </c>
      <c r="G5" s="361">
        <v>24.0</v>
      </c>
      <c r="H5" s="364" t="s">
        <v>371</v>
      </c>
      <c r="I5" s="363"/>
      <c r="J5" s="364" t="s">
        <v>372</v>
      </c>
      <c r="K5" s="364" t="s">
        <v>373</v>
      </c>
      <c r="M5" s="361">
        <v>24.0</v>
      </c>
      <c r="N5" s="362">
        <f t="shared" si="3"/>
        <v>511.56</v>
      </c>
      <c r="O5" s="363"/>
      <c r="P5" s="362">
        <f t="shared" ref="P5:Q5" si="7">VALUE(LEFT(D5,2))*60 + VALUE(MID(D5,4,5))</f>
        <v>273.75</v>
      </c>
      <c r="Q5" s="362">
        <f t="shared" si="7"/>
        <v>45.63</v>
      </c>
      <c r="S5" s="361">
        <v>24.0</v>
      </c>
      <c r="T5" s="364">
        <f t="shared" si="5"/>
        <v>526.11</v>
      </c>
      <c r="U5" s="363"/>
      <c r="V5" s="364">
        <f t="shared" ref="V5:W5" si="8">VALUE(LEFT(J5,2))*60 + VALUE(MID(J5,4,5))</f>
        <v>324.48</v>
      </c>
      <c r="W5" s="364">
        <f t="shared" si="8"/>
        <v>198.49</v>
      </c>
    </row>
    <row r="6">
      <c r="A6" s="361">
        <v>25.0</v>
      </c>
      <c r="B6" s="362" t="s">
        <v>374</v>
      </c>
      <c r="C6" s="363"/>
      <c r="D6" s="364" t="s">
        <v>375</v>
      </c>
      <c r="E6" s="364" t="s">
        <v>376</v>
      </c>
      <c r="G6" s="361">
        <v>25.0</v>
      </c>
      <c r="H6" s="364" t="s">
        <v>377</v>
      </c>
      <c r="I6" s="363"/>
      <c r="J6" s="364" t="s">
        <v>378</v>
      </c>
      <c r="K6" s="364" t="s">
        <v>379</v>
      </c>
      <c r="M6" s="361">
        <v>25.0</v>
      </c>
      <c r="N6" s="362">
        <f t="shared" si="3"/>
        <v>339.45</v>
      </c>
      <c r="O6" s="363"/>
      <c r="P6" s="362">
        <f t="shared" ref="P6:Q6" si="9">VALUE(LEFT(D6,2))*60 + VALUE(MID(D6,4,5))</f>
        <v>256.35</v>
      </c>
      <c r="Q6" s="362">
        <f t="shared" si="9"/>
        <v>61.03</v>
      </c>
      <c r="S6" s="361">
        <v>25.0</v>
      </c>
      <c r="T6" s="364">
        <f t="shared" si="5"/>
        <v>261.69</v>
      </c>
      <c r="U6" s="363"/>
      <c r="V6" s="364">
        <f t="shared" ref="V6:W6" si="10">VALUE(LEFT(J6,2))*60 + VALUE(MID(J6,4,5))</f>
        <v>225.85</v>
      </c>
      <c r="W6" s="364">
        <f t="shared" si="10"/>
        <v>109.75</v>
      </c>
    </row>
    <row r="7">
      <c r="A7" s="361">
        <v>26.0</v>
      </c>
      <c r="B7" s="362" t="s">
        <v>380</v>
      </c>
      <c r="C7" s="363"/>
      <c r="D7" s="364" t="s">
        <v>381</v>
      </c>
      <c r="E7" s="364" t="s">
        <v>382</v>
      </c>
      <c r="G7" s="361">
        <v>26.0</v>
      </c>
      <c r="H7" s="364" t="s">
        <v>383</v>
      </c>
      <c r="I7" s="363"/>
      <c r="J7" s="364" t="s">
        <v>384</v>
      </c>
      <c r="K7" s="364" t="s">
        <v>385</v>
      </c>
      <c r="M7" s="361">
        <v>26.0</v>
      </c>
      <c r="N7" s="362">
        <f t="shared" si="3"/>
        <v>583.02</v>
      </c>
      <c r="O7" s="363"/>
      <c r="P7" s="362">
        <f t="shared" ref="P7:Q7" si="11">VALUE(LEFT(D7,2))*60 + VALUE(MID(D7,4,5))</f>
        <v>347.91</v>
      </c>
      <c r="Q7" s="362">
        <f t="shared" si="11"/>
        <v>60.64</v>
      </c>
      <c r="S7" s="361">
        <v>26.0</v>
      </c>
      <c r="T7" s="364">
        <f t="shared" si="5"/>
        <v>683.88</v>
      </c>
      <c r="U7" s="363"/>
      <c r="V7" s="364">
        <f t="shared" ref="V7:W7" si="12">VALUE(LEFT(J7,2))*60 + VALUE(MID(J7,4,5))</f>
        <v>457.47</v>
      </c>
      <c r="W7" s="364">
        <f t="shared" si="12"/>
        <v>181.22</v>
      </c>
    </row>
    <row r="8">
      <c r="A8" s="361">
        <v>27.0</v>
      </c>
      <c r="B8" s="362" t="s">
        <v>386</v>
      </c>
      <c r="C8" s="363"/>
      <c r="D8" s="364" t="s">
        <v>387</v>
      </c>
      <c r="E8" s="364" t="s">
        <v>388</v>
      </c>
      <c r="G8" s="361">
        <v>27.0</v>
      </c>
      <c r="H8" s="364" t="s">
        <v>389</v>
      </c>
      <c r="I8" s="363"/>
      <c r="J8" s="364" t="s">
        <v>390</v>
      </c>
      <c r="K8" s="364" t="s">
        <v>391</v>
      </c>
      <c r="M8" s="361">
        <v>27.0</v>
      </c>
      <c r="N8" s="362">
        <f t="shared" si="3"/>
        <v>816.6</v>
      </c>
      <c r="O8" s="363"/>
      <c r="P8" s="362">
        <f t="shared" ref="P8:Q8" si="13">VALUE(LEFT(D8,2))*60 + VALUE(MID(D8,4,5))</f>
        <v>501.47</v>
      </c>
      <c r="Q8" s="362">
        <f t="shared" si="13"/>
        <v>44.42</v>
      </c>
      <c r="S8" s="361">
        <v>27.0</v>
      </c>
      <c r="T8" s="364">
        <f t="shared" si="5"/>
        <v>938.68</v>
      </c>
      <c r="U8" s="363"/>
      <c r="V8" s="364">
        <f t="shared" ref="V8:W8" si="14">VALUE(LEFT(J8,2))*60 + VALUE(MID(J8,4,5))</f>
        <v>439.91</v>
      </c>
      <c r="W8" s="364">
        <f t="shared" si="14"/>
        <v>141.62</v>
      </c>
    </row>
    <row r="9">
      <c r="A9" s="361">
        <v>28.0</v>
      </c>
      <c r="B9" s="362" t="s">
        <v>392</v>
      </c>
      <c r="C9" s="363"/>
      <c r="D9" s="364" t="s">
        <v>393</v>
      </c>
      <c r="E9" s="364" t="s">
        <v>394</v>
      </c>
      <c r="G9" s="361">
        <v>28.0</v>
      </c>
      <c r="H9" s="364" t="s">
        <v>395</v>
      </c>
      <c r="I9" s="363"/>
      <c r="J9" s="364" t="s">
        <v>396</v>
      </c>
      <c r="K9" s="364" t="s">
        <v>397</v>
      </c>
      <c r="M9" s="361">
        <v>28.0</v>
      </c>
      <c r="N9" s="362">
        <f t="shared" si="3"/>
        <v>324.07</v>
      </c>
      <c r="O9" s="363"/>
      <c r="P9" s="362">
        <f t="shared" ref="P9:Q9" si="15">VALUE(LEFT(D9,2))*60 + VALUE(MID(D9,4,5))</f>
        <v>239.72</v>
      </c>
      <c r="Q9" s="362">
        <f t="shared" si="15"/>
        <v>64.31</v>
      </c>
      <c r="S9" s="361">
        <v>28.0</v>
      </c>
      <c r="T9" s="364">
        <f t="shared" si="5"/>
        <v>677.46</v>
      </c>
      <c r="U9" s="363"/>
      <c r="V9" s="364">
        <f t="shared" ref="V9:W9" si="16">VALUE(LEFT(J9,2))*60 + VALUE(MID(J9,4,5))</f>
        <v>316.97</v>
      </c>
      <c r="W9" s="364">
        <f t="shared" si="16"/>
        <v>75.36</v>
      </c>
    </row>
    <row r="10">
      <c r="A10" s="361">
        <v>29.0</v>
      </c>
      <c r="B10" s="362" t="s">
        <v>398</v>
      </c>
      <c r="C10" s="363"/>
      <c r="D10" s="364" t="s">
        <v>399</v>
      </c>
      <c r="E10" s="364" t="s">
        <v>400</v>
      </c>
      <c r="G10" s="361">
        <v>29.0</v>
      </c>
      <c r="H10" s="364" t="s">
        <v>401</v>
      </c>
      <c r="I10" s="363"/>
      <c r="J10" s="364" t="s">
        <v>402</v>
      </c>
      <c r="K10" s="364" t="s">
        <v>403</v>
      </c>
      <c r="M10" s="361">
        <v>29.0</v>
      </c>
      <c r="N10" s="362">
        <f t="shared" si="3"/>
        <v>510.56</v>
      </c>
      <c r="O10" s="363"/>
      <c r="P10" s="362">
        <f t="shared" ref="P10:Q10" si="17">VALUE(LEFT(D10,2))*60 + VALUE(MID(D10,4,5))</f>
        <v>197.66</v>
      </c>
      <c r="Q10" s="362">
        <f t="shared" si="17"/>
        <v>57.83</v>
      </c>
      <c r="S10" s="361">
        <v>29.0</v>
      </c>
      <c r="T10" s="364">
        <f t="shared" si="5"/>
        <v>382.16</v>
      </c>
      <c r="U10" s="363"/>
      <c r="V10" s="364">
        <f t="shared" ref="V10:W10" si="18">VALUE(LEFT(J10,2))*60 + VALUE(MID(J10,4,5))</f>
        <v>327.89</v>
      </c>
      <c r="W10" s="364">
        <f t="shared" si="18"/>
        <v>146.25</v>
      </c>
    </row>
    <row r="11">
      <c r="A11" s="361">
        <v>31.0</v>
      </c>
      <c r="B11" s="362" t="s">
        <v>404</v>
      </c>
      <c r="C11" s="363"/>
      <c r="D11" s="364" t="s">
        <v>405</v>
      </c>
      <c r="E11" s="364" t="s">
        <v>406</v>
      </c>
      <c r="G11" s="361">
        <v>31.0</v>
      </c>
      <c r="H11" s="364" t="s">
        <v>407</v>
      </c>
      <c r="I11" s="363"/>
      <c r="J11" s="364" t="s">
        <v>408</v>
      </c>
      <c r="K11" s="364" t="s">
        <v>409</v>
      </c>
      <c r="M11" s="361">
        <v>31.0</v>
      </c>
      <c r="N11" s="362">
        <f t="shared" si="3"/>
        <v>543.95</v>
      </c>
      <c r="O11" s="363"/>
      <c r="P11" s="362">
        <f t="shared" ref="P11:Q11" si="19">VALUE(LEFT(D11,2))*60 + VALUE(MID(D11,4,5))</f>
        <v>390.81</v>
      </c>
      <c r="Q11" s="362">
        <f t="shared" si="19"/>
        <v>43.16</v>
      </c>
      <c r="S11" s="361">
        <v>31.0</v>
      </c>
      <c r="T11" s="364">
        <f t="shared" si="5"/>
        <v>479.95</v>
      </c>
      <c r="U11" s="363"/>
      <c r="V11" s="364">
        <f t="shared" ref="V11:W11" si="20">VALUE(LEFT(J11,2))*60 + VALUE(MID(J11,4,5))</f>
        <v>466.72</v>
      </c>
      <c r="W11" s="364">
        <f t="shared" si="20"/>
        <v>205.63</v>
      </c>
    </row>
    <row r="12">
      <c r="A12" s="361">
        <v>32.0</v>
      </c>
      <c r="B12" s="362" t="s">
        <v>410</v>
      </c>
      <c r="C12" s="363"/>
      <c r="D12" s="364" t="s">
        <v>411</v>
      </c>
      <c r="E12" s="364" t="s">
        <v>412</v>
      </c>
      <c r="G12" s="361">
        <v>32.0</v>
      </c>
      <c r="H12" s="364" t="s">
        <v>413</v>
      </c>
      <c r="I12" s="363"/>
      <c r="J12" s="364" t="s">
        <v>414</v>
      </c>
      <c r="K12" s="364" t="s">
        <v>415</v>
      </c>
      <c r="M12" s="361">
        <v>32.0</v>
      </c>
      <c r="N12" s="362">
        <f t="shared" si="3"/>
        <v>562.03</v>
      </c>
      <c r="O12" s="363"/>
      <c r="P12" s="362">
        <f t="shared" ref="P12:Q12" si="21">VALUE(LEFT(D12,2))*60 + VALUE(MID(D12,4,5))</f>
        <v>398.78</v>
      </c>
      <c r="Q12" s="362">
        <f t="shared" si="21"/>
        <v>49.15</v>
      </c>
      <c r="S12" s="361">
        <v>32.0</v>
      </c>
      <c r="T12" s="364">
        <f t="shared" si="5"/>
        <v>671.68</v>
      </c>
      <c r="U12" s="363"/>
      <c r="V12" s="364">
        <f t="shared" ref="V12:W12" si="22">VALUE(LEFT(J12,2))*60 + VALUE(MID(J12,4,5))</f>
        <v>340.23</v>
      </c>
      <c r="W12" s="364">
        <f t="shared" si="22"/>
        <v>80.9</v>
      </c>
    </row>
    <row r="13">
      <c r="A13" s="366" t="s">
        <v>421</v>
      </c>
      <c r="B13" s="367" t="str">
        <f>INT(N13/60)&amp;":"&amp;TEXT(MOD(N13,60),"00.00")</f>
        <v>8:16.68</v>
      </c>
      <c r="C13" s="367"/>
      <c r="D13" s="367" t="str">
        <f t="shared" ref="D13:E13" si="23">INT(P13/60)&amp;":"&amp;TEXT(MOD(P13,60),"00.00")</f>
        <v>5:25.22</v>
      </c>
      <c r="E13" s="367" t="str">
        <f t="shared" si="23"/>
        <v>0:51.89</v>
      </c>
      <c r="G13" s="366" t="s">
        <v>421</v>
      </c>
      <c r="H13" s="367" t="str">
        <f>INT(T13/60)&amp;":"&amp;TEXT(MOD(T13,60),"00.00")</f>
        <v>9:32.29</v>
      </c>
      <c r="I13" s="367"/>
      <c r="J13" s="367" t="str">
        <f t="shared" ref="J13:K13" si="24">INT(V13/60)&amp;":"&amp;TEXT(MOD(V13,60),"00.00")</f>
        <v>6:15.54</v>
      </c>
      <c r="K13" s="367" t="str">
        <f t="shared" si="24"/>
        <v>2:11.98</v>
      </c>
      <c r="M13" s="366" t="s">
        <v>421</v>
      </c>
      <c r="N13" s="368">
        <f>AVERAGE(N3:N12)</f>
        <v>496.678</v>
      </c>
      <c r="O13" s="367"/>
      <c r="P13" s="368">
        <f t="shared" ref="P13:Q13" si="25">AVERAGE(P3:P12)</f>
        <v>325.215</v>
      </c>
      <c r="Q13" s="368">
        <f t="shared" si="25"/>
        <v>51.893</v>
      </c>
      <c r="S13" s="366" t="s">
        <v>421</v>
      </c>
      <c r="T13" s="364">
        <f>AVERAGE(T3:T12)</f>
        <v>572.285</v>
      </c>
      <c r="U13" s="364"/>
      <c r="V13" s="364">
        <f t="shared" ref="V13:W13" si="26">AVERAGE(V3:V12)</f>
        <v>375.543</v>
      </c>
      <c r="W13" s="364">
        <f t="shared" si="26"/>
        <v>131.978</v>
      </c>
    </row>
    <row r="16">
      <c r="A16" s="369" t="s">
        <v>37</v>
      </c>
      <c r="B16" s="243"/>
      <c r="C16" s="243"/>
      <c r="D16" s="243"/>
      <c r="E16" s="244"/>
      <c r="F16" s="36" t="s">
        <v>417</v>
      </c>
      <c r="G16" s="370" t="s">
        <v>40</v>
      </c>
      <c r="H16" s="243"/>
      <c r="I16" s="243"/>
      <c r="J16" s="243"/>
      <c r="K16" s="244"/>
      <c r="L16" s="36" t="s">
        <v>417</v>
      </c>
      <c r="M16" s="369" t="s">
        <v>422</v>
      </c>
      <c r="N16" s="243"/>
      <c r="O16" s="243"/>
      <c r="P16" s="243"/>
      <c r="Q16" s="244"/>
      <c r="S16" s="370" t="s">
        <v>423</v>
      </c>
      <c r="T16" s="243"/>
      <c r="U16" s="243"/>
      <c r="V16" s="243"/>
      <c r="W16" s="244"/>
    </row>
    <row r="17">
      <c r="A17" s="359" t="s">
        <v>2</v>
      </c>
      <c r="B17" s="360" t="s">
        <v>221</v>
      </c>
      <c r="C17" s="360" t="s">
        <v>222</v>
      </c>
      <c r="D17" s="360" t="s">
        <v>223</v>
      </c>
      <c r="E17" s="360" t="s">
        <v>224</v>
      </c>
      <c r="G17" s="359" t="s">
        <v>2</v>
      </c>
      <c r="H17" s="360" t="s">
        <v>221</v>
      </c>
      <c r="I17" s="360" t="s">
        <v>222</v>
      </c>
      <c r="J17" s="360" t="s">
        <v>223</v>
      </c>
      <c r="K17" s="360" t="s">
        <v>224</v>
      </c>
      <c r="M17" s="359" t="s">
        <v>2</v>
      </c>
      <c r="N17" s="360" t="s">
        <v>221</v>
      </c>
      <c r="O17" s="360" t="s">
        <v>222</v>
      </c>
      <c r="P17" s="360" t="s">
        <v>223</v>
      </c>
      <c r="Q17" s="360" t="s">
        <v>224</v>
      </c>
      <c r="S17" s="359" t="s">
        <v>2</v>
      </c>
      <c r="T17" s="360" t="s">
        <v>221</v>
      </c>
      <c r="U17" s="360" t="s">
        <v>222</v>
      </c>
      <c r="V17" s="360" t="s">
        <v>223</v>
      </c>
      <c r="W17" s="360" t="s">
        <v>224</v>
      </c>
    </row>
    <row r="18">
      <c r="A18" s="364">
        <v>2.0</v>
      </c>
      <c r="B18" s="362" t="s">
        <v>235</v>
      </c>
      <c r="C18" s="363"/>
      <c r="D18" s="364" t="s">
        <v>236</v>
      </c>
      <c r="E18" s="364" t="s">
        <v>237</v>
      </c>
      <c r="G18" s="371">
        <v>1.0</v>
      </c>
      <c r="H18" s="362" t="s">
        <v>229</v>
      </c>
      <c r="I18" s="363"/>
      <c r="J18" s="364" t="s">
        <v>230</v>
      </c>
      <c r="K18" s="364" t="s">
        <v>231</v>
      </c>
      <c r="M18" s="364">
        <v>2.0</v>
      </c>
      <c r="N18" s="362">
        <f t="shared" ref="N18:N27" si="29">VALUE(LEFT(B18,2))*60 + VALUE(MID(B18,4,5))</f>
        <v>469.63</v>
      </c>
      <c r="O18" s="363"/>
      <c r="P18" s="362">
        <f t="shared" ref="P18:Q18" si="27">VALUE(LEFT(D18,2))*60 + VALUE(MID(D18,4,5))</f>
        <v>430.14</v>
      </c>
      <c r="Q18" s="362">
        <f t="shared" si="27"/>
        <v>142.26</v>
      </c>
      <c r="S18" s="371">
        <v>1.0</v>
      </c>
      <c r="T18" s="362">
        <f t="shared" ref="T18:T27" si="31">VALUE(LEFT(H18,2))*60 + VALUE(MID(H18,4,5))</f>
        <v>238.84</v>
      </c>
      <c r="U18" s="363"/>
      <c r="V18" s="362">
        <f t="shared" ref="V18:W18" si="28">VALUE(LEFT(J18,2))*60 + VALUE(MID(J18,4,5))</f>
        <v>218.58</v>
      </c>
      <c r="W18" s="362">
        <f t="shared" si="28"/>
        <v>32.24</v>
      </c>
    </row>
    <row r="19">
      <c r="A19" s="364">
        <v>6.0</v>
      </c>
      <c r="B19" s="362" t="s">
        <v>256</v>
      </c>
      <c r="C19" s="363"/>
      <c r="D19" s="364" t="s">
        <v>257</v>
      </c>
      <c r="E19" s="364" t="s">
        <v>258</v>
      </c>
      <c r="G19" s="371">
        <v>4.0</v>
      </c>
      <c r="H19" s="362" t="s">
        <v>242</v>
      </c>
      <c r="I19" s="364" t="s">
        <v>243</v>
      </c>
      <c r="J19" s="364" t="s">
        <v>244</v>
      </c>
      <c r="K19" s="364" t="s">
        <v>245</v>
      </c>
      <c r="M19" s="364">
        <v>6.0</v>
      </c>
      <c r="N19" s="362">
        <f t="shared" si="29"/>
        <v>286.25</v>
      </c>
      <c r="O19" s="363"/>
      <c r="P19" s="362">
        <f t="shared" ref="P19:Q19" si="30">VALUE(LEFT(D19,2))*60 + VALUE(MID(D19,4,5))</f>
        <v>162.24</v>
      </c>
      <c r="Q19" s="362">
        <f t="shared" si="30"/>
        <v>33.32</v>
      </c>
      <c r="S19" s="371">
        <v>4.0</v>
      </c>
      <c r="T19" s="362">
        <f t="shared" si="31"/>
        <v>641.35</v>
      </c>
      <c r="U19" s="362">
        <f t="shared" ref="U19:W19" si="32">VALUE(LEFT(I19,2))*60 + VALUE(MID(I19,4,5))</f>
        <v>31.03</v>
      </c>
      <c r="V19" s="362">
        <f t="shared" si="32"/>
        <v>345.04</v>
      </c>
      <c r="W19" s="362">
        <f t="shared" si="32"/>
        <v>62.32</v>
      </c>
    </row>
    <row r="20">
      <c r="A20" s="364">
        <v>7.0</v>
      </c>
      <c r="B20" s="372" t="s">
        <v>262</v>
      </c>
      <c r="C20" s="363"/>
      <c r="D20" s="364" t="s">
        <v>263</v>
      </c>
      <c r="E20" s="364" t="s">
        <v>264</v>
      </c>
      <c r="G20" s="371">
        <v>5.0</v>
      </c>
      <c r="H20" s="362" t="s">
        <v>249</v>
      </c>
      <c r="I20" s="363"/>
      <c r="J20" s="364" t="s">
        <v>250</v>
      </c>
      <c r="K20" s="364" t="s">
        <v>251</v>
      </c>
      <c r="M20" s="364">
        <v>7.0</v>
      </c>
      <c r="N20" s="362">
        <f t="shared" si="29"/>
        <v>426.56</v>
      </c>
      <c r="O20" s="363"/>
      <c r="P20" s="362">
        <f t="shared" ref="P20:Q20" si="33">VALUE(LEFT(D20,2))*60 + VALUE(MID(D20,4,5))</f>
        <v>242.82</v>
      </c>
      <c r="Q20" s="362">
        <f t="shared" si="33"/>
        <v>85.45</v>
      </c>
      <c r="S20" s="371">
        <v>5.0</v>
      </c>
      <c r="T20" s="362">
        <f t="shared" si="31"/>
        <v>485.36</v>
      </c>
      <c r="U20" s="363"/>
      <c r="V20" s="362">
        <f t="shared" ref="V20:W20" si="34">VALUE(LEFT(J20,2))*60 + VALUE(MID(J20,4,5))</f>
        <v>202.68</v>
      </c>
      <c r="W20" s="362">
        <f t="shared" si="34"/>
        <v>41.1</v>
      </c>
    </row>
    <row r="21">
      <c r="A21" s="371">
        <v>10.0</v>
      </c>
      <c r="B21" s="362" t="s">
        <v>280</v>
      </c>
      <c r="C21" s="363"/>
      <c r="D21" s="364" t="s">
        <v>281</v>
      </c>
      <c r="E21" s="364" t="s">
        <v>282</v>
      </c>
      <c r="G21" s="373">
        <v>8.0</v>
      </c>
      <c r="H21" s="374" t="s">
        <v>268</v>
      </c>
      <c r="I21" s="375"/>
      <c r="J21" s="376" t="s">
        <v>269</v>
      </c>
      <c r="K21" s="376" t="s">
        <v>270</v>
      </c>
      <c r="M21" s="371">
        <v>10.0</v>
      </c>
      <c r="N21" s="362">
        <f t="shared" si="29"/>
        <v>452.18</v>
      </c>
      <c r="O21" s="363"/>
      <c r="P21" s="362">
        <f t="shared" ref="P21:Q21" si="35">VALUE(LEFT(D21,2))*60 + VALUE(MID(D21,4,5))</f>
        <v>244.72</v>
      </c>
      <c r="Q21" s="362">
        <f t="shared" si="35"/>
        <v>52.69</v>
      </c>
      <c r="S21" s="371">
        <v>8.0</v>
      </c>
      <c r="T21" s="362">
        <f t="shared" si="31"/>
        <v>470.96</v>
      </c>
      <c r="U21" s="363"/>
      <c r="V21" s="362">
        <f t="shared" ref="V21:W21" si="36">VALUE(LEFT(J21,2))*60 + VALUE(MID(J21,4,5))</f>
        <v>477.24</v>
      </c>
      <c r="W21" s="362">
        <f t="shared" si="36"/>
        <v>52.22</v>
      </c>
    </row>
    <row r="22">
      <c r="A22" s="371">
        <v>11.0</v>
      </c>
      <c r="B22" s="362" t="s">
        <v>286</v>
      </c>
      <c r="C22" s="363"/>
      <c r="D22" s="364" t="s">
        <v>287</v>
      </c>
      <c r="E22" s="364" t="s">
        <v>288</v>
      </c>
      <c r="G22" s="371">
        <v>9.0</v>
      </c>
      <c r="H22" s="362" t="s">
        <v>274</v>
      </c>
      <c r="I22" s="363"/>
      <c r="J22" s="364" t="s">
        <v>275</v>
      </c>
      <c r="K22" s="364" t="s">
        <v>276</v>
      </c>
      <c r="M22" s="371">
        <v>11.0</v>
      </c>
      <c r="N22" s="362">
        <f t="shared" si="29"/>
        <v>627.38</v>
      </c>
      <c r="O22" s="363"/>
      <c r="P22" s="362">
        <f t="shared" ref="P22:Q22" si="37">VALUE(LEFT(D22,2))*60 + VALUE(MID(D22,4,5))</f>
        <v>218.79</v>
      </c>
      <c r="Q22" s="362">
        <f t="shared" si="37"/>
        <v>56.96</v>
      </c>
      <c r="S22" s="371">
        <v>9.0</v>
      </c>
      <c r="T22" s="362">
        <f t="shared" si="31"/>
        <v>486.58</v>
      </c>
      <c r="U22" s="363"/>
      <c r="V22" s="362">
        <f t="shared" ref="V22:W22" si="38">VALUE(LEFT(J22,2))*60 + VALUE(MID(J22,4,5))</f>
        <v>316.55</v>
      </c>
      <c r="W22" s="362">
        <f t="shared" si="38"/>
        <v>38.96</v>
      </c>
    </row>
    <row r="23">
      <c r="A23" s="371">
        <v>14.0</v>
      </c>
      <c r="B23" s="362" t="s">
        <v>304</v>
      </c>
      <c r="C23" s="363"/>
      <c r="D23" s="364" t="s">
        <v>305</v>
      </c>
      <c r="E23" s="364" t="s">
        <v>306</v>
      </c>
      <c r="G23" s="371">
        <v>12.0</v>
      </c>
      <c r="H23" s="362" t="s">
        <v>292</v>
      </c>
      <c r="I23" s="363"/>
      <c r="J23" s="364" t="s">
        <v>293</v>
      </c>
      <c r="K23" s="364" t="s">
        <v>294</v>
      </c>
      <c r="M23" s="371">
        <v>14.0</v>
      </c>
      <c r="N23" s="362">
        <f t="shared" si="29"/>
        <v>516.16</v>
      </c>
      <c r="O23" s="363"/>
      <c r="P23" s="362">
        <f t="shared" ref="P23:Q23" si="39">VALUE(LEFT(D23,2))*60 + VALUE(MID(D23,4,5))</f>
        <v>260.74</v>
      </c>
      <c r="Q23" s="362">
        <f t="shared" si="39"/>
        <v>64.68</v>
      </c>
      <c r="S23" s="371">
        <v>12.0</v>
      </c>
      <c r="T23" s="362">
        <f t="shared" si="31"/>
        <v>365.47</v>
      </c>
      <c r="U23" s="363"/>
      <c r="V23" s="362">
        <f t="shared" ref="V23:W23" si="40">VALUE(LEFT(J23,2))*60 + VALUE(MID(J23,4,5))</f>
        <v>185.08</v>
      </c>
      <c r="W23" s="362">
        <f t="shared" si="40"/>
        <v>44.41</v>
      </c>
    </row>
    <row r="24">
      <c r="A24" s="371">
        <v>15.0</v>
      </c>
      <c r="B24" s="362" t="s">
        <v>311</v>
      </c>
      <c r="C24" s="363"/>
      <c r="D24" s="364" t="s">
        <v>312</v>
      </c>
      <c r="E24" s="364" t="s">
        <v>313</v>
      </c>
      <c r="G24" s="371">
        <v>13.0</v>
      </c>
      <c r="H24" s="362" t="s">
        <v>298</v>
      </c>
      <c r="I24" s="363"/>
      <c r="J24" s="364" t="s">
        <v>299</v>
      </c>
      <c r="K24" s="364" t="s">
        <v>300</v>
      </c>
      <c r="M24" s="371">
        <v>15.0</v>
      </c>
      <c r="N24" s="362">
        <f t="shared" si="29"/>
        <v>433.74</v>
      </c>
      <c r="O24" s="363"/>
      <c r="P24" s="362">
        <f t="shared" ref="P24:Q24" si="41">VALUE(LEFT(D24,2))*60 + VALUE(MID(D24,4,5))</f>
        <v>464.33</v>
      </c>
      <c r="Q24" s="362">
        <f t="shared" si="41"/>
        <v>50.96</v>
      </c>
      <c r="S24" s="371">
        <v>13.0</v>
      </c>
      <c r="T24" s="362">
        <f t="shared" si="31"/>
        <v>380.67</v>
      </c>
      <c r="U24" s="363"/>
      <c r="V24" s="362">
        <f t="shared" ref="V24:W24" si="42">VALUE(LEFT(J24,2))*60 + VALUE(MID(J24,4,5))</f>
        <v>148.5</v>
      </c>
      <c r="W24" s="362">
        <f t="shared" si="42"/>
        <v>31.31</v>
      </c>
    </row>
    <row r="25">
      <c r="A25" s="371">
        <v>18.0</v>
      </c>
      <c r="B25" s="362" t="s">
        <v>330</v>
      </c>
      <c r="C25" s="363"/>
      <c r="D25" s="364" t="s">
        <v>331</v>
      </c>
      <c r="E25" s="364" t="s">
        <v>332</v>
      </c>
      <c r="G25" s="371">
        <v>16.0</v>
      </c>
      <c r="H25" s="362" t="s">
        <v>317</v>
      </c>
      <c r="I25" s="363"/>
      <c r="J25" s="364" t="s">
        <v>318</v>
      </c>
      <c r="K25" s="364" t="s">
        <v>319</v>
      </c>
      <c r="M25" s="371">
        <v>18.0</v>
      </c>
      <c r="N25" s="362">
        <f t="shared" si="29"/>
        <v>534.06</v>
      </c>
      <c r="O25" s="363"/>
      <c r="P25" s="362">
        <f t="shared" ref="P25:Q25" si="43">VALUE(LEFT(D25,2))*60 + VALUE(MID(D25,4,5))</f>
        <v>192.78</v>
      </c>
      <c r="Q25" s="362">
        <f t="shared" si="43"/>
        <v>69.39</v>
      </c>
      <c r="S25" s="371">
        <v>16.0</v>
      </c>
      <c r="T25" s="362">
        <f t="shared" si="31"/>
        <v>458.35</v>
      </c>
      <c r="U25" s="363"/>
      <c r="V25" s="362">
        <f t="shared" ref="V25:W25" si="44">VALUE(LEFT(J25,2))*60 + VALUE(MID(J25,4,5))</f>
        <v>381.25</v>
      </c>
      <c r="W25" s="362">
        <f t="shared" si="44"/>
        <v>45.02</v>
      </c>
    </row>
    <row r="26">
      <c r="A26" s="371">
        <v>19.0</v>
      </c>
      <c r="B26" s="362" t="s">
        <v>336</v>
      </c>
      <c r="C26" s="363"/>
      <c r="D26" s="364" t="s">
        <v>337</v>
      </c>
      <c r="E26" s="364" t="s">
        <v>338</v>
      </c>
      <c r="G26" s="371">
        <v>17.0</v>
      </c>
      <c r="H26" s="362" t="s">
        <v>324</v>
      </c>
      <c r="I26" s="363"/>
      <c r="J26" s="364" t="s">
        <v>325</v>
      </c>
      <c r="K26" s="364" t="s">
        <v>326</v>
      </c>
      <c r="M26" s="371">
        <v>19.0</v>
      </c>
      <c r="N26" s="362">
        <f t="shared" si="29"/>
        <v>335.99</v>
      </c>
      <c r="O26" s="363"/>
      <c r="P26" s="362">
        <f t="shared" ref="P26:Q26" si="45">VALUE(LEFT(D26,2))*60 + VALUE(MID(D26,4,5))</f>
        <v>220.24</v>
      </c>
      <c r="Q26" s="362">
        <f t="shared" si="45"/>
        <v>52.75</v>
      </c>
      <c r="S26" s="371">
        <v>17.0</v>
      </c>
      <c r="T26" s="362">
        <f t="shared" si="31"/>
        <v>314.2</v>
      </c>
      <c r="U26" s="363"/>
      <c r="V26" s="362">
        <f t="shared" ref="V26:W26" si="46">VALUE(LEFT(J26,2))*60 + VALUE(MID(J26,4,5))</f>
        <v>206.67</v>
      </c>
      <c r="W26" s="362">
        <f t="shared" si="46"/>
        <v>34.29</v>
      </c>
    </row>
    <row r="27">
      <c r="A27" s="371">
        <v>21.0</v>
      </c>
      <c r="B27" s="362" t="s">
        <v>349</v>
      </c>
      <c r="C27" s="364" t="s">
        <v>350</v>
      </c>
      <c r="D27" s="364" t="s">
        <v>351</v>
      </c>
      <c r="E27" s="364" t="s">
        <v>352</v>
      </c>
      <c r="G27" s="371">
        <v>20.0</v>
      </c>
      <c r="H27" s="362" t="s">
        <v>342</v>
      </c>
      <c r="I27" s="363"/>
      <c r="J27" s="364" t="s">
        <v>343</v>
      </c>
      <c r="K27" s="364" t="s">
        <v>344</v>
      </c>
      <c r="M27" s="371">
        <v>21.0</v>
      </c>
      <c r="N27" s="362">
        <f t="shared" si="29"/>
        <v>451.59</v>
      </c>
      <c r="O27" s="362">
        <f t="shared" ref="O27:Q27" si="47">VALUE(LEFT(C27,2))*60 + VALUE(MID(C27,4,5))</f>
        <v>47.91</v>
      </c>
      <c r="P27" s="362">
        <f t="shared" si="47"/>
        <v>220.59</v>
      </c>
      <c r="Q27" s="362">
        <f t="shared" si="47"/>
        <v>42.94</v>
      </c>
      <c r="S27" s="371">
        <v>20.0</v>
      </c>
      <c r="T27" s="362">
        <f t="shared" si="31"/>
        <v>695.96</v>
      </c>
      <c r="U27" s="363"/>
      <c r="V27" s="362">
        <f t="shared" ref="V27:W27" si="48">VALUE(LEFT(J27,2))*60 + VALUE(MID(J27,4,5))</f>
        <v>440.59</v>
      </c>
      <c r="W27" s="362">
        <f t="shared" si="48"/>
        <v>78.83</v>
      </c>
    </row>
    <row r="28">
      <c r="A28" s="366" t="s">
        <v>421</v>
      </c>
      <c r="B28" s="367" t="str">
        <f t="shared" ref="B28:E28" si="49">INT(N28/60)&amp;":"&amp;TEXT(MOD(N28,60),"00.00")</f>
        <v>7:33.35</v>
      </c>
      <c r="C28" s="367" t="str">
        <f t="shared" si="49"/>
        <v>0:47.91</v>
      </c>
      <c r="D28" s="367" t="str">
        <f t="shared" si="49"/>
        <v>4:25.74</v>
      </c>
      <c r="E28" s="367" t="str">
        <f t="shared" si="49"/>
        <v>1:05.14</v>
      </c>
      <c r="G28" s="366" t="s">
        <v>421</v>
      </c>
      <c r="H28" s="367" t="str">
        <f t="shared" ref="H28:K28" si="50">INT(T28/60)&amp;":"&amp;TEXT(MOD(T28,60),"00.00")</f>
        <v>7:33.77</v>
      </c>
      <c r="I28" s="367" t="str">
        <f t="shared" si="50"/>
        <v>0:31.03</v>
      </c>
      <c r="J28" s="367" t="str">
        <f t="shared" si="50"/>
        <v>4:52.22</v>
      </c>
      <c r="K28" s="367" t="str">
        <f t="shared" si="50"/>
        <v>0:46.07</v>
      </c>
      <c r="M28" s="366" t="s">
        <v>421</v>
      </c>
      <c r="N28" s="368">
        <f t="shared" ref="N28:Q28" si="51">AVERAGE(N18:N27)</f>
        <v>453.354</v>
      </c>
      <c r="O28" s="367">
        <f t="shared" si="51"/>
        <v>47.91</v>
      </c>
      <c r="P28" s="368">
        <f t="shared" si="51"/>
        <v>265.739</v>
      </c>
      <c r="Q28" s="368">
        <f t="shared" si="51"/>
        <v>65.14</v>
      </c>
      <c r="S28" s="366" t="s">
        <v>421</v>
      </c>
      <c r="T28" s="368">
        <f t="shared" ref="T28:W28" si="52">AVERAGE(T18:T27)</f>
        <v>453.774</v>
      </c>
      <c r="U28" s="367">
        <f t="shared" si="52"/>
        <v>31.03</v>
      </c>
      <c r="V28" s="368">
        <f t="shared" si="52"/>
        <v>292.218</v>
      </c>
      <c r="W28" s="368">
        <f t="shared" si="52"/>
        <v>46.07</v>
      </c>
    </row>
    <row r="31">
      <c r="A31" s="377" t="s">
        <v>41</v>
      </c>
      <c r="B31" s="243"/>
      <c r="C31" s="243"/>
      <c r="D31" s="243"/>
      <c r="E31" s="244"/>
      <c r="F31" s="36" t="s">
        <v>424</v>
      </c>
      <c r="G31" s="378" t="s">
        <v>36</v>
      </c>
      <c r="H31" s="243"/>
      <c r="I31" s="243"/>
      <c r="J31" s="243"/>
      <c r="K31" s="244"/>
      <c r="L31" s="36" t="s">
        <v>417</v>
      </c>
      <c r="M31" s="377" t="s">
        <v>425</v>
      </c>
      <c r="N31" s="243"/>
      <c r="O31" s="243"/>
      <c r="P31" s="243"/>
      <c r="Q31" s="244"/>
      <c r="S31" s="378" t="s">
        <v>426</v>
      </c>
      <c r="T31" s="243"/>
      <c r="U31" s="243"/>
      <c r="V31" s="243"/>
      <c r="W31" s="244"/>
    </row>
    <row r="32">
      <c r="A32" s="359" t="s">
        <v>2</v>
      </c>
      <c r="B32" s="360" t="s">
        <v>225</v>
      </c>
      <c r="C32" s="360" t="s">
        <v>226</v>
      </c>
      <c r="D32" s="360" t="s">
        <v>227</v>
      </c>
      <c r="E32" s="360" t="s">
        <v>228</v>
      </c>
      <c r="G32" s="359" t="s">
        <v>2</v>
      </c>
      <c r="H32" s="360" t="s">
        <v>225</v>
      </c>
      <c r="I32" s="360" t="s">
        <v>226</v>
      </c>
      <c r="J32" s="360" t="s">
        <v>227</v>
      </c>
      <c r="K32" s="360" t="s">
        <v>228</v>
      </c>
      <c r="M32" s="359" t="s">
        <v>2</v>
      </c>
      <c r="N32" s="360" t="s">
        <v>225</v>
      </c>
      <c r="O32" s="360" t="s">
        <v>226</v>
      </c>
      <c r="P32" s="360" t="s">
        <v>227</v>
      </c>
      <c r="Q32" s="360" t="s">
        <v>228</v>
      </c>
      <c r="S32" s="359" t="s">
        <v>2</v>
      </c>
      <c r="T32" s="360" t="s">
        <v>225</v>
      </c>
      <c r="U32" s="360" t="s">
        <v>226</v>
      </c>
      <c r="V32" s="360" t="s">
        <v>227</v>
      </c>
      <c r="W32" s="360" t="s">
        <v>228</v>
      </c>
    </row>
    <row r="33">
      <c r="A33" s="379">
        <v>1.0</v>
      </c>
      <c r="B33" s="380" t="s">
        <v>232</v>
      </c>
      <c r="C33" s="380"/>
      <c r="D33" s="380" t="s">
        <v>233</v>
      </c>
      <c r="E33" s="380" t="s">
        <v>234</v>
      </c>
      <c r="G33" s="364">
        <v>2.0</v>
      </c>
      <c r="H33" s="364" t="s">
        <v>238</v>
      </c>
      <c r="I33" s="365" t="s">
        <v>239</v>
      </c>
      <c r="J33" s="364" t="s">
        <v>240</v>
      </c>
      <c r="K33" s="364" t="s">
        <v>241</v>
      </c>
      <c r="M33" s="379">
        <v>1.0</v>
      </c>
      <c r="N33" s="380">
        <f t="shared" ref="N33:N42" si="55">VALUE(LEFT(B33,2))*60 + VALUE(MID(B33,4,5))</f>
        <v>379.87</v>
      </c>
      <c r="O33" s="380"/>
      <c r="P33" s="380">
        <f t="shared" ref="P33:Q33" si="53">VALUE(LEFT(D33,2))*60 + VALUE(MID(D33,4,5))</f>
        <v>237.55</v>
      </c>
      <c r="Q33" s="380">
        <f t="shared" si="53"/>
        <v>72.81</v>
      </c>
      <c r="S33" s="364">
        <v>2.0</v>
      </c>
      <c r="T33" s="364">
        <f t="shared" ref="T33:W33" si="54">VALUE(LEFT(H33,2))*60 + VALUE(MID(H33,4,5))</f>
        <v>1431.61</v>
      </c>
      <c r="U33" s="364">
        <f t="shared" si="54"/>
        <v>403.98</v>
      </c>
      <c r="V33" s="364">
        <f t="shared" si="54"/>
        <v>564.82</v>
      </c>
      <c r="W33" s="364">
        <f t="shared" si="54"/>
        <v>136.3</v>
      </c>
    </row>
    <row r="34">
      <c r="A34" s="379">
        <v>4.0</v>
      </c>
      <c r="B34" s="380" t="s">
        <v>246</v>
      </c>
      <c r="C34" s="380"/>
      <c r="D34" s="380" t="s">
        <v>247</v>
      </c>
      <c r="E34" s="380" t="s">
        <v>248</v>
      </c>
      <c r="G34" s="364">
        <v>6.0</v>
      </c>
      <c r="H34" s="364" t="s">
        <v>259</v>
      </c>
      <c r="I34" s="363"/>
      <c r="J34" s="364" t="s">
        <v>260</v>
      </c>
      <c r="K34" s="364" t="s">
        <v>261</v>
      </c>
      <c r="M34" s="379">
        <v>4.0</v>
      </c>
      <c r="N34" s="380">
        <f t="shared" si="55"/>
        <v>682.44</v>
      </c>
      <c r="O34" s="380"/>
      <c r="P34" s="380">
        <f t="shared" ref="P34:Q34" si="56">VALUE(LEFT(D34,2))*60 + VALUE(MID(D34,4,5))</f>
        <v>381.03</v>
      </c>
      <c r="Q34" s="380">
        <f t="shared" si="56"/>
        <v>145.76</v>
      </c>
      <c r="S34" s="364">
        <v>6.0</v>
      </c>
      <c r="T34" s="364">
        <f t="shared" ref="T34:T42" si="59">VALUE(LEFT(H34,2))*60 + VALUE(MID(H34,4,5))</f>
        <v>428.64</v>
      </c>
      <c r="U34" s="363"/>
      <c r="V34" s="364">
        <f t="shared" ref="V34:W34" si="57">VALUE(LEFT(J34,2))*60 + VALUE(MID(J34,4,5))</f>
        <v>217.52</v>
      </c>
      <c r="W34" s="364">
        <f t="shared" si="57"/>
        <v>110.93</v>
      </c>
    </row>
    <row r="35">
      <c r="A35" s="379">
        <v>5.0</v>
      </c>
      <c r="B35" s="381" t="s">
        <v>252</v>
      </c>
      <c r="C35" s="380" t="s">
        <v>253</v>
      </c>
      <c r="D35" s="380" t="s">
        <v>254</v>
      </c>
      <c r="E35" s="380" t="s">
        <v>255</v>
      </c>
      <c r="G35" s="364">
        <v>7.0</v>
      </c>
      <c r="H35" s="364" t="s">
        <v>265</v>
      </c>
      <c r="I35" s="363"/>
      <c r="J35" s="364" t="s">
        <v>266</v>
      </c>
      <c r="K35" s="364" t="s">
        <v>267</v>
      </c>
      <c r="M35" s="379">
        <v>5.0</v>
      </c>
      <c r="N35" s="380">
        <f t="shared" si="55"/>
        <v>1251.07</v>
      </c>
      <c r="O35" s="380">
        <f t="shared" ref="O35:Q35" si="58">VALUE(LEFT(C35,2))*60 + VALUE(MID(C35,4,5))</f>
        <v>549.52</v>
      </c>
      <c r="P35" s="380">
        <f t="shared" si="58"/>
        <v>428.82</v>
      </c>
      <c r="Q35" s="380">
        <f t="shared" si="58"/>
        <v>59.74</v>
      </c>
      <c r="S35" s="364">
        <v>7.0</v>
      </c>
      <c r="T35" s="364">
        <f t="shared" si="59"/>
        <v>426.99</v>
      </c>
      <c r="U35" s="363"/>
      <c r="V35" s="364">
        <f t="shared" ref="V35:W35" si="60">VALUE(LEFT(J35,2))*60 + VALUE(MID(J35,4,5))</f>
        <v>370.84</v>
      </c>
      <c r="W35" s="364">
        <f t="shared" si="60"/>
        <v>118.31</v>
      </c>
    </row>
    <row r="36">
      <c r="A36" s="379">
        <v>8.0</v>
      </c>
      <c r="B36" s="362" t="s">
        <v>271</v>
      </c>
      <c r="C36" s="380"/>
      <c r="D36" s="364" t="s">
        <v>272</v>
      </c>
      <c r="E36" s="364" t="s">
        <v>273</v>
      </c>
      <c r="F36" s="36" t="s">
        <v>427</v>
      </c>
      <c r="G36" s="371">
        <v>10.0</v>
      </c>
      <c r="H36" s="364" t="s">
        <v>283</v>
      </c>
      <c r="I36" s="363"/>
      <c r="J36" s="364" t="s">
        <v>284</v>
      </c>
      <c r="K36" s="364" t="s">
        <v>285</v>
      </c>
      <c r="M36" s="379">
        <v>8.0</v>
      </c>
      <c r="N36" s="380">
        <f t="shared" si="55"/>
        <v>945.36</v>
      </c>
      <c r="O36" s="380"/>
      <c r="P36" s="380">
        <f t="shared" ref="P36:Q36" si="61">VALUE(LEFT(D36,2))*60 + VALUE(MID(D36,4,5))</f>
        <v>522.42</v>
      </c>
      <c r="Q36" s="380">
        <f t="shared" si="61"/>
        <v>184.88</v>
      </c>
      <c r="S36" s="371">
        <v>10.0</v>
      </c>
      <c r="T36" s="364">
        <f t="shared" si="59"/>
        <v>443.71</v>
      </c>
      <c r="U36" s="363"/>
      <c r="V36" s="364">
        <f t="shared" ref="V36:W36" si="62">VALUE(LEFT(J36,2))*60 + VALUE(MID(J36,4,5))</f>
        <v>234.64</v>
      </c>
      <c r="W36" s="364">
        <f t="shared" si="62"/>
        <v>118.35</v>
      </c>
    </row>
    <row r="37">
      <c r="A37" s="379">
        <v>9.0</v>
      </c>
      <c r="B37" s="380" t="s">
        <v>277</v>
      </c>
      <c r="C37" s="380"/>
      <c r="D37" s="380" t="s">
        <v>278</v>
      </c>
      <c r="E37" s="380" t="s">
        <v>279</v>
      </c>
      <c r="G37" s="371">
        <v>11.0</v>
      </c>
      <c r="H37" s="364" t="s">
        <v>289</v>
      </c>
      <c r="I37" s="363"/>
      <c r="J37" s="364" t="s">
        <v>290</v>
      </c>
      <c r="K37" s="364" t="s">
        <v>291</v>
      </c>
      <c r="M37" s="379">
        <v>9.0</v>
      </c>
      <c r="N37" s="380">
        <f t="shared" si="55"/>
        <v>752.95</v>
      </c>
      <c r="O37" s="380"/>
      <c r="P37" s="380">
        <f t="shared" ref="P37:Q37" si="63">VALUE(LEFT(D37,2))*60 + VALUE(MID(D37,4,5))</f>
        <v>269.89</v>
      </c>
      <c r="Q37" s="380">
        <f t="shared" si="63"/>
        <v>93.9</v>
      </c>
      <c r="S37" s="371">
        <v>11.0</v>
      </c>
      <c r="T37" s="364">
        <f t="shared" si="59"/>
        <v>620.1</v>
      </c>
      <c r="U37" s="363"/>
      <c r="V37" s="364">
        <f t="shared" ref="V37:W37" si="64">VALUE(LEFT(J37,2))*60 + VALUE(MID(J37,4,5))</f>
        <v>371.15</v>
      </c>
      <c r="W37" s="364">
        <f t="shared" si="64"/>
        <v>145.19</v>
      </c>
    </row>
    <row r="38">
      <c r="A38" s="379">
        <v>12.0</v>
      </c>
      <c r="B38" s="380" t="s">
        <v>295</v>
      </c>
      <c r="C38" s="380"/>
      <c r="D38" s="380" t="s">
        <v>296</v>
      </c>
      <c r="E38" s="380" t="s">
        <v>297</v>
      </c>
      <c r="G38" s="371">
        <v>14.0</v>
      </c>
      <c r="H38" s="364" t="s">
        <v>307</v>
      </c>
      <c r="I38" s="364" t="s">
        <v>308</v>
      </c>
      <c r="J38" s="364" t="s">
        <v>309</v>
      </c>
      <c r="K38" s="364" t="s">
        <v>310</v>
      </c>
      <c r="M38" s="379">
        <v>12.0</v>
      </c>
      <c r="N38" s="380">
        <f t="shared" si="55"/>
        <v>498.98</v>
      </c>
      <c r="O38" s="380"/>
      <c r="P38" s="380">
        <f t="shared" ref="P38:Q38" si="65">VALUE(LEFT(D38,2))*60 + VALUE(MID(D38,4,5))</f>
        <v>265.15</v>
      </c>
      <c r="Q38" s="380">
        <f t="shared" si="65"/>
        <v>79.85</v>
      </c>
      <c r="S38" s="371">
        <v>14.0</v>
      </c>
      <c r="T38" s="364">
        <f t="shared" si="59"/>
        <v>745.99</v>
      </c>
      <c r="U38" s="364">
        <f t="shared" ref="U38:W38" si="66">VALUE(LEFT(I38,2))*60 + VALUE(MID(I38,4,5))</f>
        <v>200.94</v>
      </c>
      <c r="V38" s="364">
        <f t="shared" si="66"/>
        <v>233.99</v>
      </c>
      <c r="W38" s="364">
        <f t="shared" si="66"/>
        <v>156.29</v>
      </c>
    </row>
    <row r="39">
      <c r="A39" s="379">
        <v>13.0</v>
      </c>
      <c r="B39" s="380" t="s">
        <v>301</v>
      </c>
      <c r="C39" s="380"/>
      <c r="D39" s="380" t="s">
        <v>302</v>
      </c>
      <c r="E39" s="380" t="s">
        <v>303</v>
      </c>
      <c r="G39" s="371">
        <v>15.0</v>
      </c>
      <c r="H39" s="364" t="s">
        <v>314</v>
      </c>
      <c r="I39" s="363"/>
      <c r="J39" s="364" t="s">
        <v>315</v>
      </c>
      <c r="K39" s="364" t="s">
        <v>316</v>
      </c>
      <c r="M39" s="379">
        <v>13.0</v>
      </c>
      <c r="N39" s="380">
        <f t="shared" si="55"/>
        <v>380.9</v>
      </c>
      <c r="O39" s="380"/>
      <c r="P39" s="380">
        <f t="shared" ref="P39:Q39" si="67">VALUE(LEFT(D39,2))*60 + VALUE(MID(D39,4,5))</f>
        <v>224.16</v>
      </c>
      <c r="Q39" s="380">
        <f t="shared" si="67"/>
        <v>61.17</v>
      </c>
      <c r="S39" s="371">
        <v>15.0</v>
      </c>
      <c r="T39" s="364">
        <f t="shared" si="59"/>
        <v>468.45</v>
      </c>
      <c r="U39" s="363"/>
      <c r="V39" s="364">
        <f t="shared" ref="V39:W39" si="68">VALUE(LEFT(J39,2))*60 + VALUE(MID(J39,4,5))</f>
        <v>303.66</v>
      </c>
      <c r="W39" s="364">
        <f t="shared" si="68"/>
        <v>99.13</v>
      </c>
    </row>
    <row r="40">
      <c r="A40" s="379">
        <v>16.0</v>
      </c>
      <c r="B40" s="380" t="s">
        <v>320</v>
      </c>
      <c r="C40" s="380" t="s">
        <v>321</v>
      </c>
      <c r="D40" s="380" t="s">
        <v>322</v>
      </c>
      <c r="E40" s="380" t="s">
        <v>323</v>
      </c>
      <c r="G40" s="371">
        <v>18.0</v>
      </c>
      <c r="H40" s="364" t="s">
        <v>333</v>
      </c>
      <c r="I40" s="363"/>
      <c r="J40" s="364" t="s">
        <v>334</v>
      </c>
      <c r="K40" s="364" t="s">
        <v>335</v>
      </c>
      <c r="M40" s="379">
        <v>16.0</v>
      </c>
      <c r="N40" s="380">
        <f t="shared" si="55"/>
        <v>732.46</v>
      </c>
      <c r="O40" s="380">
        <f t="shared" ref="O40:Q40" si="69">VALUE(LEFT(C40,2))*60 + VALUE(MID(C40,4,5))</f>
        <v>354.31</v>
      </c>
      <c r="P40" s="380">
        <f t="shared" si="69"/>
        <v>328.35</v>
      </c>
      <c r="Q40" s="380">
        <f t="shared" si="69"/>
        <v>101.72</v>
      </c>
      <c r="S40" s="371">
        <v>18.0</v>
      </c>
      <c r="T40" s="364">
        <f t="shared" si="59"/>
        <v>703.47</v>
      </c>
      <c r="U40" s="363"/>
      <c r="V40" s="364">
        <f t="shared" ref="V40:W40" si="70">VALUE(LEFT(J40,2))*60 + VALUE(MID(J40,4,5))</f>
        <v>388.61</v>
      </c>
      <c r="W40" s="364">
        <f t="shared" si="70"/>
        <v>109.76</v>
      </c>
    </row>
    <row r="41">
      <c r="A41" s="379">
        <v>17.0</v>
      </c>
      <c r="B41" s="380" t="s">
        <v>327</v>
      </c>
      <c r="C41" s="380"/>
      <c r="D41" s="380" t="s">
        <v>328</v>
      </c>
      <c r="E41" s="380" t="s">
        <v>329</v>
      </c>
      <c r="G41" s="371">
        <v>19.0</v>
      </c>
      <c r="H41" s="364" t="s">
        <v>339</v>
      </c>
      <c r="I41" s="363"/>
      <c r="J41" s="364" t="s">
        <v>340</v>
      </c>
      <c r="K41" s="364" t="s">
        <v>341</v>
      </c>
      <c r="M41" s="379">
        <v>17.0</v>
      </c>
      <c r="N41" s="380">
        <f t="shared" si="55"/>
        <v>473.43</v>
      </c>
      <c r="O41" s="380"/>
      <c r="P41" s="380">
        <f t="shared" ref="P41:Q41" si="71">VALUE(LEFT(D41,2))*60 + VALUE(MID(D41,4,5))</f>
        <v>426.1</v>
      </c>
      <c r="Q41" s="380">
        <f t="shared" si="71"/>
        <v>106.8</v>
      </c>
      <c r="S41" s="371">
        <v>19.0</v>
      </c>
      <c r="T41" s="364">
        <f t="shared" si="59"/>
        <v>540.76</v>
      </c>
      <c r="U41" s="363"/>
      <c r="V41" s="364">
        <f t="shared" ref="V41:W41" si="72">VALUE(LEFT(J41,2))*60 + VALUE(MID(J41,4,5))</f>
        <v>550.3</v>
      </c>
      <c r="W41" s="364">
        <f t="shared" si="72"/>
        <v>122.87</v>
      </c>
    </row>
    <row r="42">
      <c r="A42" s="379">
        <v>20.0</v>
      </c>
      <c r="B42" s="380" t="s">
        <v>345</v>
      </c>
      <c r="C42" s="380" t="s">
        <v>346</v>
      </c>
      <c r="D42" s="380" t="s">
        <v>347</v>
      </c>
      <c r="E42" s="380" t="s">
        <v>348</v>
      </c>
      <c r="G42" s="371">
        <v>21.0</v>
      </c>
      <c r="H42" s="364" t="s">
        <v>353</v>
      </c>
      <c r="I42" s="363"/>
      <c r="J42" s="364" t="s">
        <v>354</v>
      </c>
      <c r="K42" s="364" t="s">
        <v>355</v>
      </c>
      <c r="M42" s="379">
        <v>20.0</v>
      </c>
      <c r="N42" s="380">
        <f t="shared" si="55"/>
        <v>895.98</v>
      </c>
      <c r="O42" s="380">
        <f t="shared" ref="O42:Q42" si="73">VALUE(LEFT(C42,2))*60 + VALUE(MID(C42,4,5))</f>
        <v>228.55</v>
      </c>
      <c r="P42" s="380">
        <f t="shared" si="73"/>
        <v>376.81</v>
      </c>
      <c r="Q42" s="380">
        <f t="shared" si="73"/>
        <v>116.05</v>
      </c>
      <c r="S42" s="371">
        <v>21.0</v>
      </c>
      <c r="T42" s="364">
        <f t="shared" si="59"/>
        <v>459.67</v>
      </c>
      <c r="U42" s="363"/>
      <c r="V42" s="364">
        <f t="shared" ref="V42:W42" si="74">VALUE(LEFT(J42,2))*60 + VALUE(MID(J42,4,5))</f>
        <v>341.18</v>
      </c>
      <c r="W42" s="364">
        <f t="shared" si="74"/>
        <v>113.51</v>
      </c>
    </row>
    <row r="43">
      <c r="A43" s="366" t="s">
        <v>421</v>
      </c>
      <c r="B43" s="367" t="str">
        <f t="shared" ref="B43:E43" si="75">INT(N43/60)&amp;":"&amp;TEXT(MOD(N43,60),"00.00")</f>
        <v>11:39.34</v>
      </c>
      <c r="C43" s="367" t="str">
        <f t="shared" si="75"/>
        <v>6:17.46</v>
      </c>
      <c r="D43" s="367" t="str">
        <f t="shared" si="75"/>
        <v>5:46.03</v>
      </c>
      <c r="E43" s="367" t="str">
        <f t="shared" si="75"/>
        <v>1:42.27</v>
      </c>
      <c r="G43" s="366" t="s">
        <v>421</v>
      </c>
      <c r="H43" s="367" t="str">
        <f t="shared" ref="H43:K43" si="76">INT(T43/60)&amp;":"&amp;TEXT(MOD(T43,60),"00.00")</f>
        <v>10:26.94</v>
      </c>
      <c r="I43" s="367" t="str">
        <f t="shared" si="76"/>
        <v>5:02.46</v>
      </c>
      <c r="J43" s="367" t="str">
        <f t="shared" si="76"/>
        <v>5:57.67</v>
      </c>
      <c r="K43" s="367" t="str">
        <f t="shared" si="76"/>
        <v>2:03.06</v>
      </c>
      <c r="M43" s="366" t="s">
        <v>421</v>
      </c>
      <c r="N43" s="367">
        <f t="shared" ref="N43:Q43" si="77">AVERAGE(N33:N42)</f>
        <v>699.344</v>
      </c>
      <c r="O43" s="367">
        <f t="shared" si="77"/>
        <v>377.46</v>
      </c>
      <c r="P43" s="367">
        <f t="shared" si="77"/>
        <v>346.028</v>
      </c>
      <c r="Q43" s="367">
        <f t="shared" si="77"/>
        <v>102.268</v>
      </c>
      <c r="S43" s="366" t="s">
        <v>421</v>
      </c>
      <c r="T43" s="367">
        <f t="shared" ref="T43:W43" si="78">AVERAGE(T33:T42)</f>
        <v>626.939</v>
      </c>
      <c r="U43" s="367">
        <f t="shared" si="78"/>
        <v>302.46</v>
      </c>
      <c r="V43" s="367">
        <f t="shared" si="78"/>
        <v>357.671</v>
      </c>
      <c r="W43" s="367">
        <f t="shared" si="78"/>
        <v>123.064</v>
      </c>
    </row>
    <row r="46">
      <c r="A46" s="382" t="s">
        <v>428</v>
      </c>
      <c r="B46" s="243"/>
      <c r="C46" s="243"/>
      <c r="D46" s="244"/>
      <c r="E46" s="26"/>
      <c r="F46" s="383" t="s">
        <v>429</v>
      </c>
      <c r="G46" s="243"/>
      <c r="H46" s="243"/>
      <c r="I46" s="244"/>
    </row>
    <row r="47">
      <c r="A47" s="384"/>
      <c r="B47" s="366" t="s">
        <v>115</v>
      </c>
      <c r="C47" s="366" t="s">
        <v>113</v>
      </c>
      <c r="D47" s="366" t="s">
        <v>202</v>
      </c>
      <c r="F47" s="384"/>
      <c r="G47" s="366" t="s">
        <v>115</v>
      </c>
      <c r="H47" s="366" t="s">
        <v>113</v>
      </c>
      <c r="I47" s="366" t="s">
        <v>202</v>
      </c>
    </row>
    <row r="48">
      <c r="A48" s="360" t="s">
        <v>225</v>
      </c>
      <c r="B48" s="385" t="s">
        <v>430</v>
      </c>
      <c r="C48" s="385" t="s">
        <v>431</v>
      </c>
      <c r="D48" s="385" t="s">
        <v>432</v>
      </c>
      <c r="F48" s="360" t="s">
        <v>221</v>
      </c>
      <c r="G48" s="385" t="s">
        <v>433</v>
      </c>
      <c r="H48" s="385" t="s">
        <v>434</v>
      </c>
      <c r="I48" s="385" t="s">
        <v>435</v>
      </c>
    </row>
    <row r="49">
      <c r="A49" s="360" t="s">
        <v>226</v>
      </c>
      <c r="B49" s="385" t="s">
        <v>436</v>
      </c>
      <c r="C49" s="385" t="s">
        <v>437</v>
      </c>
      <c r="D49" s="385"/>
      <c r="F49" s="360" t="s">
        <v>222</v>
      </c>
      <c r="G49" s="385" t="s">
        <v>438</v>
      </c>
      <c r="H49" s="385" t="s">
        <v>439</v>
      </c>
      <c r="I49" s="385"/>
    </row>
    <row r="50">
      <c r="A50" s="360" t="s">
        <v>227</v>
      </c>
      <c r="B50" s="385" t="s">
        <v>440</v>
      </c>
      <c r="C50" s="385" t="s">
        <v>441</v>
      </c>
      <c r="D50" s="385" t="s">
        <v>442</v>
      </c>
      <c r="F50" s="360" t="s">
        <v>443</v>
      </c>
      <c r="G50" s="385" t="s">
        <v>444</v>
      </c>
      <c r="H50" s="385" t="s">
        <v>445</v>
      </c>
      <c r="I50" s="385" t="s">
        <v>446</v>
      </c>
    </row>
    <row r="51">
      <c r="A51" s="360" t="s">
        <v>228</v>
      </c>
      <c r="B51" s="385" t="s">
        <v>447</v>
      </c>
      <c r="C51" s="385" t="s">
        <v>448</v>
      </c>
      <c r="D51" s="385" t="s">
        <v>449</v>
      </c>
      <c r="F51" s="360" t="s">
        <v>224</v>
      </c>
      <c r="G51" s="385" t="s">
        <v>450</v>
      </c>
      <c r="H51" s="385" t="s">
        <v>451</v>
      </c>
      <c r="I51" s="385" t="s">
        <v>452</v>
      </c>
    </row>
    <row r="54">
      <c r="A54" s="36" t="s">
        <v>41</v>
      </c>
    </row>
    <row r="55">
      <c r="A55" s="277" t="s">
        <v>2</v>
      </c>
      <c r="B55" s="328" t="s">
        <v>225</v>
      </c>
      <c r="C55" s="328" t="s">
        <v>226</v>
      </c>
      <c r="D55" s="328" t="s">
        <v>227</v>
      </c>
      <c r="E55" s="328" t="s">
        <v>228</v>
      </c>
    </row>
    <row r="56">
      <c r="A56" s="68">
        <v>1.0</v>
      </c>
      <c r="B56" s="68" t="s">
        <v>232</v>
      </c>
      <c r="D56" s="68" t="s">
        <v>233</v>
      </c>
      <c r="E56" s="68" t="s">
        <v>234</v>
      </c>
    </row>
    <row r="57">
      <c r="A57" s="68">
        <v>4.0</v>
      </c>
      <c r="B57" s="68" t="s">
        <v>246</v>
      </c>
      <c r="D57" s="68" t="s">
        <v>247</v>
      </c>
      <c r="E57" s="68" t="s">
        <v>248</v>
      </c>
    </row>
    <row r="58">
      <c r="A58" s="68">
        <v>5.0</v>
      </c>
      <c r="B58" s="68" t="s">
        <v>252</v>
      </c>
      <c r="C58" s="68" t="s">
        <v>253</v>
      </c>
      <c r="D58" s="68" t="s">
        <v>254</v>
      </c>
      <c r="E58" s="68" t="s">
        <v>255</v>
      </c>
    </row>
    <row r="59">
      <c r="A59" s="386">
        <v>8.0</v>
      </c>
      <c r="B59" s="387" t="s">
        <v>262</v>
      </c>
      <c r="C59" s="386"/>
      <c r="D59" s="386" t="s">
        <v>263</v>
      </c>
      <c r="E59" s="386" t="s">
        <v>264</v>
      </c>
      <c r="F59" s="388" t="s">
        <v>453</v>
      </c>
    </row>
    <row r="60">
      <c r="A60" s="68">
        <v>9.0</v>
      </c>
      <c r="B60" s="68" t="s">
        <v>277</v>
      </c>
      <c r="D60" s="68" t="s">
        <v>278</v>
      </c>
      <c r="E60" s="68" t="s">
        <v>279</v>
      </c>
    </row>
    <row r="61">
      <c r="A61" s="68">
        <v>12.0</v>
      </c>
      <c r="B61" s="68" t="s">
        <v>295</v>
      </c>
      <c r="D61" s="68" t="s">
        <v>296</v>
      </c>
      <c r="E61" s="68" t="s">
        <v>297</v>
      </c>
    </row>
    <row r="62">
      <c r="A62" s="68">
        <v>13.0</v>
      </c>
      <c r="B62" s="68" t="s">
        <v>301</v>
      </c>
      <c r="D62" s="68" t="s">
        <v>302</v>
      </c>
      <c r="E62" s="68" t="s">
        <v>303</v>
      </c>
    </row>
    <row r="63">
      <c r="A63" s="68">
        <v>16.0</v>
      </c>
      <c r="B63" s="68" t="s">
        <v>320</v>
      </c>
      <c r="C63" s="68" t="s">
        <v>321</v>
      </c>
      <c r="D63" s="68" t="s">
        <v>322</v>
      </c>
      <c r="E63" s="68" t="s">
        <v>323</v>
      </c>
    </row>
    <row r="64">
      <c r="A64" s="68">
        <v>17.0</v>
      </c>
      <c r="B64" s="68" t="s">
        <v>327</v>
      </c>
      <c r="D64" s="68" t="s">
        <v>328</v>
      </c>
      <c r="E64" s="68" t="s">
        <v>329</v>
      </c>
      <c r="U64" s="389"/>
      <c r="V64" s="389"/>
      <c r="W64" s="389"/>
      <c r="X64" s="389"/>
      <c r="Y64" s="389"/>
      <c r="Z64" s="389"/>
    </row>
    <row r="65">
      <c r="A65" s="68">
        <v>20.0</v>
      </c>
      <c r="B65" s="68" t="s">
        <v>345</v>
      </c>
      <c r="C65" s="68" t="s">
        <v>346</v>
      </c>
      <c r="D65" s="68" t="s">
        <v>347</v>
      </c>
      <c r="E65" s="68" t="s">
        <v>348</v>
      </c>
      <c r="U65" s="389"/>
      <c r="V65" s="389"/>
      <c r="W65" s="389"/>
      <c r="X65" s="389"/>
      <c r="Y65" s="389"/>
      <c r="Z65" s="389"/>
    </row>
    <row r="66">
      <c r="A66" s="36" t="s">
        <v>421</v>
      </c>
      <c r="B66" s="68" t="s">
        <v>454</v>
      </c>
      <c r="C66" s="68" t="s">
        <v>436</v>
      </c>
      <c r="D66" s="68" t="s">
        <v>455</v>
      </c>
      <c r="E66" s="68" t="s">
        <v>456</v>
      </c>
      <c r="U66" s="389"/>
      <c r="V66" s="389"/>
      <c r="W66" s="389"/>
      <c r="X66" s="389"/>
      <c r="Y66" s="389"/>
      <c r="Z66" s="389"/>
    </row>
    <row r="67">
      <c r="U67" s="389"/>
      <c r="V67" s="389"/>
      <c r="W67" s="389"/>
      <c r="X67" s="389"/>
      <c r="Y67" s="389"/>
      <c r="Z67" s="389"/>
    </row>
    <row r="68">
      <c r="U68" s="389"/>
      <c r="V68" s="389"/>
      <c r="W68" s="389"/>
      <c r="X68" s="389"/>
      <c r="Y68" s="389"/>
      <c r="Z68" s="389"/>
    </row>
    <row r="69">
      <c r="U69" s="389"/>
      <c r="V69" s="389"/>
      <c r="W69" s="389"/>
      <c r="X69" s="389"/>
      <c r="Y69" s="389"/>
      <c r="Z69" s="389"/>
    </row>
    <row r="70">
      <c r="A70" s="390" t="s">
        <v>457</v>
      </c>
      <c r="U70" s="389"/>
      <c r="V70" s="389"/>
      <c r="W70" s="389"/>
      <c r="X70" s="389"/>
      <c r="Y70" s="389"/>
      <c r="Z70" s="389"/>
    </row>
    <row r="71">
      <c r="A71" s="3" t="s">
        <v>2</v>
      </c>
      <c r="B71" s="354" t="s">
        <v>221</v>
      </c>
      <c r="C71" s="354" t="s">
        <v>222</v>
      </c>
      <c r="D71" s="354" t="s">
        <v>223</v>
      </c>
      <c r="E71" s="354" t="s">
        <v>224</v>
      </c>
      <c r="F71" s="354" t="s">
        <v>225</v>
      </c>
      <c r="G71" s="354" t="s">
        <v>226</v>
      </c>
      <c r="H71" s="354" t="s">
        <v>227</v>
      </c>
      <c r="I71" s="354" t="s">
        <v>228</v>
      </c>
      <c r="U71" s="389"/>
      <c r="V71" s="389"/>
      <c r="W71" s="389"/>
      <c r="X71" s="389"/>
      <c r="Y71" s="389"/>
      <c r="Z71" s="389"/>
    </row>
    <row r="72">
      <c r="A72" s="10">
        <v>1.0</v>
      </c>
      <c r="F72" s="36" t="s">
        <v>232</v>
      </c>
      <c r="G72" s="199"/>
      <c r="H72" s="36" t="s">
        <v>233</v>
      </c>
      <c r="I72" s="36" t="s">
        <v>234</v>
      </c>
      <c r="U72" s="389"/>
      <c r="V72" s="389"/>
      <c r="W72" s="389"/>
      <c r="X72" s="389"/>
      <c r="Y72" s="389"/>
      <c r="Z72" s="389"/>
    </row>
    <row r="73">
      <c r="A73" s="10">
        <v>2.0</v>
      </c>
      <c r="B73" s="356" t="s">
        <v>235</v>
      </c>
      <c r="C73" s="199"/>
      <c r="D73" s="36" t="s">
        <v>236</v>
      </c>
      <c r="E73" s="36" t="s">
        <v>237</v>
      </c>
      <c r="U73" s="389"/>
      <c r="V73" s="389"/>
      <c r="W73" s="389"/>
      <c r="X73" s="389"/>
      <c r="Y73" s="389"/>
      <c r="Z73" s="389"/>
    </row>
    <row r="74">
      <c r="A74" s="10">
        <v>4.0</v>
      </c>
      <c r="F74" s="36" t="s">
        <v>246</v>
      </c>
      <c r="G74" s="199"/>
      <c r="H74" s="36" t="s">
        <v>247</v>
      </c>
      <c r="I74" s="36" t="s">
        <v>248</v>
      </c>
    </row>
    <row r="75">
      <c r="A75" s="10">
        <v>5.0</v>
      </c>
      <c r="F75" s="239" t="s">
        <v>252</v>
      </c>
      <c r="G75" s="36" t="s">
        <v>253</v>
      </c>
      <c r="H75" s="36" t="s">
        <v>254</v>
      </c>
      <c r="I75" s="36" t="s">
        <v>255</v>
      </c>
    </row>
    <row r="76">
      <c r="A76" s="10">
        <v>6.0</v>
      </c>
      <c r="B76" s="356" t="s">
        <v>256</v>
      </c>
      <c r="C76" s="199"/>
      <c r="D76" s="36" t="s">
        <v>257</v>
      </c>
      <c r="E76" s="36" t="s">
        <v>258</v>
      </c>
    </row>
    <row r="77">
      <c r="A77" s="10">
        <v>7.0</v>
      </c>
      <c r="B77" s="357" t="s">
        <v>262</v>
      </c>
      <c r="C77" s="199"/>
      <c r="D77" s="36" t="s">
        <v>263</v>
      </c>
      <c r="E77" s="36" t="s">
        <v>264</v>
      </c>
    </row>
    <row r="78">
      <c r="A78" s="10">
        <v>8.0</v>
      </c>
      <c r="F78" s="391" t="s">
        <v>262</v>
      </c>
      <c r="G78" s="392"/>
      <c r="H78" s="388" t="s">
        <v>263</v>
      </c>
      <c r="I78" s="388" t="s">
        <v>264</v>
      </c>
    </row>
    <row r="79">
      <c r="A79" s="10">
        <v>9.0</v>
      </c>
      <c r="F79" s="36" t="s">
        <v>277</v>
      </c>
      <c r="G79" s="199"/>
      <c r="H79" s="36" t="s">
        <v>278</v>
      </c>
      <c r="I79" s="36" t="s">
        <v>279</v>
      </c>
    </row>
    <row r="80">
      <c r="A80" s="10">
        <v>10.0</v>
      </c>
      <c r="B80" s="356" t="s">
        <v>280</v>
      </c>
      <c r="C80" s="199"/>
      <c r="D80" s="36" t="s">
        <v>281</v>
      </c>
      <c r="E80" s="36" t="s">
        <v>282</v>
      </c>
    </row>
    <row r="81">
      <c r="A81" s="10">
        <v>11.0</v>
      </c>
      <c r="B81" s="356" t="s">
        <v>286</v>
      </c>
      <c r="C81" s="199"/>
      <c r="D81" s="36" t="s">
        <v>287</v>
      </c>
      <c r="E81" s="36" t="s">
        <v>288</v>
      </c>
    </row>
    <row r="82">
      <c r="A82" s="10">
        <v>12.0</v>
      </c>
      <c r="F82" s="36" t="s">
        <v>295</v>
      </c>
      <c r="G82" s="199"/>
      <c r="H82" s="36" t="s">
        <v>296</v>
      </c>
      <c r="I82" s="36" t="s">
        <v>297</v>
      </c>
    </row>
    <row r="83">
      <c r="A83" s="10">
        <v>13.0</v>
      </c>
      <c r="F83" s="36" t="s">
        <v>301</v>
      </c>
      <c r="G83" s="199"/>
      <c r="H83" s="36" t="s">
        <v>302</v>
      </c>
      <c r="I83" s="36" t="s">
        <v>303</v>
      </c>
    </row>
    <row r="84">
      <c r="A84" s="10">
        <v>14.0</v>
      </c>
      <c r="B84" s="356" t="s">
        <v>304</v>
      </c>
      <c r="C84" s="199"/>
      <c r="D84" s="36" t="s">
        <v>305</v>
      </c>
      <c r="E84" s="36" t="s">
        <v>306</v>
      </c>
    </row>
    <row r="85">
      <c r="A85" s="10">
        <v>15.0</v>
      </c>
      <c r="B85" s="356" t="s">
        <v>311</v>
      </c>
      <c r="C85" s="199"/>
      <c r="D85" s="36" t="s">
        <v>312</v>
      </c>
      <c r="E85" s="36" t="s">
        <v>313</v>
      </c>
    </row>
    <row r="86">
      <c r="A86" s="10">
        <v>16.0</v>
      </c>
      <c r="F86" s="36" t="s">
        <v>320</v>
      </c>
      <c r="G86" s="36" t="s">
        <v>321</v>
      </c>
      <c r="H86" s="36" t="s">
        <v>322</v>
      </c>
      <c r="I86" s="36" t="s">
        <v>323</v>
      </c>
    </row>
    <row r="87">
      <c r="A87" s="10">
        <v>17.0</v>
      </c>
      <c r="F87" s="36" t="s">
        <v>327</v>
      </c>
      <c r="G87" s="199"/>
      <c r="H87" s="36" t="s">
        <v>328</v>
      </c>
      <c r="I87" s="36" t="s">
        <v>329</v>
      </c>
    </row>
    <row r="88">
      <c r="A88" s="10">
        <v>18.0</v>
      </c>
      <c r="B88" s="356" t="s">
        <v>330</v>
      </c>
      <c r="C88" s="199"/>
      <c r="D88" s="36" t="s">
        <v>331</v>
      </c>
      <c r="E88" s="36" t="s">
        <v>332</v>
      </c>
    </row>
    <row r="89">
      <c r="A89" s="10">
        <v>19.0</v>
      </c>
      <c r="B89" s="356" t="s">
        <v>336</v>
      </c>
      <c r="C89" s="199"/>
      <c r="D89" s="36" t="s">
        <v>337</v>
      </c>
      <c r="E89" s="36" t="s">
        <v>338</v>
      </c>
    </row>
    <row r="90">
      <c r="A90" s="10">
        <v>20.0</v>
      </c>
      <c r="F90" s="36" t="s">
        <v>345</v>
      </c>
      <c r="G90" s="36" t="s">
        <v>346</v>
      </c>
      <c r="H90" s="36" t="s">
        <v>347</v>
      </c>
      <c r="I90" s="36" t="s">
        <v>348</v>
      </c>
    </row>
    <row r="91">
      <c r="A91" s="10">
        <v>21.0</v>
      </c>
      <c r="B91" s="356" t="s">
        <v>349</v>
      </c>
      <c r="C91" s="36" t="s">
        <v>350</v>
      </c>
      <c r="D91" s="36" t="s">
        <v>351</v>
      </c>
      <c r="E91" s="36" t="s">
        <v>352</v>
      </c>
    </row>
    <row r="94">
      <c r="A94" s="390" t="s">
        <v>458</v>
      </c>
      <c r="K94" s="393" t="s">
        <v>459</v>
      </c>
      <c r="L94" s="243"/>
      <c r="M94" s="243"/>
      <c r="N94" s="243"/>
      <c r="O94" s="243"/>
      <c r="P94" s="243"/>
      <c r="Q94" s="243"/>
      <c r="R94" s="243"/>
      <c r="S94" s="244"/>
    </row>
    <row r="95">
      <c r="A95" s="3" t="s">
        <v>2</v>
      </c>
      <c r="B95" s="354" t="s">
        <v>221</v>
      </c>
      <c r="C95" s="354" t="s">
        <v>222</v>
      </c>
      <c r="D95" s="354" t="s">
        <v>223</v>
      </c>
      <c r="E95" s="354" t="s">
        <v>224</v>
      </c>
      <c r="F95" s="354" t="s">
        <v>225</v>
      </c>
      <c r="G95" s="354" t="s">
        <v>226</v>
      </c>
      <c r="H95" s="354" t="s">
        <v>227</v>
      </c>
      <c r="I95" s="354" t="s">
        <v>228</v>
      </c>
      <c r="K95" s="359" t="s">
        <v>2</v>
      </c>
      <c r="L95" s="360" t="s">
        <v>221</v>
      </c>
      <c r="M95" s="360" t="s">
        <v>222</v>
      </c>
      <c r="N95" s="360" t="s">
        <v>223</v>
      </c>
      <c r="O95" s="360" t="s">
        <v>224</v>
      </c>
      <c r="P95" s="360" t="s">
        <v>225</v>
      </c>
      <c r="Q95" s="360" t="s">
        <v>226</v>
      </c>
      <c r="R95" s="360" t="s">
        <v>227</v>
      </c>
      <c r="S95" s="360" t="s">
        <v>228</v>
      </c>
    </row>
    <row r="96">
      <c r="A96" s="10">
        <v>1.0</v>
      </c>
      <c r="B96" s="356" t="s">
        <v>229</v>
      </c>
      <c r="C96" s="199"/>
      <c r="D96" s="36" t="s">
        <v>230</v>
      </c>
      <c r="E96" s="36" t="s">
        <v>231</v>
      </c>
      <c r="F96" s="36" t="s">
        <v>232</v>
      </c>
      <c r="G96" s="199"/>
      <c r="H96" s="36" t="s">
        <v>233</v>
      </c>
      <c r="I96" s="36" t="s">
        <v>234</v>
      </c>
      <c r="K96" s="361">
        <v>22.0</v>
      </c>
      <c r="L96" s="362" t="s">
        <v>356</v>
      </c>
      <c r="M96" s="363"/>
      <c r="N96" s="364" t="s">
        <v>357</v>
      </c>
      <c r="O96" s="364" t="s">
        <v>358</v>
      </c>
      <c r="P96" s="364" t="s">
        <v>359</v>
      </c>
      <c r="Q96" s="363"/>
      <c r="R96" s="365" t="s">
        <v>360</v>
      </c>
      <c r="S96" s="364" t="s">
        <v>361</v>
      </c>
    </row>
    <row r="97">
      <c r="A97" s="10">
        <v>2.0</v>
      </c>
      <c r="B97" s="356" t="s">
        <v>235</v>
      </c>
      <c r="C97" s="199"/>
      <c r="D97" s="36" t="s">
        <v>236</v>
      </c>
      <c r="E97" s="36" t="s">
        <v>237</v>
      </c>
      <c r="F97" s="36" t="s">
        <v>238</v>
      </c>
      <c r="G97" s="239" t="s">
        <v>239</v>
      </c>
      <c r="H97" s="36" t="s">
        <v>240</v>
      </c>
      <c r="I97" s="36" t="s">
        <v>241</v>
      </c>
      <c r="K97" s="361">
        <v>23.0</v>
      </c>
      <c r="L97" s="362" t="s">
        <v>362</v>
      </c>
      <c r="M97" s="363"/>
      <c r="N97" s="365" t="s">
        <v>363</v>
      </c>
      <c r="O97" s="364" t="s">
        <v>364</v>
      </c>
      <c r="P97" s="364" t="s">
        <v>365</v>
      </c>
      <c r="Q97" s="363"/>
      <c r="R97" s="364" t="s">
        <v>366</v>
      </c>
      <c r="S97" s="364" t="s">
        <v>367</v>
      </c>
    </row>
    <row r="98">
      <c r="A98" s="10">
        <v>4.0</v>
      </c>
      <c r="B98" s="356" t="s">
        <v>242</v>
      </c>
      <c r="C98" s="36" t="s">
        <v>243</v>
      </c>
      <c r="D98" s="36" t="s">
        <v>244</v>
      </c>
      <c r="E98" s="36" t="s">
        <v>245</v>
      </c>
      <c r="F98" s="36" t="s">
        <v>246</v>
      </c>
      <c r="G98" s="199"/>
      <c r="H98" s="36" t="s">
        <v>247</v>
      </c>
      <c r="I98" s="36" t="s">
        <v>248</v>
      </c>
      <c r="K98" s="361">
        <v>24.0</v>
      </c>
      <c r="L98" s="362" t="s">
        <v>368</v>
      </c>
      <c r="M98" s="363"/>
      <c r="N98" s="364" t="s">
        <v>369</v>
      </c>
      <c r="O98" s="364" t="s">
        <v>370</v>
      </c>
      <c r="P98" s="364" t="s">
        <v>371</v>
      </c>
      <c r="Q98" s="363"/>
      <c r="R98" s="364" t="s">
        <v>372</v>
      </c>
      <c r="S98" s="364" t="s">
        <v>373</v>
      </c>
    </row>
    <row r="99">
      <c r="A99" s="10">
        <v>5.0</v>
      </c>
      <c r="B99" s="356" t="s">
        <v>249</v>
      </c>
      <c r="C99" s="199"/>
      <c r="D99" s="36" t="s">
        <v>250</v>
      </c>
      <c r="E99" s="36" t="s">
        <v>251</v>
      </c>
      <c r="F99" s="239" t="s">
        <v>252</v>
      </c>
      <c r="G99" s="36" t="s">
        <v>253</v>
      </c>
      <c r="H99" s="36" t="s">
        <v>254</v>
      </c>
      <c r="I99" s="36" t="s">
        <v>255</v>
      </c>
      <c r="K99" s="361">
        <v>25.0</v>
      </c>
      <c r="L99" s="362" t="s">
        <v>374</v>
      </c>
      <c r="M99" s="363"/>
      <c r="N99" s="364" t="s">
        <v>375</v>
      </c>
      <c r="O99" s="364" t="s">
        <v>376</v>
      </c>
      <c r="P99" s="364" t="s">
        <v>377</v>
      </c>
      <c r="Q99" s="363"/>
      <c r="R99" s="364" t="s">
        <v>378</v>
      </c>
      <c r="S99" s="364" t="s">
        <v>379</v>
      </c>
    </row>
    <row r="100">
      <c r="A100" s="10">
        <v>6.0</v>
      </c>
      <c r="B100" s="356" t="s">
        <v>256</v>
      </c>
      <c r="C100" s="199"/>
      <c r="D100" s="36" t="s">
        <v>257</v>
      </c>
      <c r="E100" s="36" t="s">
        <v>258</v>
      </c>
      <c r="F100" s="36" t="s">
        <v>259</v>
      </c>
      <c r="G100" s="199"/>
      <c r="H100" s="36" t="s">
        <v>260</v>
      </c>
      <c r="I100" s="36" t="s">
        <v>261</v>
      </c>
      <c r="K100" s="361">
        <v>26.0</v>
      </c>
      <c r="L100" s="362" t="s">
        <v>380</v>
      </c>
      <c r="M100" s="363"/>
      <c r="N100" s="364" t="s">
        <v>381</v>
      </c>
      <c r="O100" s="364" t="s">
        <v>382</v>
      </c>
      <c r="P100" s="364" t="s">
        <v>383</v>
      </c>
      <c r="Q100" s="363"/>
      <c r="R100" s="364" t="s">
        <v>384</v>
      </c>
      <c r="S100" s="364" t="s">
        <v>385</v>
      </c>
    </row>
    <row r="101">
      <c r="A101" s="10">
        <v>7.0</v>
      </c>
      <c r="B101" s="357" t="s">
        <v>262</v>
      </c>
      <c r="C101" s="199"/>
      <c r="D101" s="36" t="s">
        <v>263</v>
      </c>
      <c r="E101" s="36" t="s">
        <v>264</v>
      </c>
      <c r="F101" s="36" t="s">
        <v>265</v>
      </c>
      <c r="G101" s="199"/>
      <c r="H101" s="36" t="s">
        <v>266</v>
      </c>
      <c r="I101" s="36" t="s">
        <v>267</v>
      </c>
      <c r="K101" s="361">
        <v>27.0</v>
      </c>
      <c r="L101" s="362" t="s">
        <v>386</v>
      </c>
      <c r="M101" s="363"/>
      <c r="N101" s="364" t="s">
        <v>387</v>
      </c>
      <c r="O101" s="364" t="s">
        <v>388</v>
      </c>
      <c r="P101" s="364" t="s">
        <v>389</v>
      </c>
      <c r="Q101" s="363"/>
      <c r="R101" s="364" t="s">
        <v>390</v>
      </c>
      <c r="S101" s="364" t="s">
        <v>391</v>
      </c>
    </row>
    <row r="102">
      <c r="A102" s="10">
        <v>8.0</v>
      </c>
      <c r="B102" s="356" t="s">
        <v>268</v>
      </c>
      <c r="C102" s="199"/>
      <c r="D102" s="36" t="s">
        <v>269</v>
      </c>
      <c r="E102" s="36" t="s">
        <v>270</v>
      </c>
      <c r="F102" s="36" t="s">
        <v>271</v>
      </c>
      <c r="G102" s="199"/>
      <c r="H102" s="36" t="s">
        <v>272</v>
      </c>
      <c r="I102" s="36" t="s">
        <v>273</v>
      </c>
      <c r="K102" s="361">
        <v>28.0</v>
      </c>
      <c r="L102" s="362" t="s">
        <v>392</v>
      </c>
      <c r="M102" s="363"/>
      <c r="N102" s="364" t="s">
        <v>393</v>
      </c>
      <c r="O102" s="364" t="s">
        <v>394</v>
      </c>
      <c r="P102" s="364" t="s">
        <v>395</v>
      </c>
      <c r="Q102" s="363"/>
      <c r="R102" s="364" t="s">
        <v>396</v>
      </c>
      <c r="S102" s="364" t="s">
        <v>397</v>
      </c>
    </row>
    <row r="103">
      <c r="A103" s="10">
        <v>9.0</v>
      </c>
      <c r="B103" s="356" t="s">
        <v>274</v>
      </c>
      <c r="C103" s="199"/>
      <c r="D103" s="36" t="s">
        <v>275</v>
      </c>
      <c r="E103" s="36" t="s">
        <v>276</v>
      </c>
      <c r="F103" s="36" t="s">
        <v>277</v>
      </c>
      <c r="G103" s="199"/>
      <c r="H103" s="36" t="s">
        <v>278</v>
      </c>
      <c r="I103" s="36" t="s">
        <v>279</v>
      </c>
      <c r="K103" s="361">
        <v>29.0</v>
      </c>
      <c r="L103" s="362" t="s">
        <v>398</v>
      </c>
      <c r="M103" s="363"/>
      <c r="N103" s="364" t="s">
        <v>399</v>
      </c>
      <c r="O103" s="364" t="s">
        <v>400</v>
      </c>
      <c r="P103" s="364" t="s">
        <v>401</v>
      </c>
      <c r="Q103" s="363"/>
      <c r="R103" s="364" t="s">
        <v>402</v>
      </c>
      <c r="S103" s="364" t="s">
        <v>403</v>
      </c>
    </row>
    <row r="104">
      <c r="A104" s="10">
        <v>10.0</v>
      </c>
      <c r="B104" s="356" t="s">
        <v>280</v>
      </c>
      <c r="C104" s="199"/>
      <c r="D104" s="36" t="s">
        <v>281</v>
      </c>
      <c r="E104" s="36" t="s">
        <v>282</v>
      </c>
      <c r="F104" s="36" t="s">
        <v>283</v>
      </c>
      <c r="G104" s="199"/>
      <c r="H104" s="36" t="s">
        <v>284</v>
      </c>
      <c r="I104" s="36" t="s">
        <v>285</v>
      </c>
      <c r="K104" s="361">
        <v>31.0</v>
      </c>
      <c r="L104" s="362" t="s">
        <v>404</v>
      </c>
      <c r="M104" s="363"/>
      <c r="N104" s="364" t="s">
        <v>405</v>
      </c>
      <c r="O104" s="364" t="s">
        <v>406</v>
      </c>
      <c r="P104" s="364" t="s">
        <v>407</v>
      </c>
      <c r="Q104" s="363"/>
      <c r="R104" s="364" t="s">
        <v>408</v>
      </c>
      <c r="S104" s="364" t="s">
        <v>409</v>
      </c>
    </row>
    <row r="105">
      <c r="A105" s="10">
        <v>11.0</v>
      </c>
      <c r="B105" s="356" t="s">
        <v>286</v>
      </c>
      <c r="C105" s="199"/>
      <c r="D105" s="36" t="s">
        <v>287</v>
      </c>
      <c r="E105" s="36" t="s">
        <v>288</v>
      </c>
      <c r="F105" s="36" t="s">
        <v>289</v>
      </c>
      <c r="G105" s="199"/>
      <c r="H105" s="36" t="s">
        <v>290</v>
      </c>
      <c r="I105" s="36" t="s">
        <v>291</v>
      </c>
      <c r="K105" s="361">
        <v>32.0</v>
      </c>
      <c r="L105" s="362" t="s">
        <v>410</v>
      </c>
      <c r="M105" s="363"/>
      <c r="N105" s="364" t="s">
        <v>411</v>
      </c>
      <c r="O105" s="364" t="s">
        <v>412</v>
      </c>
      <c r="P105" s="364" t="s">
        <v>413</v>
      </c>
      <c r="Q105" s="363"/>
      <c r="R105" s="364" t="s">
        <v>414</v>
      </c>
      <c r="S105" s="364" t="s">
        <v>415</v>
      </c>
    </row>
    <row r="106">
      <c r="A106" s="10">
        <v>12.0</v>
      </c>
      <c r="B106" s="356" t="s">
        <v>292</v>
      </c>
      <c r="C106" s="199"/>
      <c r="D106" s="36" t="s">
        <v>293</v>
      </c>
      <c r="E106" s="36" t="s">
        <v>294</v>
      </c>
      <c r="F106" s="36" t="s">
        <v>295</v>
      </c>
      <c r="G106" s="199"/>
      <c r="H106" s="36" t="s">
        <v>296</v>
      </c>
      <c r="I106" s="36" t="s">
        <v>297</v>
      </c>
    </row>
    <row r="107">
      <c r="A107" s="10">
        <v>13.0</v>
      </c>
      <c r="B107" s="356" t="s">
        <v>298</v>
      </c>
      <c r="C107" s="199"/>
      <c r="D107" s="36" t="s">
        <v>299</v>
      </c>
      <c r="E107" s="36" t="s">
        <v>300</v>
      </c>
      <c r="F107" s="36" t="s">
        <v>301</v>
      </c>
      <c r="G107" s="199"/>
      <c r="H107" s="36" t="s">
        <v>302</v>
      </c>
      <c r="I107" s="36" t="s">
        <v>303</v>
      </c>
    </row>
    <row r="108">
      <c r="A108" s="10">
        <v>14.0</v>
      </c>
      <c r="B108" s="356" t="s">
        <v>304</v>
      </c>
      <c r="C108" s="199"/>
      <c r="D108" s="36" t="s">
        <v>305</v>
      </c>
      <c r="E108" s="36" t="s">
        <v>306</v>
      </c>
      <c r="F108" s="36" t="s">
        <v>307</v>
      </c>
      <c r="G108" s="36" t="s">
        <v>308</v>
      </c>
      <c r="H108" s="36" t="s">
        <v>309</v>
      </c>
      <c r="I108" s="36" t="s">
        <v>310</v>
      </c>
    </row>
    <row r="109">
      <c r="A109" s="10">
        <v>15.0</v>
      </c>
      <c r="B109" s="356" t="s">
        <v>311</v>
      </c>
      <c r="C109" s="199"/>
      <c r="D109" s="36" t="s">
        <v>312</v>
      </c>
      <c r="E109" s="36" t="s">
        <v>313</v>
      </c>
      <c r="F109" s="36" t="s">
        <v>314</v>
      </c>
      <c r="G109" s="199"/>
      <c r="H109" s="36" t="s">
        <v>315</v>
      </c>
      <c r="I109" s="36" t="s">
        <v>316</v>
      </c>
    </row>
    <row r="110">
      <c r="A110" s="10">
        <v>16.0</v>
      </c>
      <c r="B110" s="356" t="s">
        <v>317</v>
      </c>
      <c r="C110" s="199"/>
      <c r="D110" s="36" t="s">
        <v>318</v>
      </c>
      <c r="E110" s="36" t="s">
        <v>319</v>
      </c>
      <c r="F110" s="36" t="s">
        <v>320</v>
      </c>
      <c r="G110" s="36" t="s">
        <v>321</v>
      </c>
      <c r="H110" s="36" t="s">
        <v>322</v>
      </c>
      <c r="I110" s="36" t="s">
        <v>323</v>
      </c>
    </row>
    <row r="111">
      <c r="A111" s="10">
        <v>17.0</v>
      </c>
      <c r="B111" s="356" t="s">
        <v>324</v>
      </c>
      <c r="C111" s="199"/>
      <c r="D111" s="36" t="s">
        <v>325</v>
      </c>
      <c r="E111" s="36" t="s">
        <v>326</v>
      </c>
      <c r="F111" s="36" t="s">
        <v>327</v>
      </c>
      <c r="G111" s="199"/>
      <c r="H111" s="36" t="s">
        <v>328</v>
      </c>
      <c r="I111" s="36" t="s">
        <v>329</v>
      </c>
    </row>
    <row r="112">
      <c r="A112" s="10">
        <v>18.0</v>
      </c>
      <c r="B112" s="356" t="s">
        <v>330</v>
      </c>
      <c r="C112" s="199"/>
      <c r="D112" s="36" t="s">
        <v>331</v>
      </c>
      <c r="E112" s="36" t="s">
        <v>332</v>
      </c>
      <c r="F112" s="36" t="s">
        <v>333</v>
      </c>
      <c r="G112" s="199"/>
      <c r="H112" s="36" t="s">
        <v>334</v>
      </c>
      <c r="I112" s="36" t="s">
        <v>335</v>
      </c>
    </row>
    <row r="113">
      <c r="A113" s="10">
        <v>19.0</v>
      </c>
      <c r="B113" s="356" t="s">
        <v>336</v>
      </c>
      <c r="C113" s="199"/>
      <c r="D113" s="36" t="s">
        <v>337</v>
      </c>
      <c r="E113" s="36" t="s">
        <v>338</v>
      </c>
      <c r="F113" s="36" t="s">
        <v>339</v>
      </c>
      <c r="G113" s="199"/>
      <c r="H113" s="36" t="s">
        <v>340</v>
      </c>
      <c r="I113" s="36" t="s">
        <v>341</v>
      </c>
    </row>
    <row r="114">
      <c r="A114" s="10">
        <v>20.0</v>
      </c>
      <c r="B114" s="356" t="s">
        <v>342</v>
      </c>
      <c r="C114" s="199"/>
      <c r="D114" s="36" t="s">
        <v>343</v>
      </c>
      <c r="E114" s="36" t="s">
        <v>344</v>
      </c>
      <c r="F114" s="36" t="s">
        <v>345</v>
      </c>
      <c r="G114" s="36" t="s">
        <v>346</v>
      </c>
      <c r="H114" s="36" t="s">
        <v>347</v>
      </c>
      <c r="I114" s="36" t="s">
        <v>348</v>
      </c>
    </row>
    <row r="115">
      <c r="A115" s="10">
        <v>21.0</v>
      </c>
      <c r="B115" s="356" t="s">
        <v>349</v>
      </c>
      <c r="C115" s="36" t="s">
        <v>350</v>
      </c>
      <c r="D115" s="36" t="s">
        <v>351</v>
      </c>
      <c r="E115" s="36" t="s">
        <v>352</v>
      </c>
      <c r="F115" s="36" t="s">
        <v>353</v>
      </c>
      <c r="G115" s="199"/>
      <c r="H115" s="36" t="s">
        <v>354</v>
      </c>
      <c r="I115" s="36" t="s">
        <v>355</v>
      </c>
    </row>
  </sheetData>
  <mergeCells count="17">
    <mergeCell ref="A1:E1"/>
    <mergeCell ref="G1:K1"/>
    <mergeCell ref="M1:Q1"/>
    <mergeCell ref="S1:W1"/>
    <mergeCell ref="G16:K16"/>
    <mergeCell ref="M16:Q16"/>
    <mergeCell ref="S16:W16"/>
    <mergeCell ref="A70:I70"/>
    <mergeCell ref="A94:I94"/>
    <mergeCell ref="K94:S94"/>
    <mergeCell ref="A16:E16"/>
    <mergeCell ref="A31:E31"/>
    <mergeCell ref="G31:K31"/>
    <mergeCell ref="M31:Q31"/>
    <mergeCell ref="S31:W31"/>
    <mergeCell ref="A46:D46"/>
    <mergeCell ref="F46:I4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  <col customWidth="1" min="6" max="6" width="64.5"/>
    <col customWidth="1" min="7" max="10" width="37.63"/>
    <col customWidth="1" min="16" max="16" width="55.0"/>
  </cols>
  <sheetData>
    <row r="1" ht="22.5" customHeight="1">
      <c r="A1" s="394" t="s">
        <v>1</v>
      </c>
      <c r="B1" s="394" t="s">
        <v>2</v>
      </c>
      <c r="C1" s="394" t="s">
        <v>3</v>
      </c>
      <c r="D1" s="394" t="s">
        <v>4</v>
      </c>
      <c r="E1" s="394" t="s">
        <v>5</v>
      </c>
      <c r="F1" s="395" t="s">
        <v>6</v>
      </c>
      <c r="G1" s="394" t="s">
        <v>7</v>
      </c>
      <c r="H1" s="394" t="s">
        <v>8</v>
      </c>
      <c r="I1" s="394" t="s">
        <v>9</v>
      </c>
      <c r="J1" s="394" t="s">
        <v>10</v>
      </c>
      <c r="K1" s="396" t="s">
        <v>460</v>
      </c>
      <c r="L1" s="396" t="s">
        <v>461</v>
      </c>
      <c r="M1" s="396" t="s">
        <v>462</v>
      </c>
      <c r="N1" s="396" t="s">
        <v>463</v>
      </c>
      <c r="O1" s="396" t="s">
        <v>464</v>
      </c>
      <c r="P1" s="396" t="s">
        <v>465</v>
      </c>
      <c r="Q1" s="396" t="s">
        <v>466</v>
      </c>
      <c r="R1" s="396" t="s">
        <v>467</v>
      </c>
      <c r="S1" s="396" t="s">
        <v>468</v>
      </c>
      <c r="T1" s="396" t="s">
        <v>469</v>
      </c>
    </row>
    <row r="2" ht="22.5" customHeight="1">
      <c r="A2" s="397">
        <v>45896.46873256944</v>
      </c>
      <c r="B2" s="398" t="s">
        <v>138</v>
      </c>
      <c r="C2" s="399">
        <v>23.0</v>
      </c>
      <c r="D2" s="399" t="s">
        <v>33</v>
      </c>
      <c r="E2" s="399" t="s">
        <v>34</v>
      </c>
      <c r="F2" s="399" t="s">
        <v>39</v>
      </c>
      <c r="G2" s="399">
        <v>4.0</v>
      </c>
      <c r="H2" s="399">
        <v>4.0</v>
      </c>
      <c r="I2" s="399">
        <v>4.0</v>
      </c>
      <c r="J2" s="399">
        <v>4.0</v>
      </c>
      <c r="K2" s="400"/>
      <c r="L2" s="401">
        <v>22.0</v>
      </c>
      <c r="M2" s="402">
        <v>31.0</v>
      </c>
      <c r="N2" s="403" t="s">
        <v>33</v>
      </c>
      <c r="O2" s="403" t="s">
        <v>34</v>
      </c>
      <c r="P2" s="403" t="s">
        <v>69</v>
      </c>
      <c r="Q2" s="402">
        <v>4.0</v>
      </c>
      <c r="R2" s="402">
        <v>5.0</v>
      </c>
      <c r="S2" s="402">
        <v>4.0</v>
      </c>
      <c r="T2" s="402">
        <v>4.0</v>
      </c>
    </row>
    <row r="3" ht="22.5" customHeight="1">
      <c r="A3" s="397">
        <v>45896.63732892361</v>
      </c>
      <c r="B3" s="398" t="s">
        <v>121</v>
      </c>
      <c r="C3" s="399">
        <v>24.0</v>
      </c>
      <c r="D3" s="399" t="s">
        <v>43</v>
      </c>
      <c r="E3" s="399" t="s">
        <v>34</v>
      </c>
      <c r="F3" s="399" t="s">
        <v>44</v>
      </c>
      <c r="G3" s="399">
        <v>5.0</v>
      </c>
      <c r="H3" s="399">
        <v>5.0</v>
      </c>
      <c r="I3" s="399">
        <v>4.0</v>
      </c>
      <c r="J3" s="399">
        <v>5.0</v>
      </c>
      <c r="K3" s="400"/>
      <c r="L3" s="401">
        <v>23.0</v>
      </c>
      <c r="M3" s="402">
        <v>26.0</v>
      </c>
      <c r="N3" s="403" t="s">
        <v>33</v>
      </c>
      <c r="O3" s="403" t="s">
        <v>58</v>
      </c>
      <c r="P3" s="403" t="s">
        <v>44</v>
      </c>
      <c r="Q3" s="402">
        <v>4.0</v>
      </c>
      <c r="R3" s="402">
        <v>3.0</v>
      </c>
      <c r="S3" s="402">
        <v>4.0</v>
      </c>
      <c r="T3" s="402">
        <v>3.0</v>
      </c>
    </row>
    <row r="4" ht="22.5" customHeight="1">
      <c r="A4" s="397">
        <v>45897.49108633102</v>
      </c>
      <c r="B4" s="398" t="s">
        <v>122</v>
      </c>
      <c r="C4" s="399">
        <v>24.0</v>
      </c>
      <c r="D4" s="399" t="s">
        <v>43</v>
      </c>
      <c r="E4" s="399" t="s">
        <v>34</v>
      </c>
      <c r="F4" s="399" t="s">
        <v>44</v>
      </c>
      <c r="G4" s="399">
        <v>3.0</v>
      </c>
      <c r="H4" s="399">
        <v>2.0</v>
      </c>
      <c r="I4" s="399">
        <v>4.0</v>
      </c>
      <c r="J4" s="399">
        <v>4.0</v>
      </c>
      <c r="K4" s="400"/>
      <c r="L4" s="401">
        <v>24.0</v>
      </c>
      <c r="M4" s="402">
        <v>27.0</v>
      </c>
      <c r="N4" s="403" t="s">
        <v>33</v>
      </c>
      <c r="O4" s="403" t="s">
        <v>34</v>
      </c>
      <c r="P4" s="403" t="s">
        <v>44</v>
      </c>
      <c r="Q4" s="402">
        <v>4.0</v>
      </c>
      <c r="R4" s="402">
        <v>4.0</v>
      </c>
      <c r="S4" s="402">
        <v>4.0</v>
      </c>
      <c r="T4" s="402">
        <v>4.0</v>
      </c>
    </row>
    <row r="5" ht="22.5" customHeight="1">
      <c r="A5" s="397">
        <v>45897.623218333334</v>
      </c>
      <c r="B5" s="398" t="s">
        <v>123</v>
      </c>
      <c r="C5" s="399">
        <v>27.0</v>
      </c>
      <c r="D5" s="399" t="s">
        <v>33</v>
      </c>
      <c r="E5" s="399" t="s">
        <v>34</v>
      </c>
      <c r="F5" s="399" t="s">
        <v>44</v>
      </c>
      <c r="G5" s="399">
        <v>5.0</v>
      </c>
      <c r="H5" s="399">
        <v>5.0</v>
      </c>
      <c r="I5" s="399">
        <v>5.0</v>
      </c>
      <c r="J5" s="399">
        <v>4.0</v>
      </c>
      <c r="K5" s="400"/>
      <c r="L5" s="401">
        <v>25.0</v>
      </c>
      <c r="M5" s="402">
        <v>27.0</v>
      </c>
      <c r="N5" s="403" t="s">
        <v>43</v>
      </c>
      <c r="O5" s="403" t="s">
        <v>62</v>
      </c>
      <c r="P5" s="403" t="s">
        <v>63</v>
      </c>
      <c r="Q5" s="402">
        <v>4.0</v>
      </c>
      <c r="R5" s="402">
        <v>4.0</v>
      </c>
      <c r="S5" s="402">
        <v>5.0</v>
      </c>
      <c r="T5" s="402">
        <v>4.0</v>
      </c>
    </row>
    <row r="6" ht="22.5" customHeight="1">
      <c r="A6" s="397">
        <v>45897.70185355324</v>
      </c>
      <c r="B6" s="398" t="s">
        <v>124</v>
      </c>
      <c r="C6" s="399">
        <v>22.0</v>
      </c>
      <c r="D6" s="399" t="s">
        <v>43</v>
      </c>
      <c r="E6" s="399" t="s">
        <v>34</v>
      </c>
      <c r="F6" s="399" t="s">
        <v>49</v>
      </c>
      <c r="G6" s="399">
        <v>4.0</v>
      </c>
      <c r="H6" s="399">
        <v>3.0</v>
      </c>
      <c r="I6" s="399">
        <v>4.0</v>
      </c>
      <c r="J6" s="399">
        <v>5.0</v>
      </c>
      <c r="K6" s="400"/>
      <c r="L6" s="401">
        <v>26.0</v>
      </c>
      <c r="M6" s="402">
        <v>27.0</v>
      </c>
      <c r="N6" s="403" t="s">
        <v>33</v>
      </c>
      <c r="O6" s="403" t="s">
        <v>34</v>
      </c>
      <c r="P6" s="403" t="s">
        <v>74</v>
      </c>
      <c r="Q6" s="402">
        <v>5.0</v>
      </c>
      <c r="R6" s="402">
        <v>4.0</v>
      </c>
      <c r="S6" s="402">
        <v>5.0</v>
      </c>
      <c r="T6" s="402">
        <v>5.0</v>
      </c>
    </row>
    <row r="7" ht="22.5" customHeight="1">
      <c r="A7" s="397">
        <v>45898.52983979166</v>
      </c>
      <c r="B7" s="398" t="s">
        <v>125</v>
      </c>
      <c r="C7" s="399">
        <v>23.0</v>
      </c>
      <c r="D7" s="399" t="s">
        <v>33</v>
      </c>
      <c r="E7" s="399" t="s">
        <v>34</v>
      </c>
      <c r="F7" s="399" t="s">
        <v>44</v>
      </c>
      <c r="G7" s="399">
        <v>3.0</v>
      </c>
      <c r="H7" s="399">
        <v>4.0</v>
      </c>
      <c r="I7" s="399">
        <v>5.0</v>
      </c>
      <c r="J7" s="399">
        <v>5.0</v>
      </c>
      <c r="K7" s="400"/>
      <c r="L7" s="401">
        <v>27.0</v>
      </c>
      <c r="M7" s="402">
        <v>25.0</v>
      </c>
      <c r="N7" s="403" t="s">
        <v>43</v>
      </c>
      <c r="O7" s="403" t="s">
        <v>34</v>
      </c>
      <c r="P7" s="403" t="s">
        <v>44</v>
      </c>
      <c r="Q7" s="402">
        <v>5.0</v>
      </c>
      <c r="R7" s="402">
        <v>5.0</v>
      </c>
      <c r="S7" s="402">
        <v>5.0</v>
      </c>
      <c r="T7" s="402">
        <v>5.0</v>
      </c>
    </row>
    <row r="8" ht="22.5" customHeight="1">
      <c r="A8" s="397">
        <v>45898.60045869213</v>
      </c>
      <c r="B8" s="398" t="s">
        <v>126</v>
      </c>
      <c r="C8" s="399">
        <v>31.0</v>
      </c>
      <c r="D8" s="399" t="s">
        <v>43</v>
      </c>
      <c r="E8" s="399" t="s">
        <v>34</v>
      </c>
      <c r="F8" s="399" t="s">
        <v>44</v>
      </c>
      <c r="G8" s="399">
        <v>5.0</v>
      </c>
      <c r="H8" s="399">
        <v>4.0</v>
      </c>
      <c r="I8" s="399">
        <v>4.0</v>
      </c>
      <c r="J8" s="399">
        <v>3.0</v>
      </c>
      <c r="K8" s="400"/>
      <c r="L8" s="401">
        <v>28.0</v>
      </c>
      <c r="M8" s="402">
        <v>33.0</v>
      </c>
      <c r="N8" s="403" t="s">
        <v>77</v>
      </c>
      <c r="O8" s="403" t="s">
        <v>34</v>
      </c>
      <c r="P8" s="403" t="s">
        <v>44</v>
      </c>
      <c r="Q8" s="402">
        <v>5.0</v>
      </c>
      <c r="R8" s="402">
        <v>5.0</v>
      </c>
      <c r="S8" s="402">
        <v>5.0</v>
      </c>
      <c r="T8" s="402">
        <v>5.0</v>
      </c>
    </row>
    <row r="9" ht="22.5" customHeight="1">
      <c r="A9" s="397">
        <v>45898.67192965277</v>
      </c>
      <c r="B9" s="398" t="s">
        <v>127</v>
      </c>
      <c r="C9" s="399">
        <v>31.0</v>
      </c>
      <c r="D9" s="399" t="s">
        <v>33</v>
      </c>
      <c r="E9" s="399" t="s">
        <v>34</v>
      </c>
      <c r="F9" s="399" t="s">
        <v>49</v>
      </c>
      <c r="G9" s="399">
        <v>4.0</v>
      </c>
      <c r="H9" s="399">
        <v>5.0</v>
      </c>
      <c r="I9" s="399">
        <v>5.0</v>
      </c>
      <c r="J9" s="399">
        <v>4.0</v>
      </c>
      <c r="K9" s="400"/>
      <c r="L9" s="401">
        <v>29.0</v>
      </c>
      <c r="M9" s="402">
        <v>33.0</v>
      </c>
      <c r="N9" s="403" t="s">
        <v>33</v>
      </c>
      <c r="O9" s="403" t="s">
        <v>58</v>
      </c>
      <c r="P9" s="403" t="s">
        <v>44</v>
      </c>
      <c r="Q9" s="402">
        <v>4.0</v>
      </c>
      <c r="R9" s="402">
        <v>4.0</v>
      </c>
      <c r="S9" s="402">
        <v>4.0</v>
      </c>
      <c r="T9" s="402">
        <v>5.0</v>
      </c>
    </row>
    <row r="10" ht="22.5" customHeight="1">
      <c r="A10" s="397">
        <v>45901.401297696764</v>
      </c>
      <c r="B10" s="399">
        <v>10.0</v>
      </c>
      <c r="C10" s="399">
        <v>31.0</v>
      </c>
      <c r="D10" s="399" t="s">
        <v>43</v>
      </c>
      <c r="E10" s="399" t="s">
        <v>34</v>
      </c>
      <c r="F10" s="399" t="s">
        <v>35</v>
      </c>
      <c r="G10" s="399">
        <v>5.0</v>
      </c>
      <c r="H10" s="399">
        <v>4.0</v>
      </c>
      <c r="I10" s="399">
        <v>3.0</v>
      </c>
      <c r="J10" s="399">
        <v>4.0</v>
      </c>
      <c r="K10" s="400"/>
      <c r="L10" s="401"/>
      <c r="M10" s="402"/>
      <c r="N10" s="403"/>
      <c r="O10" s="403"/>
      <c r="P10" s="403"/>
      <c r="Q10" s="402"/>
      <c r="R10" s="402"/>
      <c r="S10" s="402"/>
      <c r="T10" s="402"/>
    </row>
    <row r="11" ht="22.5" customHeight="1">
      <c r="A11" s="397">
        <v>45901.488640717595</v>
      </c>
      <c r="B11" s="399">
        <v>11.0</v>
      </c>
      <c r="C11" s="399">
        <v>24.0</v>
      </c>
      <c r="D11" s="399" t="s">
        <v>43</v>
      </c>
      <c r="E11" s="399" t="s">
        <v>34</v>
      </c>
      <c r="F11" s="399" t="s">
        <v>39</v>
      </c>
      <c r="G11" s="399">
        <v>4.0</v>
      </c>
      <c r="H11" s="399">
        <v>4.0</v>
      </c>
      <c r="I11" s="399">
        <v>4.0</v>
      </c>
      <c r="J11" s="399">
        <v>4.0</v>
      </c>
      <c r="K11" s="400"/>
      <c r="L11" s="401">
        <v>31.0</v>
      </c>
      <c r="M11" s="402">
        <v>27.0</v>
      </c>
      <c r="N11" s="403" t="s">
        <v>33</v>
      </c>
      <c r="O11" s="403" t="s">
        <v>34</v>
      </c>
      <c r="P11" s="403" t="s">
        <v>39</v>
      </c>
      <c r="Q11" s="402">
        <v>5.0</v>
      </c>
      <c r="R11" s="402">
        <v>5.0</v>
      </c>
      <c r="S11" s="402">
        <v>5.0</v>
      </c>
      <c r="T11" s="402">
        <v>5.0</v>
      </c>
    </row>
    <row r="12" ht="22.5" customHeight="1">
      <c r="A12" s="397">
        <v>45902.401931932865</v>
      </c>
      <c r="B12" s="399">
        <v>12.0</v>
      </c>
      <c r="C12" s="399">
        <v>42.0</v>
      </c>
      <c r="D12" s="399" t="s">
        <v>33</v>
      </c>
      <c r="E12" s="399" t="s">
        <v>34</v>
      </c>
      <c r="F12" s="399" t="s">
        <v>49</v>
      </c>
      <c r="G12" s="399">
        <v>4.0</v>
      </c>
      <c r="H12" s="399">
        <v>4.0</v>
      </c>
      <c r="I12" s="399">
        <v>3.0</v>
      </c>
      <c r="J12" s="399">
        <v>3.0</v>
      </c>
      <c r="K12" s="400"/>
      <c r="L12" s="401">
        <v>32.0</v>
      </c>
      <c r="M12" s="402">
        <v>39.0</v>
      </c>
      <c r="N12" s="403" t="s">
        <v>33</v>
      </c>
      <c r="O12" s="403" t="s">
        <v>34</v>
      </c>
      <c r="P12" s="403" t="s">
        <v>69</v>
      </c>
      <c r="Q12" s="402">
        <v>5.0</v>
      </c>
      <c r="R12" s="402">
        <v>4.0</v>
      </c>
      <c r="S12" s="402">
        <v>5.0</v>
      </c>
      <c r="T12" s="402">
        <v>3.0</v>
      </c>
    </row>
    <row r="13" ht="22.5" customHeight="1">
      <c r="A13" s="397">
        <v>45902.46697548611</v>
      </c>
      <c r="B13" s="399">
        <v>13.0</v>
      </c>
      <c r="C13" s="399">
        <v>26.0</v>
      </c>
      <c r="D13" s="399" t="s">
        <v>33</v>
      </c>
      <c r="E13" s="399" t="s">
        <v>34</v>
      </c>
      <c r="F13" s="399" t="s">
        <v>39</v>
      </c>
      <c r="G13" s="399">
        <v>4.0</v>
      </c>
      <c r="H13" s="399">
        <v>4.0</v>
      </c>
      <c r="I13" s="399">
        <v>4.0</v>
      </c>
      <c r="J13" s="399">
        <v>5.0</v>
      </c>
      <c r="L13" s="399" t="s">
        <v>470</v>
      </c>
      <c r="M13" s="404">
        <f>MAX(M2:M12)</f>
        <v>39</v>
      </c>
      <c r="N13" s="399" t="s">
        <v>471</v>
      </c>
      <c r="O13" s="399" t="s">
        <v>472</v>
      </c>
      <c r="P13" s="399" t="s">
        <v>473</v>
      </c>
      <c r="Q13" s="405"/>
      <c r="R13" s="405"/>
      <c r="S13" s="405"/>
      <c r="T13" s="405"/>
    </row>
    <row r="14" ht="22.5" customHeight="1">
      <c r="A14" s="397">
        <v>45902.552197048615</v>
      </c>
      <c r="B14" s="399">
        <v>14.0</v>
      </c>
      <c r="C14" s="399">
        <v>25.0</v>
      </c>
      <c r="D14" s="399" t="s">
        <v>33</v>
      </c>
      <c r="E14" s="399" t="s">
        <v>58</v>
      </c>
      <c r="F14" s="399" t="s">
        <v>49</v>
      </c>
      <c r="G14" s="399">
        <v>4.0</v>
      </c>
      <c r="H14" s="399">
        <v>4.0</v>
      </c>
      <c r="I14" s="399">
        <v>4.0</v>
      </c>
      <c r="J14" s="399">
        <v>4.0</v>
      </c>
      <c r="L14" s="399" t="s">
        <v>474</v>
      </c>
      <c r="M14" s="404">
        <f>AVERAGE(M2:M12)</f>
        <v>29.5</v>
      </c>
      <c r="N14" s="404">
        <f>COUNTIF(N2:N12,"Male")</f>
        <v>7</v>
      </c>
      <c r="O14" s="404">
        <f>countif(O2:O12, "Left")</f>
        <v>2</v>
      </c>
      <c r="P14" s="404">
        <f>countif(Table3[Do you have prior experience with any of the following? (Select all that apply)], "Exoskeletons")</f>
        <v>1</v>
      </c>
      <c r="Q14" s="405"/>
      <c r="R14" s="405"/>
      <c r="S14" s="405"/>
      <c r="T14" s="405"/>
    </row>
    <row r="15" ht="22.5" customHeight="1">
      <c r="A15" s="397">
        <v>45902.61986189814</v>
      </c>
      <c r="B15" s="399">
        <v>15.0</v>
      </c>
      <c r="C15" s="399">
        <v>25.0</v>
      </c>
      <c r="D15" s="399" t="s">
        <v>33</v>
      </c>
      <c r="E15" s="399" t="s">
        <v>34</v>
      </c>
      <c r="F15" s="399" t="s">
        <v>44</v>
      </c>
      <c r="G15" s="399">
        <v>4.0</v>
      </c>
      <c r="H15" s="399">
        <v>5.0</v>
      </c>
      <c r="I15" s="399">
        <v>5.0</v>
      </c>
      <c r="J15" s="399">
        <v>5.0</v>
      </c>
      <c r="L15" s="399" t="s">
        <v>475</v>
      </c>
      <c r="M15" s="404">
        <f>STDEV(M2:M12)</f>
        <v>4.403281605</v>
      </c>
      <c r="N15" s="399" t="s">
        <v>476</v>
      </c>
      <c r="O15" s="399" t="s">
        <v>477</v>
      </c>
      <c r="P15" s="399" t="s">
        <v>478</v>
      </c>
      <c r="Q15" s="405"/>
      <c r="R15" s="405"/>
      <c r="S15" s="405"/>
      <c r="T15" s="405"/>
    </row>
    <row r="16" ht="22.5" customHeight="1">
      <c r="A16" s="397">
        <v>45902.70575905092</v>
      </c>
      <c r="B16" s="399">
        <v>16.0</v>
      </c>
      <c r="C16" s="399">
        <v>23.0</v>
      </c>
      <c r="D16" s="399" t="s">
        <v>33</v>
      </c>
      <c r="E16" s="399" t="s">
        <v>34</v>
      </c>
      <c r="F16" s="399" t="s">
        <v>44</v>
      </c>
      <c r="G16" s="399">
        <v>3.0</v>
      </c>
      <c r="H16" s="399">
        <v>4.0</v>
      </c>
      <c r="I16" s="399">
        <v>4.0</v>
      </c>
      <c r="J16" s="399">
        <v>3.0</v>
      </c>
      <c r="L16" s="399" t="s">
        <v>479</v>
      </c>
      <c r="M16" s="404">
        <f>MIN(M2:M12)</f>
        <v>25</v>
      </c>
      <c r="N16" s="404">
        <f>COUNTIF(N2:N12,"Female")</f>
        <v>2</v>
      </c>
      <c r="O16" s="404">
        <f>countif(O2:O12, "Right")</f>
        <v>7</v>
      </c>
      <c r="P16" s="399">
        <v>1.0</v>
      </c>
      <c r="Q16" s="405"/>
      <c r="R16" s="405"/>
      <c r="S16" s="405"/>
      <c r="T16" s="405"/>
    </row>
    <row r="17" ht="22.5" customHeight="1">
      <c r="A17" s="397">
        <v>45903.39773224537</v>
      </c>
      <c r="B17" s="399">
        <v>17.0</v>
      </c>
      <c r="C17" s="399">
        <v>35.0</v>
      </c>
      <c r="D17" s="399" t="s">
        <v>33</v>
      </c>
      <c r="E17" s="399" t="s">
        <v>62</v>
      </c>
      <c r="F17" s="399" t="s">
        <v>128</v>
      </c>
      <c r="G17" s="399">
        <v>5.0</v>
      </c>
      <c r="H17" s="399">
        <v>5.0</v>
      </c>
      <c r="I17" s="399">
        <v>5.0</v>
      </c>
      <c r="J17" s="399">
        <v>4.0</v>
      </c>
      <c r="O17" s="399" t="s">
        <v>480</v>
      </c>
      <c r="P17" s="399" t="s">
        <v>481</v>
      </c>
      <c r="Q17" s="405"/>
      <c r="R17" s="405"/>
      <c r="S17" s="405"/>
      <c r="T17" s="405"/>
    </row>
    <row r="18" ht="22.5" customHeight="1">
      <c r="A18" s="397">
        <v>45903.614097893515</v>
      </c>
      <c r="B18" s="399">
        <v>18.0</v>
      </c>
      <c r="C18" s="399">
        <v>24.0</v>
      </c>
      <c r="D18" s="399" t="s">
        <v>43</v>
      </c>
      <c r="E18" s="399" t="s">
        <v>58</v>
      </c>
      <c r="F18" s="399" t="s">
        <v>44</v>
      </c>
      <c r="G18" s="399">
        <v>1.0</v>
      </c>
      <c r="H18" s="399">
        <v>4.0</v>
      </c>
      <c r="I18" s="399">
        <v>4.0</v>
      </c>
      <c r="J18" s="399">
        <v>5.0</v>
      </c>
      <c r="O18" s="404">
        <f>countif(O2:O12, "Ambidextrous")</f>
        <v>1</v>
      </c>
      <c r="P18" s="399">
        <v>0.0</v>
      </c>
      <c r="Q18" s="405"/>
      <c r="R18" s="405"/>
      <c r="S18" s="405"/>
      <c r="T18" s="405"/>
    </row>
    <row r="19" ht="22.5" customHeight="1">
      <c r="A19" s="397">
        <v>45903.6665853125</v>
      </c>
      <c r="B19" s="399">
        <v>19.0</v>
      </c>
      <c r="C19" s="399">
        <v>26.0</v>
      </c>
      <c r="D19" s="399" t="s">
        <v>43</v>
      </c>
      <c r="E19" s="399" t="s">
        <v>34</v>
      </c>
      <c r="F19" s="399" t="s">
        <v>39</v>
      </c>
      <c r="G19" s="399">
        <v>2.0</v>
      </c>
      <c r="H19" s="399">
        <v>3.0</v>
      </c>
      <c r="I19" s="399">
        <v>5.0</v>
      </c>
      <c r="J19" s="399">
        <v>5.0</v>
      </c>
      <c r="P19" s="399" t="s">
        <v>44</v>
      </c>
      <c r="Q19" s="405"/>
      <c r="R19" s="405"/>
      <c r="S19" s="405"/>
      <c r="T19" s="405"/>
    </row>
    <row r="20" ht="22.5" customHeight="1">
      <c r="A20" s="397">
        <v>45904.4263278125</v>
      </c>
      <c r="B20" s="399">
        <v>20.0</v>
      </c>
      <c r="C20" s="399">
        <v>34.0</v>
      </c>
      <c r="D20" s="399" t="s">
        <v>33</v>
      </c>
      <c r="E20" s="399" t="s">
        <v>58</v>
      </c>
      <c r="F20" s="399" t="s">
        <v>44</v>
      </c>
      <c r="G20" s="399">
        <v>4.0</v>
      </c>
      <c r="H20" s="399">
        <v>4.0</v>
      </c>
      <c r="I20" s="399">
        <v>5.0</v>
      </c>
      <c r="J20" s="399">
        <v>4.0</v>
      </c>
      <c r="P20" s="399">
        <v>5.0</v>
      </c>
      <c r="Q20" s="405"/>
      <c r="R20" s="405"/>
      <c r="S20" s="405"/>
      <c r="T20" s="405"/>
    </row>
    <row r="21" ht="22.5" customHeight="1">
      <c r="A21" s="397">
        <v>45904.68828899306</v>
      </c>
      <c r="B21" s="399">
        <v>21.0</v>
      </c>
      <c r="C21" s="399">
        <v>29.0</v>
      </c>
      <c r="D21" s="399" t="s">
        <v>43</v>
      </c>
      <c r="E21" s="399" t="s">
        <v>34</v>
      </c>
      <c r="F21" s="399" t="s">
        <v>39</v>
      </c>
      <c r="G21" s="399">
        <v>4.0</v>
      </c>
      <c r="H21" s="399">
        <v>3.0</v>
      </c>
      <c r="I21" s="399">
        <v>3.0</v>
      </c>
      <c r="J21" s="399">
        <v>2.0</v>
      </c>
      <c r="P21" s="399" t="s">
        <v>482</v>
      </c>
      <c r="Q21" s="405"/>
      <c r="R21" s="405"/>
      <c r="S21" s="405"/>
      <c r="T21" s="405"/>
    </row>
    <row r="22" ht="22.5" customHeight="1">
      <c r="A22" s="405"/>
      <c r="B22" s="406" t="s">
        <v>483</v>
      </c>
      <c r="C22" s="405">
        <f>MIN(Table3[Age])</f>
        <v>22</v>
      </c>
      <c r="D22" s="405"/>
      <c r="E22" s="405"/>
      <c r="F22" s="405"/>
      <c r="G22" s="405"/>
      <c r="H22" s="405"/>
      <c r="I22" s="405"/>
      <c r="J22" s="405"/>
      <c r="P22" s="399" t="s">
        <v>484</v>
      </c>
      <c r="Q22" s="405"/>
      <c r="R22" s="405"/>
      <c r="S22" s="405"/>
      <c r="T22" s="405"/>
    </row>
    <row r="23">
      <c r="B23" s="36" t="s">
        <v>470</v>
      </c>
      <c r="C23" s="68">
        <f>MAX(Table3[Age])</f>
        <v>42</v>
      </c>
      <c r="D23" s="36" t="s">
        <v>471</v>
      </c>
      <c r="E23" s="36" t="s">
        <v>472</v>
      </c>
      <c r="F23" s="36" t="s">
        <v>473</v>
      </c>
      <c r="P23" s="36" t="s">
        <v>485</v>
      </c>
    </row>
    <row r="24">
      <c r="B24" s="36" t="s">
        <v>474</v>
      </c>
      <c r="C24" s="68">
        <f>AVERAGE(Table3[Age])</f>
        <v>27.45</v>
      </c>
      <c r="D24" s="68">
        <f>COUNTIF(Table3[Gender],"Male")</f>
        <v>11</v>
      </c>
      <c r="E24" s="68">
        <f>countif(Table3[Dominant Hand], "Left")</f>
        <v>3</v>
      </c>
      <c r="F24" s="68">
        <f>countif(Table3[Do you have prior experience with any of the following? (Select all that apply)], "Exoskeletons")</f>
        <v>1</v>
      </c>
      <c r="P24" s="36">
        <v>2.0</v>
      </c>
    </row>
    <row r="25">
      <c r="B25" s="36" t="s">
        <v>475</v>
      </c>
      <c r="C25" s="68">
        <f>STDEV(Table3[Age])</f>
        <v>5.155222186</v>
      </c>
      <c r="D25" s="36" t="s">
        <v>476</v>
      </c>
      <c r="E25" s="36" t="s">
        <v>477</v>
      </c>
      <c r="F25" s="36" t="s">
        <v>478</v>
      </c>
    </row>
    <row r="26">
      <c r="D26" s="68">
        <f>COUNTIF(Table3[Gender],"Female")</f>
        <v>9</v>
      </c>
      <c r="E26" s="68">
        <f>countif(Table3[Dominant Hand], "Right")</f>
        <v>16</v>
      </c>
      <c r="F26" s="36">
        <v>5.0</v>
      </c>
    </row>
    <row r="27">
      <c r="E27" s="36" t="s">
        <v>480</v>
      </c>
      <c r="F27" s="36" t="s">
        <v>481</v>
      </c>
    </row>
    <row r="28">
      <c r="E28" s="68">
        <f>countif(Table3[Dominant Hand], "Ambidextrous")</f>
        <v>1</v>
      </c>
      <c r="F28" s="36">
        <v>4.0</v>
      </c>
    </row>
    <row r="29">
      <c r="F29" s="36" t="s">
        <v>44</v>
      </c>
    </row>
    <row r="30">
      <c r="F30" s="68">
        <f>countif(Table3[Do you have prior experience with any of the following? (Select all that apply)], "None of the above")</f>
        <v>9</v>
      </c>
    </row>
    <row r="31">
      <c r="F31" s="36" t="s">
        <v>482</v>
      </c>
    </row>
    <row r="32">
      <c r="F32" s="36">
        <v>1.0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22.38"/>
    <col customWidth="1" min="5" max="5" width="16.75"/>
    <col customWidth="1" min="6" max="6" width="20.0"/>
    <col customWidth="1" min="7" max="7" width="19.38"/>
    <col customWidth="1" min="8" max="8" width="21.0"/>
    <col customWidth="1" min="9" max="9" width="21.88"/>
    <col customWidth="1" min="10" max="10" width="21.38"/>
    <col customWidth="1" min="11" max="11" width="24.75"/>
    <col customWidth="1" min="12" max="12" width="22.75"/>
    <col customWidth="1" min="13" max="13" width="23.38"/>
    <col customWidth="1" min="14" max="14" width="20.25"/>
    <col customWidth="1" min="15" max="15" width="16.25"/>
    <col customWidth="1" min="16" max="16" width="15.25"/>
    <col customWidth="1" min="18" max="18" width="16.38"/>
    <col customWidth="1" min="19" max="19" width="16.0"/>
    <col customWidth="1" min="20" max="20" width="14.63"/>
    <col customWidth="1" min="21" max="21" width="11.0"/>
    <col customWidth="1" min="22" max="22" width="16.38"/>
    <col customWidth="1" min="23" max="23" width="15.5"/>
    <col customWidth="1" min="24" max="24" width="14.63"/>
  </cols>
  <sheetData>
    <row r="1">
      <c r="A1" s="407" t="s">
        <v>486</v>
      </c>
      <c r="B1" s="407"/>
      <c r="C1" s="407" t="s">
        <v>487</v>
      </c>
      <c r="D1" s="408" t="s">
        <v>488</v>
      </c>
      <c r="E1" s="409" t="s">
        <v>489</v>
      </c>
      <c r="F1" s="409" t="s">
        <v>490</v>
      </c>
      <c r="G1" s="409" t="s">
        <v>491</v>
      </c>
      <c r="H1" s="409" t="s">
        <v>492</v>
      </c>
      <c r="I1" s="408" t="s">
        <v>493</v>
      </c>
      <c r="J1" s="410" t="s">
        <v>494</v>
      </c>
      <c r="K1" s="410" t="s">
        <v>495</v>
      </c>
      <c r="L1" s="410" t="s">
        <v>496</v>
      </c>
      <c r="M1" s="410" t="s">
        <v>497</v>
      </c>
      <c r="N1" s="410" t="s">
        <v>498</v>
      </c>
      <c r="O1" s="411" t="s">
        <v>499</v>
      </c>
      <c r="P1" s="411" t="s">
        <v>500</v>
      </c>
      <c r="Q1" s="410" t="s">
        <v>501</v>
      </c>
      <c r="R1" s="410" t="s">
        <v>502</v>
      </c>
      <c r="S1" s="411" t="s">
        <v>503</v>
      </c>
      <c r="T1" s="411" t="s">
        <v>504</v>
      </c>
      <c r="U1" s="411" t="s">
        <v>505</v>
      </c>
      <c r="V1" s="410" t="s">
        <v>506</v>
      </c>
      <c r="W1" s="410" t="s">
        <v>507</v>
      </c>
      <c r="X1" s="410" t="s">
        <v>508</v>
      </c>
      <c r="AA1" s="412"/>
    </row>
    <row r="2">
      <c r="A2" s="413">
        <v>1.0</v>
      </c>
      <c r="B2" s="239" t="s">
        <v>509</v>
      </c>
      <c r="C2" s="239" t="s">
        <v>510</v>
      </c>
      <c r="D2" s="239" t="s">
        <v>511</v>
      </c>
      <c r="E2" s="355"/>
      <c r="F2" s="355"/>
      <c r="G2" s="239" t="s">
        <v>511</v>
      </c>
      <c r="H2" s="239" t="s">
        <v>511</v>
      </c>
      <c r="I2" s="239" t="s">
        <v>512</v>
      </c>
      <c r="J2" s="239" t="s">
        <v>511</v>
      </c>
      <c r="K2" s="239" t="s">
        <v>513</v>
      </c>
      <c r="L2" s="239" t="s">
        <v>511</v>
      </c>
      <c r="M2" s="414" t="s">
        <v>514</v>
      </c>
      <c r="N2" s="239" t="s">
        <v>515</v>
      </c>
      <c r="O2" s="239">
        <v>0.0</v>
      </c>
      <c r="P2" s="239">
        <v>0.0</v>
      </c>
      <c r="Q2" s="239">
        <v>3.0</v>
      </c>
      <c r="R2" s="36">
        <v>0.0</v>
      </c>
      <c r="S2" s="24">
        <f t="shared" ref="S2:S31" si="1">1+ROUND((16-O2)/16*9,0)</f>
        <v>10</v>
      </c>
      <c r="T2" s="24">
        <f t="shared" ref="T2:T31" si="2">1+ROUND((2.5-P2)/2.5*9,0)</f>
        <v>10</v>
      </c>
      <c r="U2" s="68">
        <f t="shared" ref="U2:U31" si="3">(0.7*S2)+(0.3*T2)</f>
        <v>10</v>
      </c>
      <c r="V2" s="24">
        <f t="shared" ref="V2:V31" si="4">1+ROUND((22.5-Q2)/22.5*9,0)</f>
        <v>9</v>
      </c>
      <c r="W2" s="24">
        <f t="shared" ref="W2:W31" si="5">1+ROUND((2.5-R2)/2.5*9,0)</f>
        <v>10</v>
      </c>
      <c r="X2" s="68">
        <f t="shared" ref="X2:X31" si="6">(0.7*V2)+(0.3*W2)</f>
        <v>9.3</v>
      </c>
    </row>
    <row r="3">
      <c r="A3" s="413">
        <v>2.0</v>
      </c>
      <c r="B3" s="239" t="s">
        <v>516</v>
      </c>
      <c r="C3" s="239" t="s">
        <v>517</v>
      </c>
      <c r="D3" s="415" t="s">
        <v>152</v>
      </c>
      <c r="E3" s="239" t="s">
        <v>518</v>
      </c>
      <c r="F3" s="239" t="s">
        <v>519</v>
      </c>
      <c r="G3" s="239" t="s">
        <v>520</v>
      </c>
      <c r="H3" s="239" t="s">
        <v>521</v>
      </c>
      <c r="I3" s="239" t="s">
        <v>512</v>
      </c>
      <c r="J3" s="239" t="s">
        <v>518</v>
      </c>
      <c r="K3" s="239" t="s">
        <v>522</v>
      </c>
      <c r="L3" s="239" t="s">
        <v>523</v>
      </c>
      <c r="M3" s="414" t="s">
        <v>514</v>
      </c>
      <c r="N3" s="239" t="s">
        <v>515</v>
      </c>
      <c r="O3" s="239">
        <v>3.0</v>
      </c>
      <c r="P3" s="239">
        <v>1.0</v>
      </c>
      <c r="Q3" s="239">
        <v>9.0</v>
      </c>
      <c r="R3" s="36">
        <v>2.0</v>
      </c>
      <c r="S3" s="24">
        <f t="shared" si="1"/>
        <v>8</v>
      </c>
      <c r="T3" s="24">
        <f t="shared" si="2"/>
        <v>6</v>
      </c>
      <c r="U3" s="68">
        <f t="shared" si="3"/>
        <v>7.4</v>
      </c>
      <c r="V3" s="24">
        <f t="shared" si="4"/>
        <v>6</v>
      </c>
      <c r="W3" s="24">
        <f t="shared" si="5"/>
        <v>3</v>
      </c>
      <c r="X3" s="68">
        <f t="shared" si="6"/>
        <v>5.1</v>
      </c>
    </row>
    <row r="4">
      <c r="A4" s="239">
        <v>4.0</v>
      </c>
      <c r="B4" s="239"/>
      <c r="C4" s="239" t="s">
        <v>524</v>
      </c>
      <c r="D4" s="416" t="s">
        <v>152</v>
      </c>
      <c r="E4" s="355"/>
      <c r="F4" s="355"/>
      <c r="G4" s="239" t="s">
        <v>525</v>
      </c>
      <c r="H4" s="355"/>
      <c r="I4" s="355"/>
      <c r="J4" s="239" t="s">
        <v>518</v>
      </c>
      <c r="K4" s="355"/>
      <c r="L4" s="239" t="s">
        <v>526</v>
      </c>
      <c r="M4" s="414" t="s">
        <v>511</v>
      </c>
      <c r="N4" s="355"/>
      <c r="O4" s="239">
        <v>0.0</v>
      </c>
      <c r="P4" s="239">
        <v>0.5</v>
      </c>
      <c r="Q4" s="239">
        <v>1.5</v>
      </c>
      <c r="R4" s="36">
        <v>1.0</v>
      </c>
      <c r="S4" s="24">
        <f t="shared" si="1"/>
        <v>10</v>
      </c>
      <c r="T4" s="24">
        <f t="shared" si="2"/>
        <v>8</v>
      </c>
      <c r="U4" s="68">
        <f t="shared" si="3"/>
        <v>9.4</v>
      </c>
      <c r="V4" s="24">
        <f t="shared" si="4"/>
        <v>9</v>
      </c>
      <c r="W4" s="24">
        <f t="shared" si="5"/>
        <v>6</v>
      </c>
      <c r="X4" s="68">
        <f t="shared" si="6"/>
        <v>8.1</v>
      </c>
    </row>
    <row r="5">
      <c r="A5" s="239">
        <v>5.0</v>
      </c>
      <c r="B5" s="239"/>
      <c r="C5" s="239" t="s">
        <v>510</v>
      </c>
      <c r="D5" s="415" t="s">
        <v>527</v>
      </c>
      <c r="E5" s="239" t="s">
        <v>528</v>
      </c>
      <c r="F5" s="239" t="s">
        <v>525</v>
      </c>
      <c r="G5" s="239" t="s">
        <v>529</v>
      </c>
      <c r="H5" s="239" t="s">
        <v>530</v>
      </c>
      <c r="I5" s="239" t="s">
        <v>512</v>
      </c>
      <c r="J5" s="355"/>
      <c r="K5" s="239" t="s">
        <v>531</v>
      </c>
      <c r="L5" s="239" t="s">
        <v>532</v>
      </c>
      <c r="M5" s="414" t="s">
        <v>511</v>
      </c>
      <c r="N5" s="355"/>
      <c r="O5" s="239">
        <v>6.0</v>
      </c>
      <c r="P5" s="239">
        <v>1.5</v>
      </c>
      <c r="Q5" s="239">
        <v>3.5</v>
      </c>
      <c r="R5" s="36">
        <v>1.0</v>
      </c>
      <c r="S5" s="24">
        <f t="shared" si="1"/>
        <v>7</v>
      </c>
      <c r="T5" s="24">
        <f t="shared" si="2"/>
        <v>5</v>
      </c>
      <c r="U5" s="68">
        <f t="shared" si="3"/>
        <v>6.4</v>
      </c>
      <c r="V5" s="24">
        <f t="shared" si="4"/>
        <v>9</v>
      </c>
      <c r="W5" s="24">
        <f t="shared" si="5"/>
        <v>6</v>
      </c>
      <c r="X5" s="68">
        <f t="shared" si="6"/>
        <v>8.1</v>
      </c>
    </row>
    <row r="6">
      <c r="A6" s="239">
        <v>6.0</v>
      </c>
      <c r="B6" s="239"/>
      <c r="C6" s="239" t="s">
        <v>517</v>
      </c>
      <c r="D6" s="239" t="s">
        <v>511</v>
      </c>
      <c r="E6" s="239" t="s">
        <v>511</v>
      </c>
      <c r="F6" s="355"/>
      <c r="G6" s="239" t="s">
        <v>511</v>
      </c>
      <c r="H6" s="239" t="s">
        <v>530</v>
      </c>
      <c r="I6" s="239" t="s">
        <v>533</v>
      </c>
      <c r="J6" s="239" t="s">
        <v>511</v>
      </c>
      <c r="K6" s="239" t="s">
        <v>534</v>
      </c>
      <c r="L6" s="239" t="s">
        <v>511</v>
      </c>
      <c r="M6" s="414" t="s">
        <v>535</v>
      </c>
      <c r="N6" s="239" t="s">
        <v>536</v>
      </c>
      <c r="O6" s="239">
        <v>0.5</v>
      </c>
      <c r="P6" s="239">
        <v>0.0</v>
      </c>
      <c r="Q6" s="239">
        <v>1.25</v>
      </c>
      <c r="R6" s="36">
        <v>0.0</v>
      </c>
      <c r="S6" s="24">
        <f t="shared" si="1"/>
        <v>10</v>
      </c>
      <c r="T6" s="24">
        <f t="shared" si="2"/>
        <v>10</v>
      </c>
      <c r="U6" s="68">
        <f t="shared" si="3"/>
        <v>10</v>
      </c>
      <c r="V6" s="24">
        <f t="shared" si="4"/>
        <v>10</v>
      </c>
      <c r="W6" s="24">
        <f t="shared" si="5"/>
        <v>10</v>
      </c>
      <c r="X6" s="68">
        <f t="shared" si="6"/>
        <v>10</v>
      </c>
    </row>
    <row r="7">
      <c r="A7" s="413">
        <v>7.0</v>
      </c>
      <c r="B7" s="239" t="s">
        <v>516</v>
      </c>
      <c r="C7" s="239" t="s">
        <v>537</v>
      </c>
      <c r="D7" s="239" t="s">
        <v>511</v>
      </c>
      <c r="E7" s="355"/>
      <c r="F7" s="239" t="s">
        <v>538</v>
      </c>
      <c r="G7" s="239" t="s">
        <v>511</v>
      </c>
      <c r="H7" s="239" t="s">
        <v>539</v>
      </c>
      <c r="I7" s="239" t="s">
        <v>533</v>
      </c>
      <c r="J7" s="239" t="s">
        <v>511</v>
      </c>
      <c r="K7" s="239" t="s">
        <v>540</v>
      </c>
      <c r="L7" s="239" t="s">
        <v>541</v>
      </c>
      <c r="M7" s="414" t="s">
        <v>542</v>
      </c>
      <c r="N7" s="239" t="s">
        <v>543</v>
      </c>
      <c r="O7" s="239">
        <v>1.5</v>
      </c>
      <c r="P7" s="239">
        <v>0.0</v>
      </c>
      <c r="Q7" s="239">
        <v>10.75</v>
      </c>
      <c r="R7" s="36">
        <v>1.0</v>
      </c>
      <c r="S7" s="24">
        <f t="shared" si="1"/>
        <v>9</v>
      </c>
      <c r="T7" s="24">
        <f t="shared" si="2"/>
        <v>10</v>
      </c>
      <c r="U7" s="68">
        <f t="shared" si="3"/>
        <v>9.3</v>
      </c>
      <c r="V7" s="24">
        <f t="shared" si="4"/>
        <v>6</v>
      </c>
      <c r="W7" s="24">
        <f t="shared" si="5"/>
        <v>6</v>
      </c>
      <c r="X7" s="68">
        <f t="shared" si="6"/>
        <v>6</v>
      </c>
    </row>
    <row r="8">
      <c r="A8" s="239">
        <v>8.0</v>
      </c>
      <c r="B8" s="239"/>
      <c r="C8" s="239" t="s">
        <v>524</v>
      </c>
      <c r="D8" s="239" t="s">
        <v>511</v>
      </c>
      <c r="E8" s="355"/>
      <c r="F8" s="239" t="s">
        <v>519</v>
      </c>
      <c r="G8" s="239" t="s">
        <v>544</v>
      </c>
      <c r="H8" s="239" t="s">
        <v>545</v>
      </c>
      <c r="I8" s="239" t="s">
        <v>533</v>
      </c>
      <c r="J8" s="239" t="s">
        <v>511</v>
      </c>
      <c r="K8" s="355"/>
      <c r="L8" s="239" t="s">
        <v>541</v>
      </c>
      <c r="M8" s="414" t="s">
        <v>535</v>
      </c>
      <c r="N8" s="239" t="s">
        <v>536</v>
      </c>
      <c r="O8" s="239">
        <v>1.75</v>
      </c>
      <c r="P8" s="239">
        <v>0.0</v>
      </c>
      <c r="Q8" s="239">
        <v>1.5</v>
      </c>
      <c r="R8" s="36">
        <v>0.0</v>
      </c>
      <c r="S8" s="24">
        <f t="shared" si="1"/>
        <v>9</v>
      </c>
      <c r="T8" s="24">
        <f t="shared" si="2"/>
        <v>10</v>
      </c>
      <c r="U8" s="68">
        <f t="shared" si="3"/>
        <v>9.3</v>
      </c>
      <c r="V8" s="24">
        <f t="shared" si="4"/>
        <v>9</v>
      </c>
      <c r="W8" s="24">
        <f t="shared" si="5"/>
        <v>10</v>
      </c>
      <c r="X8" s="68">
        <f t="shared" si="6"/>
        <v>9.3</v>
      </c>
    </row>
    <row r="9">
      <c r="A9" s="239">
        <v>9.0</v>
      </c>
      <c r="B9" s="239"/>
      <c r="C9" s="239" t="s">
        <v>510</v>
      </c>
      <c r="D9" s="239" t="s">
        <v>511</v>
      </c>
      <c r="E9" s="355"/>
      <c r="F9" s="239" t="s">
        <v>525</v>
      </c>
      <c r="G9" s="239" t="s">
        <v>520</v>
      </c>
      <c r="H9" s="239" t="s">
        <v>530</v>
      </c>
      <c r="I9" s="355"/>
      <c r="J9" s="355"/>
      <c r="K9" s="355"/>
      <c r="L9" s="239" t="s">
        <v>511</v>
      </c>
      <c r="M9" s="414" t="s">
        <v>511</v>
      </c>
      <c r="N9" s="355"/>
      <c r="O9" s="239">
        <v>2.5</v>
      </c>
      <c r="P9" s="239">
        <v>0.0</v>
      </c>
      <c r="Q9" s="239">
        <v>0.0</v>
      </c>
      <c r="R9" s="36">
        <v>0.0</v>
      </c>
      <c r="S9" s="24">
        <f t="shared" si="1"/>
        <v>9</v>
      </c>
      <c r="T9" s="24">
        <f t="shared" si="2"/>
        <v>10</v>
      </c>
      <c r="U9" s="68">
        <f t="shared" si="3"/>
        <v>9.3</v>
      </c>
      <c r="V9" s="24">
        <f t="shared" si="4"/>
        <v>10</v>
      </c>
      <c r="W9" s="24">
        <f t="shared" si="5"/>
        <v>10</v>
      </c>
      <c r="X9" s="68">
        <f t="shared" si="6"/>
        <v>10</v>
      </c>
    </row>
    <row r="10">
      <c r="A10" s="413">
        <v>10.0</v>
      </c>
      <c r="B10" s="239" t="s">
        <v>516</v>
      </c>
      <c r="C10" s="239" t="s">
        <v>517</v>
      </c>
      <c r="D10" s="239" t="s">
        <v>511</v>
      </c>
      <c r="E10" s="239" t="s">
        <v>511</v>
      </c>
      <c r="F10" s="355"/>
      <c r="G10" s="239" t="s">
        <v>546</v>
      </c>
      <c r="H10" s="355"/>
      <c r="I10" s="239" t="s">
        <v>533</v>
      </c>
      <c r="J10" s="239" t="s">
        <v>518</v>
      </c>
      <c r="K10" s="355"/>
      <c r="L10" s="239" t="s">
        <v>532</v>
      </c>
      <c r="M10" s="414" t="s">
        <v>514</v>
      </c>
      <c r="N10" s="239" t="s">
        <v>515</v>
      </c>
      <c r="O10" s="239">
        <v>1.0</v>
      </c>
      <c r="P10" s="239">
        <v>0.0</v>
      </c>
      <c r="Q10" s="239">
        <v>3.5</v>
      </c>
      <c r="R10" s="36">
        <v>1.0</v>
      </c>
      <c r="S10" s="24">
        <f t="shared" si="1"/>
        <v>9</v>
      </c>
      <c r="T10" s="24">
        <f t="shared" si="2"/>
        <v>10</v>
      </c>
      <c r="U10" s="68">
        <f t="shared" si="3"/>
        <v>9.3</v>
      </c>
      <c r="V10" s="24">
        <f t="shared" si="4"/>
        <v>9</v>
      </c>
      <c r="W10" s="24">
        <f t="shared" si="5"/>
        <v>6</v>
      </c>
      <c r="X10" s="68">
        <f t="shared" si="6"/>
        <v>8.1</v>
      </c>
    </row>
    <row r="11">
      <c r="A11" s="413">
        <v>11.0</v>
      </c>
      <c r="B11" s="239" t="s">
        <v>516</v>
      </c>
      <c r="C11" s="239" t="s">
        <v>537</v>
      </c>
      <c r="D11" s="239" t="s">
        <v>511</v>
      </c>
      <c r="E11" s="239" t="s">
        <v>518</v>
      </c>
      <c r="F11" s="239" t="s">
        <v>547</v>
      </c>
      <c r="G11" s="239" t="s">
        <v>511</v>
      </c>
      <c r="H11" s="239" t="s">
        <v>530</v>
      </c>
      <c r="I11" s="239" t="s">
        <v>548</v>
      </c>
      <c r="J11" s="355"/>
      <c r="K11" s="239" t="s">
        <v>549</v>
      </c>
      <c r="L11" s="239" t="s">
        <v>541</v>
      </c>
      <c r="M11" s="414" t="s">
        <v>550</v>
      </c>
      <c r="N11" s="239" t="s">
        <v>551</v>
      </c>
      <c r="O11" s="239">
        <v>3.5</v>
      </c>
      <c r="P11" s="239">
        <v>2.0</v>
      </c>
      <c r="Q11" s="239">
        <v>4.75</v>
      </c>
      <c r="R11" s="36">
        <v>0.0</v>
      </c>
      <c r="S11" s="24">
        <f t="shared" si="1"/>
        <v>8</v>
      </c>
      <c r="T11" s="24">
        <f t="shared" si="2"/>
        <v>3</v>
      </c>
      <c r="U11" s="68">
        <f t="shared" si="3"/>
        <v>6.5</v>
      </c>
      <c r="V11" s="24">
        <f t="shared" si="4"/>
        <v>8</v>
      </c>
      <c r="W11" s="24">
        <f t="shared" si="5"/>
        <v>10</v>
      </c>
      <c r="X11" s="68">
        <f t="shared" si="6"/>
        <v>8.6</v>
      </c>
    </row>
    <row r="12">
      <c r="A12" s="417">
        <v>12.0</v>
      </c>
      <c r="B12" s="418"/>
      <c r="C12" s="418" t="s">
        <v>524</v>
      </c>
      <c r="D12" s="418" t="s">
        <v>511</v>
      </c>
      <c r="E12" s="418" t="s">
        <v>511</v>
      </c>
      <c r="F12" s="200"/>
      <c r="G12" s="418" t="s">
        <v>552</v>
      </c>
      <c r="H12" s="418" t="s">
        <v>530</v>
      </c>
      <c r="I12" s="418" t="s">
        <v>533</v>
      </c>
      <c r="J12" s="418" t="s">
        <v>511</v>
      </c>
      <c r="K12" s="418" t="s">
        <v>553</v>
      </c>
      <c r="L12" s="418" t="s">
        <v>511</v>
      </c>
      <c r="M12" s="419" t="s">
        <v>511</v>
      </c>
      <c r="N12" s="200"/>
      <c r="O12" s="420">
        <v>0.75</v>
      </c>
      <c r="P12" s="420">
        <v>0.0</v>
      </c>
      <c r="Q12" s="420">
        <v>1.0</v>
      </c>
      <c r="R12" s="420">
        <v>0.0</v>
      </c>
      <c r="S12" s="24">
        <f t="shared" si="1"/>
        <v>10</v>
      </c>
      <c r="T12" s="24">
        <f t="shared" si="2"/>
        <v>10</v>
      </c>
      <c r="U12" s="68">
        <f t="shared" si="3"/>
        <v>10</v>
      </c>
      <c r="V12" s="24">
        <f t="shared" si="4"/>
        <v>10</v>
      </c>
      <c r="W12" s="24">
        <f t="shared" si="5"/>
        <v>10</v>
      </c>
      <c r="X12" s="68">
        <f t="shared" si="6"/>
        <v>10</v>
      </c>
      <c r="Y12" s="200"/>
      <c r="Z12" s="200"/>
      <c r="AA12" s="200"/>
    </row>
    <row r="13">
      <c r="A13" s="239">
        <v>13.0</v>
      </c>
      <c r="B13" s="239"/>
      <c r="C13" s="239" t="s">
        <v>510</v>
      </c>
      <c r="D13" s="239" t="s">
        <v>511</v>
      </c>
      <c r="E13" s="239" t="s">
        <v>511</v>
      </c>
      <c r="F13" s="355"/>
      <c r="G13" s="239" t="s">
        <v>511</v>
      </c>
      <c r="H13" s="239" t="s">
        <v>511</v>
      </c>
      <c r="I13" s="239" t="s">
        <v>533</v>
      </c>
      <c r="J13" s="239" t="s">
        <v>511</v>
      </c>
      <c r="K13" s="239" t="s">
        <v>554</v>
      </c>
      <c r="L13" s="239" t="s">
        <v>511</v>
      </c>
      <c r="M13" s="414" t="s">
        <v>511</v>
      </c>
      <c r="N13" s="355"/>
      <c r="O13" s="239">
        <v>0.0</v>
      </c>
      <c r="P13" s="239">
        <v>0.0</v>
      </c>
      <c r="Q13" s="239">
        <v>0.25</v>
      </c>
      <c r="R13" s="36">
        <v>0.0</v>
      </c>
      <c r="S13" s="24">
        <f t="shared" si="1"/>
        <v>10</v>
      </c>
      <c r="T13" s="24">
        <f t="shared" si="2"/>
        <v>10</v>
      </c>
      <c r="U13" s="68">
        <f t="shared" si="3"/>
        <v>10</v>
      </c>
      <c r="V13" s="24">
        <f t="shared" si="4"/>
        <v>10</v>
      </c>
      <c r="W13" s="24">
        <f t="shared" si="5"/>
        <v>10</v>
      </c>
      <c r="X13" s="68">
        <f t="shared" si="6"/>
        <v>10</v>
      </c>
    </row>
    <row r="14">
      <c r="A14" s="239">
        <v>14.0</v>
      </c>
      <c r="B14" s="239"/>
      <c r="C14" s="239" t="s">
        <v>517</v>
      </c>
      <c r="D14" s="415" t="s">
        <v>555</v>
      </c>
      <c r="E14" s="239" t="s">
        <v>528</v>
      </c>
      <c r="F14" s="239" t="s">
        <v>525</v>
      </c>
      <c r="G14" s="239" t="s">
        <v>520</v>
      </c>
      <c r="H14" s="239" t="s">
        <v>556</v>
      </c>
      <c r="I14" s="239" t="s">
        <v>533</v>
      </c>
      <c r="J14" s="239" t="s">
        <v>528</v>
      </c>
      <c r="K14" s="239" t="s">
        <v>557</v>
      </c>
      <c r="L14" s="239" t="s">
        <v>558</v>
      </c>
      <c r="M14" s="414" t="s">
        <v>535</v>
      </c>
      <c r="N14" s="239" t="s">
        <v>536</v>
      </c>
      <c r="O14" s="239">
        <v>6.5</v>
      </c>
      <c r="P14" s="239">
        <v>1.5</v>
      </c>
      <c r="Q14" s="239">
        <v>5.0</v>
      </c>
      <c r="R14" s="36">
        <v>1.5</v>
      </c>
      <c r="S14" s="24">
        <f t="shared" si="1"/>
        <v>6</v>
      </c>
      <c r="T14" s="24">
        <f t="shared" si="2"/>
        <v>5</v>
      </c>
      <c r="U14" s="68">
        <f t="shared" si="3"/>
        <v>5.7</v>
      </c>
      <c r="V14" s="24">
        <f t="shared" si="4"/>
        <v>8</v>
      </c>
      <c r="W14" s="24">
        <f t="shared" si="5"/>
        <v>5</v>
      </c>
      <c r="X14" s="68">
        <f t="shared" si="6"/>
        <v>7.1</v>
      </c>
    </row>
    <row r="15">
      <c r="A15" s="413">
        <v>15.0</v>
      </c>
      <c r="B15" s="239" t="s">
        <v>516</v>
      </c>
      <c r="C15" s="239" t="s">
        <v>537</v>
      </c>
      <c r="D15" s="239" t="s">
        <v>511</v>
      </c>
      <c r="E15" s="239" t="s">
        <v>511</v>
      </c>
      <c r="F15" s="239" t="s">
        <v>525</v>
      </c>
      <c r="G15" s="239" t="s">
        <v>511</v>
      </c>
      <c r="H15" s="355"/>
      <c r="I15" s="239" t="s">
        <v>533</v>
      </c>
      <c r="J15" s="239" t="s">
        <v>511</v>
      </c>
      <c r="K15" s="239" t="s">
        <v>559</v>
      </c>
      <c r="L15" s="239" t="s">
        <v>511</v>
      </c>
      <c r="M15" s="414" t="s">
        <v>560</v>
      </c>
      <c r="N15" s="239" t="s">
        <v>561</v>
      </c>
      <c r="O15" s="239">
        <v>1.0</v>
      </c>
      <c r="P15" s="239">
        <v>0.0</v>
      </c>
      <c r="Q15" s="239">
        <v>5.0</v>
      </c>
      <c r="R15" s="36">
        <v>1.0</v>
      </c>
      <c r="S15" s="24">
        <f t="shared" si="1"/>
        <v>9</v>
      </c>
      <c r="T15" s="24">
        <f t="shared" si="2"/>
        <v>10</v>
      </c>
      <c r="U15" s="68">
        <f t="shared" si="3"/>
        <v>9.3</v>
      </c>
      <c r="V15" s="24">
        <f t="shared" si="4"/>
        <v>8</v>
      </c>
      <c r="W15" s="24">
        <f t="shared" si="5"/>
        <v>6</v>
      </c>
      <c r="X15" s="68">
        <f t="shared" si="6"/>
        <v>7.4</v>
      </c>
    </row>
    <row r="16">
      <c r="A16" s="239">
        <v>16.0</v>
      </c>
      <c r="B16" s="239"/>
      <c r="C16" s="239" t="s">
        <v>524</v>
      </c>
      <c r="D16" s="415" t="s">
        <v>527</v>
      </c>
      <c r="E16" s="239" t="s">
        <v>518</v>
      </c>
      <c r="F16" s="239" t="s">
        <v>525</v>
      </c>
      <c r="G16" s="239" t="s">
        <v>511</v>
      </c>
      <c r="H16" s="239" t="s">
        <v>530</v>
      </c>
      <c r="I16" s="239" t="s">
        <v>533</v>
      </c>
      <c r="J16" s="239" t="s">
        <v>518</v>
      </c>
      <c r="K16" s="355"/>
      <c r="L16" s="239" t="s">
        <v>562</v>
      </c>
      <c r="M16" s="414" t="s">
        <v>511</v>
      </c>
      <c r="N16" s="355"/>
      <c r="O16" s="239">
        <v>3.5</v>
      </c>
      <c r="P16" s="239">
        <v>1.0</v>
      </c>
      <c r="Q16" s="239">
        <v>2.0</v>
      </c>
      <c r="R16" s="36">
        <v>1.0</v>
      </c>
      <c r="S16" s="24">
        <f t="shared" si="1"/>
        <v>8</v>
      </c>
      <c r="T16" s="24">
        <f t="shared" si="2"/>
        <v>6</v>
      </c>
      <c r="U16" s="68">
        <f t="shared" si="3"/>
        <v>7.4</v>
      </c>
      <c r="V16" s="24">
        <f t="shared" si="4"/>
        <v>9</v>
      </c>
      <c r="W16" s="24">
        <f t="shared" si="5"/>
        <v>6</v>
      </c>
      <c r="X16" s="68">
        <f t="shared" si="6"/>
        <v>8.1</v>
      </c>
    </row>
    <row r="17">
      <c r="A17" s="239">
        <v>17.0</v>
      </c>
      <c r="B17" s="239"/>
      <c r="C17" s="239" t="s">
        <v>510</v>
      </c>
      <c r="D17" s="239" t="s">
        <v>511</v>
      </c>
      <c r="E17" s="355"/>
      <c r="F17" s="239" t="s">
        <v>538</v>
      </c>
      <c r="G17" s="239" t="s">
        <v>511</v>
      </c>
      <c r="H17" s="239" t="s">
        <v>563</v>
      </c>
      <c r="I17" s="239" t="s">
        <v>533</v>
      </c>
      <c r="J17" s="239" t="s">
        <v>511</v>
      </c>
      <c r="K17" s="355"/>
      <c r="L17" s="239" t="s">
        <v>511</v>
      </c>
      <c r="M17" s="414" t="s">
        <v>511</v>
      </c>
      <c r="N17" s="355"/>
      <c r="O17" s="239">
        <v>1.5</v>
      </c>
      <c r="P17" s="239">
        <v>0.0</v>
      </c>
      <c r="Q17" s="239">
        <v>0.0</v>
      </c>
      <c r="R17" s="36">
        <v>0.0</v>
      </c>
      <c r="S17" s="24">
        <f t="shared" si="1"/>
        <v>9</v>
      </c>
      <c r="T17" s="24">
        <f t="shared" si="2"/>
        <v>10</v>
      </c>
      <c r="U17" s="68">
        <f t="shared" si="3"/>
        <v>9.3</v>
      </c>
      <c r="V17" s="24">
        <f t="shared" si="4"/>
        <v>10</v>
      </c>
      <c r="W17" s="24">
        <f t="shared" si="5"/>
        <v>10</v>
      </c>
      <c r="X17" s="68">
        <f t="shared" si="6"/>
        <v>10</v>
      </c>
    </row>
    <row r="18">
      <c r="A18" s="413">
        <v>18.0</v>
      </c>
      <c r="B18" s="239" t="s">
        <v>516</v>
      </c>
      <c r="C18" s="239" t="s">
        <v>517</v>
      </c>
      <c r="D18" s="239" t="s">
        <v>511</v>
      </c>
      <c r="E18" s="239" t="s">
        <v>518</v>
      </c>
      <c r="F18" s="239" t="s">
        <v>525</v>
      </c>
      <c r="G18" s="239" t="s">
        <v>529</v>
      </c>
      <c r="H18" s="239" t="s">
        <v>564</v>
      </c>
      <c r="I18" s="239" t="s">
        <v>533</v>
      </c>
      <c r="J18" s="239" t="s">
        <v>518</v>
      </c>
      <c r="K18" s="239" t="s">
        <v>565</v>
      </c>
      <c r="L18" s="239" t="s">
        <v>566</v>
      </c>
      <c r="M18" s="414" t="s">
        <v>514</v>
      </c>
      <c r="N18" s="239" t="s">
        <v>515</v>
      </c>
      <c r="O18" s="239">
        <v>5.0</v>
      </c>
      <c r="P18" s="239">
        <v>1.0</v>
      </c>
      <c r="Q18" s="239">
        <v>3.75</v>
      </c>
      <c r="R18" s="36">
        <v>1.0</v>
      </c>
      <c r="S18" s="24">
        <f t="shared" si="1"/>
        <v>7</v>
      </c>
      <c r="T18" s="24">
        <f t="shared" si="2"/>
        <v>6</v>
      </c>
      <c r="U18" s="68">
        <f t="shared" si="3"/>
        <v>6.7</v>
      </c>
      <c r="V18" s="24">
        <f t="shared" si="4"/>
        <v>9</v>
      </c>
      <c r="W18" s="24">
        <f t="shared" si="5"/>
        <v>6</v>
      </c>
      <c r="X18" s="68">
        <f t="shared" si="6"/>
        <v>8.1</v>
      </c>
    </row>
    <row r="19">
      <c r="A19" s="239">
        <v>19.0</v>
      </c>
      <c r="B19" s="239"/>
      <c r="C19" s="239" t="s">
        <v>537</v>
      </c>
      <c r="D19" s="239" t="s">
        <v>511</v>
      </c>
      <c r="E19" s="355"/>
      <c r="F19" s="355"/>
      <c r="G19" s="239" t="s">
        <v>567</v>
      </c>
      <c r="H19" s="239" t="s">
        <v>563</v>
      </c>
      <c r="I19" s="239" t="s">
        <v>533</v>
      </c>
      <c r="J19" s="239" t="s">
        <v>518</v>
      </c>
      <c r="K19" s="239" t="s">
        <v>568</v>
      </c>
      <c r="L19" s="239" t="s">
        <v>523</v>
      </c>
      <c r="M19" s="414" t="s">
        <v>511</v>
      </c>
      <c r="N19" s="355"/>
      <c r="O19" s="239">
        <v>1.75</v>
      </c>
      <c r="P19" s="239">
        <v>0.0</v>
      </c>
      <c r="Q19" s="239">
        <v>2.0</v>
      </c>
      <c r="R19" s="36">
        <v>1.0</v>
      </c>
      <c r="S19" s="24">
        <f t="shared" si="1"/>
        <v>9</v>
      </c>
      <c r="T19" s="24">
        <f t="shared" si="2"/>
        <v>10</v>
      </c>
      <c r="U19" s="68">
        <f t="shared" si="3"/>
        <v>9.3</v>
      </c>
      <c r="V19" s="24">
        <f t="shared" si="4"/>
        <v>9</v>
      </c>
      <c r="W19" s="24">
        <f t="shared" si="5"/>
        <v>6</v>
      </c>
      <c r="X19" s="68">
        <f t="shared" si="6"/>
        <v>8.1</v>
      </c>
    </row>
    <row r="20">
      <c r="A20" s="239">
        <v>20.0</v>
      </c>
      <c r="B20" s="239"/>
      <c r="C20" s="239" t="s">
        <v>524</v>
      </c>
      <c r="D20" s="415" t="s">
        <v>569</v>
      </c>
      <c r="E20" s="239" t="s">
        <v>518</v>
      </c>
      <c r="F20" s="355"/>
      <c r="G20" s="239" t="s">
        <v>544</v>
      </c>
      <c r="H20" s="239" t="s">
        <v>545</v>
      </c>
      <c r="I20" s="239" t="s">
        <v>533</v>
      </c>
      <c r="J20" s="239" t="s">
        <v>511</v>
      </c>
      <c r="K20" s="239" t="s">
        <v>570</v>
      </c>
      <c r="L20" s="239" t="s">
        <v>571</v>
      </c>
      <c r="M20" s="414" t="s">
        <v>511</v>
      </c>
      <c r="N20" s="355"/>
      <c r="O20" s="239">
        <v>2.25</v>
      </c>
      <c r="P20" s="239">
        <v>1.0</v>
      </c>
      <c r="Q20" s="239">
        <v>3.0</v>
      </c>
      <c r="R20" s="36">
        <v>1.0</v>
      </c>
      <c r="S20" s="24">
        <f t="shared" si="1"/>
        <v>9</v>
      </c>
      <c r="T20" s="24">
        <f t="shared" si="2"/>
        <v>6</v>
      </c>
      <c r="U20" s="68">
        <f t="shared" si="3"/>
        <v>8.1</v>
      </c>
      <c r="V20" s="24">
        <f t="shared" si="4"/>
        <v>9</v>
      </c>
      <c r="W20" s="24">
        <f t="shared" si="5"/>
        <v>6</v>
      </c>
      <c r="X20" s="68">
        <f t="shared" si="6"/>
        <v>8.1</v>
      </c>
    </row>
    <row r="21">
      <c r="A21" s="239">
        <v>21.0</v>
      </c>
      <c r="B21" s="239"/>
      <c r="C21" s="239" t="s">
        <v>537</v>
      </c>
      <c r="D21" s="416" t="s">
        <v>152</v>
      </c>
      <c r="E21" s="355"/>
      <c r="F21" s="239" t="s">
        <v>525</v>
      </c>
      <c r="G21" s="239" t="s">
        <v>511</v>
      </c>
      <c r="H21" s="355"/>
      <c r="I21" s="239" t="s">
        <v>548</v>
      </c>
      <c r="J21" s="239" t="s">
        <v>511</v>
      </c>
      <c r="K21" s="355"/>
      <c r="L21" s="239" t="s">
        <v>572</v>
      </c>
      <c r="M21" s="414" t="s">
        <v>511</v>
      </c>
      <c r="N21" s="355"/>
      <c r="O21" s="239">
        <v>1.0</v>
      </c>
      <c r="P21" s="239">
        <v>0.0</v>
      </c>
      <c r="Q21" s="239">
        <v>0.5</v>
      </c>
      <c r="R21" s="36">
        <v>0.0</v>
      </c>
      <c r="S21" s="24">
        <f t="shared" si="1"/>
        <v>9</v>
      </c>
      <c r="T21" s="24">
        <f t="shared" si="2"/>
        <v>10</v>
      </c>
      <c r="U21" s="68">
        <f t="shared" si="3"/>
        <v>9.3</v>
      </c>
      <c r="V21" s="24">
        <f t="shared" si="4"/>
        <v>10</v>
      </c>
      <c r="W21" s="24">
        <f t="shared" si="5"/>
        <v>10</v>
      </c>
      <c r="X21" s="68">
        <f t="shared" si="6"/>
        <v>10</v>
      </c>
    </row>
    <row r="22">
      <c r="A22" s="413">
        <v>22.0</v>
      </c>
      <c r="B22" s="239" t="s">
        <v>573</v>
      </c>
      <c r="C22" s="239" t="s">
        <v>574</v>
      </c>
      <c r="D22" s="239" t="s">
        <v>511</v>
      </c>
      <c r="E22" s="239" t="s">
        <v>511</v>
      </c>
      <c r="F22" s="355"/>
      <c r="G22" s="239" t="s">
        <v>575</v>
      </c>
      <c r="H22" s="239" t="s">
        <v>563</v>
      </c>
      <c r="I22" s="239" t="s">
        <v>533</v>
      </c>
      <c r="J22" s="239" t="s">
        <v>511</v>
      </c>
      <c r="K22" s="239" t="s">
        <v>570</v>
      </c>
      <c r="L22" s="239" t="s">
        <v>511</v>
      </c>
      <c r="M22" s="414" t="s">
        <v>514</v>
      </c>
      <c r="N22" s="239" t="s">
        <v>515</v>
      </c>
      <c r="O22" s="239">
        <v>1.0</v>
      </c>
      <c r="P22" s="239">
        <v>0.0</v>
      </c>
      <c r="Q22" s="239">
        <v>4.0</v>
      </c>
      <c r="R22" s="36">
        <v>1.0</v>
      </c>
      <c r="S22" s="24">
        <f t="shared" si="1"/>
        <v>9</v>
      </c>
      <c r="T22" s="24">
        <f t="shared" si="2"/>
        <v>10</v>
      </c>
      <c r="U22" s="68">
        <f t="shared" si="3"/>
        <v>9.3</v>
      </c>
      <c r="V22" s="24">
        <f t="shared" si="4"/>
        <v>8</v>
      </c>
      <c r="W22" s="24">
        <f t="shared" si="5"/>
        <v>6</v>
      </c>
      <c r="X22" s="68">
        <f t="shared" si="6"/>
        <v>7.4</v>
      </c>
    </row>
    <row r="23">
      <c r="A23" s="413">
        <v>23.0</v>
      </c>
      <c r="B23" s="239" t="s">
        <v>573</v>
      </c>
      <c r="C23" s="239" t="s">
        <v>576</v>
      </c>
      <c r="D23" s="239" t="s">
        <v>511</v>
      </c>
      <c r="E23" s="355"/>
      <c r="F23" s="355"/>
      <c r="G23" s="239" t="s">
        <v>575</v>
      </c>
      <c r="H23" s="239" t="s">
        <v>530</v>
      </c>
      <c r="I23" s="239" t="s">
        <v>533</v>
      </c>
      <c r="J23" s="239" t="s">
        <v>511</v>
      </c>
      <c r="K23" s="355"/>
      <c r="L23" s="239" t="s">
        <v>526</v>
      </c>
      <c r="M23" s="414" t="s">
        <v>577</v>
      </c>
      <c r="N23" s="239" t="s">
        <v>551</v>
      </c>
      <c r="O23" s="239">
        <v>1.0</v>
      </c>
      <c r="P23" s="239">
        <v>0.0</v>
      </c>
      <c r="Q23" s="239">
        <v>4.5</v>
      </c>
      <c r="R23" s="36">
        <v>0.0</v>
      </c>
      <c r="S23" s="24">
        <f t="shared" si="1"/>
        <v>9</v>
      </c>
      <c r="T23" s="24">
        <f t="shared" si="2"/>
        <v>10</v>
      </c>
      <c r="U23" s="68">
        <f t="shared" si="3"/>
        <v>9.3</v>
      </c>
      <c r="V23" s="24">
        <f t="shared" si="4"/>
        <v>8</v>
      </c>
      <c r="W23" s="24">
        <f t="shared" si="5"/>
        <v>10</v>
      </c>
      <c r="X23" s="68">
        <f t="shared" si="6"/>
        <v>8.6</v>
      </c>
    </row>
    <row r="24">
      <c r="A24" s="413">
        <v>24.0</v>
      </c>
      <c r="B24" s="239" t="s">
        <v>573</v>
      </c>
      <c r="C24" s="239" t="s">
        <v>574</v>
      </c>
      <c r="D24" s="239" t="s">
        <v>511</v>
      </c>
      <c r="E24" s="355"/>
      <c r="F24" s="355"/>
      <c r="G24" s="355"/>
      <c r="H24" s="239" t="s">
        <v>530</v>
      </c>
      <c r="I24" s="239" t="s">
        <v>533</v>
      </c>
      <c r="J24" s="239" t="s">
        <v>511</v>
      </c>
      <c r="K24" s="239" t="s">
        <v>559</v>
      </c>
      <c r="L24" s="239" t="s">
        <v>578</v>
      </c>
      <c r="M24" s="414" t="s">
        <v>542</v>
      </c>
      <c r="N24" s="239" t="s">
        <v>543</v>
      </c>
      <c r="O24" s="239">
        <v>0.5</v>
      </c>
      <c r="P24" s="239">
        <v>0.0</v>
      </c>
      <c r="Q24" s="239">
        <v>9.0</v>
      </c>
      <c r="R24" s="36">
        <v>1.0</v>
      </c>
      <c r="S24" s="24">
        <f t="shared" si="1"/>
        <v>10</v>
      </c>
      <c r="T24" s="24">
        <f t="shared" si="2"/>
        <v>10</v>
      </c>
      <c r="U24" s="68">
        <f t="shared" si="3"/>
        <v>10</v>
      </c>
      <c r="V24" s="24">
        <f t="shared" si="4"/>
        <v>6</v>
      </c>
      <c r="W24" s="24">
        <f t="shared" si="5"/>
        <v>6</v>
      </c>
      <c r="X24" s="68">
        <f t="shared" si="6"/>
        <v>6</v>
      </c>
    </row>
    <row r="25">
      <c r="A25" s="413">
        <v>25.0</v>
      </c>
      <c r="B25" s="239" t="s">
        <v>573</v>
      </c>
      <c r="C25" s="239" t="s">
        <v>576</v>
      </c>
      <c r="D25" s="239" t="s">
        <v>511</v>
      </c>
      <c r="E25" s="355"/>
      <c r="F25" s="239" t="s">
        <v>525</v>
      </c>
      <c r="G25" s="239" t="s">
        <v>511</v>
      </c>
      <c r="H25" s="239" t="s">
        <v>511</v>
      </c>
      <c r="I25" s="239" t="s">
        <v>533</v>
      </c>
      <c r="J25" s="355"/>
      <c r="K25" s="239" t="s">
        <v>579</v>
      </c>
      <c r="L25" s="239" t="s">
        <v>572</v>
      </c>
      <c r="M25" s="414" t="s">
        <v>535</v>
      </c>
      <c r="N25" s="239" t="s">
        <v>515</v>
      </c>
      <c r="O25" s="239">
        <v>1.0</v>
      </c>
      <c r="P25" s="239">
        <v>0.0</v>
      </c>
      <c r="Q25" s="239">
        <v>2.75</v>
      </c>
      <c r="R25" s="36">
        <v>0.0</v>
      </c>
      <c r="S25" s="24">
        <f t="shared" si="1"/>
        <v>9</v>
      </c>
      <c r="T25" s="24">
        <f t="shared" si="2"/>
        <v>10</v>
      </c>
      <c r="U25" s="68">
        <f t="shared" si="3"/>
        <v>9.3</v>
      </c>
      <c r="V25" s="24">
        <f t="shared" si="4"/>
        <v>9</v>
      </c>
      <c r="W25" s="24">
        <f t="shared" si="5"/>
        <v>10</v>
      </c>
      <c r="X25" s="68">
        <f t="shared" si="6"/>
        <v>9.3</v>
      </c>
    </row>
    <row r="26">
      <c r="A26" s="239">
        <v>26.0</v>
      </c>
      <c r="B26" s="239"/>
      <c r="C26" s="239" t="s">
        <v>574</v>
      </c>
      <c r="D26" s="239" t="s">
        <v>511</v>
      </c>
      <c r="E26" s="355"/>
      <c r="F26" s="239" t="s">
        <v>525</v>
      </c>
      <c r="G26" s="239" t="s">
        <v>580</v>
      </c>
      <c r="H26" s="355"/>
      <c r="I26" s="239" t="s">
        <v>548</v>
      </c>
      <c r="J26" s="355"/>
      <c r="K26" s="239" t="s">
        <v>581</v>
      </c>
      <c r="L26" s="239" t="s">
        <v>511</v>
      </c>
      <c r="M26" s="414" t="s">
        <v>511</v>
      </c>
      <c r="N26" s="355"/>
      <c r="O26" s="239">
        <v>2.5</v>
      </c>
      <c r="P26" s="239">
        <v>0.0</v>
      </c>
      <c r="Q26" s="239">
        <v>1.25</v>
      </c>
      <c r="R26" s="36">
        <v>0.0</v>
      </c>
      <c r="S26" s="24">
        <f t="shared" si="1"/>
        <v>9</v>
      </c>
      <c r="T26" s="24">
        <f t="shared" si="2"/>
        <v>10</v>
      </c>
      <c r="U26" s="68">
        <f t="shared" si="3"/>
        <v>9.3</v>
      </c>
      <c r="V26" s="24">
        <f t="shared" si="4"/>
        <v>10</v>
      </c>
      <c r="W26" s="24">
        <f t="shared" si="5"/>
        <v>10</v>
      </c>
      <c r="X26" s="68">
        <f t="shared" si="6"/>
        <v>10</v>
      </c>
    </row>
    <row r="27">
      <c r="A27" s="413">
        <v>27.0</v>
      </c>
      <c r="B27" s="239" t="s">
        <v>573</v>
      </c>
      <c r="C27" s="239" t="s">
        <v>576</v>
      </c>
      <c r="D27" s="239" t="s">
        <v>511</v>
      </c>
      <c r="E27" s="355"/>
      <c r="F27" s="355"/>
      <c r="G27" s="239" t="s">
        <v>582</v>
      </c>
      <c r="H27" s="239" t="s">
        <v>583</v>
      </c>
      <c r="I27" s="239" t="s">
        <v>533</v>
      </c>
      <c r="J27" s="355"/>
      <c r="K27" s="355"/>
      <c r="L27" s="239" t="s">
        <v>584</v>
      </c>
      <c r="M27" s="414" t="s">
        <v>577</v>
      </c>
      <c r="N27" s="239" t="s">
        <v>551</v>
      </c>
      <c r="O27" s="239">
        <v>2.5</v>
      </c>
      <c r="P27" s="239">
        <v>0.0</v>
      </c>
      <c r="Q27" s="239">
        <v>5.0</v>
      </c>
      <c r="R27" s="36">
        <v>0.0</v>
      </c>
      <c r="S27" s="24">
        <f t="shared" si="1"/>
        <v>9</v>
      </c>
      <c r="T27" s="24">
        <f t="shared" si="2"/>
        <v>10</v>
      </c>
      <c r="U27" s="68">
        <f t="shared" si="3"/>
        <v>9.3</v>
      </c>
      <c r="V27" s="24">
        <f t="shared" si="4"/>
        <v>8</v>
      </c>
      <c r="W27" s="24">
        <f t="shared" si="5"/>
        <v>10</v>
      </c>
      <c r="X27" s="68">
        <f t="shared" si="6"/>
        <v>8.6</v>
      </c>
    </row>
    <row r="28">
      <c r="A28" s="413">
        <v>28.0</v>
      </c>
      <c r="B28" s="239" t="s">
        <v>573</v>
      </c>
      <c r="C28" s="239" t="s">
        <v>574</v>
      </c>
      <c r="D28" s="239" t="s">
        <v>511</v>
      </c>
      <c r="E28" s="239" t="s">
        <v>518</v>
      </c>
      <c r="F28" s="239" t="s">
        <v>525</v>
      </c>
      <c r="G28" s="239" t="s">
        <v>520</v>
      </c>
      <c r="H28" s="239" t="s">
        <v>585</v>
      </c>
      <c r="I28" s="239" t="s">
        <v>533</v>
      </c>
      <c r="J28" s="239" t="s">
        <v>511</v>
      </c>
      <c r="K28" s="355"/>
      <c r="L28" s="239" t="s">
        <v>572</v>
      </c>
      <c r="M28" s="414" t="s">
        <v>542</v>
      </c>
      <c r="N28" s="239" t="s">
        <v>543</v>
      </c>
      <c r="O28" s="239">
        <v>4.0</v>
      </c>
      <c r="P28" s="239">
        <v>1.0</v>
      </c>
      <c r="Q28" s="239">
        <v>5.5</v>
      </c>
      <c r="R28" s="36">
        <v>0.0</v>
      </c>
      <c r="S28" s="24">
        <f t="shared" si="1"/>
        <v>8</v>
      </c>
      <c r="T28" s="24">
        <f t="shared" si="2"/>
        <v>6</v>
      </c>
      <c r="U28" s="68">
        <f t="shared" si="3"/>
        <v>7.4</v>
      </c>
      <c r="V28" s="24">
        <f t="shared" si="4"/>
        <v>8</v>
      </c>
      <c r="W28" s="24">
        <f t="shared" si="5"/>
        <v>10</v>
      </c>
      <c r="X28" s="68">
        <f t="shared" si="6"/>
        <v>8.6</v>
      </c>
    </row>
    <row r="29">
      <c r="A29" s="413">
        <v>29.0</v>
      </c>
      <c r="B29" s="239" t="s">
        <v>573</v>
      </c>
      <c r="C29" s="239" t="s">
        <v>576</v>
      </c>
      <c r="D29" s="239" t="s">
        <v>511</v>
      </c>
      <c r="E29" s="239" t="s">
        <v>511</v>
      </c>
      <c r="F29" s="239" t="s">
        <v>586</v>
      </c>
      <c r="G29" s="239" t="s">
        <v>552</v>
      </c>
      <c r="H29" s="355"/>
      <c r="I29" s="239" t="s">
        <v>533</v>
      </c>
      <c r="J29" s="239" t="s">
        <v>511</v>
      </c>
      <c r="K29" s="239" t="s">
        <v>587</v>
      </c>
      <c r="L29" s="239" t="s">
        <v>511</v>
      </c>
      <c r="M29" s="414" t="s">
        <v>577</v>
      </c>
      <c r="N29" s="239" t="s">
        <v>551</v>
      </c>
      <c r="O29" s="239">
        <v>3.25</v>
      </c>
      <c r="P29" s="239">
        <v>1.0</v>
      </c>
      <c r="Q29" s="239">
        <v>7.25</v>
      </c>
      <c r="R29" s="36">
        <v>0.0</v>
      </c>
      <c r="S29" s="24">
        <f t="shared" si="1"/>
        <v>8</v>
      </c>
      <c r="T29" s="24">
        <f t="shared" si="2"/>
        <v>6</v>
      </c>
      <c r="U29" s="68">
        <f t="shared" si="3"/>
        <v>7.4</v>
      </c>
      <c r="V29" s="24">
        <f t="shared" si="4"/>
        <v>7</v>
      </c>
      <c r="W29" s="24">
        <f t="shared" si="5"/>
        <v>10</v>
      </c>
      <c r="X29" s="68">
        <f t="shared" si="6"/>
        <v>7.9</v>
      </c>
    </row>
    <row r="30">
      <c r="A30" s="239">
        <v>31.0</v>
      </c>
      <c r="B30" s="239"/>
      <c r="C30" s="239" t="s">
        <v>576</v>
      </c>
      <c r="D30" s="239" t="s">
        <v>511</v>
      </c>
      <c r="E30" s="239" t="s">
        <v>518</v>
      </c>
      <c r="F30" s="239" t="s">
        <v>525</v>
      </c>
      <c r="G30" s="239" t="s">
        <v>511</v>
      </c>
      <c r="H30" s="239" t="s">
        <v>564</v>
      </c>
      <c r="I30" s="239" t="s">
        <v>533</v>
      </c>
      <c r="J30" s="355"/>
      <c r="K30" s="239" t="s">
        <v>581</v>
      </c>
      <c r="L30" s="239" t="s">
        <v>526</v>
      </c>
      <c r="M30" s="414" t="s">
        <v>511</v>
      </c>
      <c r="N30" s="355"/>
      <c r="O30" s="239">
        <v>3.0</v>
      </c>
      <c r="P30" s="239">
        <v>1.0</v>
      </c>
      <c r="Q30" s="239">
        <v>1.75</v>
      </c>
      <c r="R30" s="36">
        <v>0.0</v>
      </c>
      <c r="S30" s="24">
        <f t="shared" si="1"/>
        <v>8</v>
      </c>
      <c r="T30" s="24">
        <f t="shared" si="2"/>
        <v>6</v>
      </c>
      <c r="U30" s="68">
        <f t="shared" si="3"/>
        <v>7.4</v>
      </c>
      <c r="V30" s="24">
        <f t="shared" si="4"/>
        <v>9</v>
      </c>
      <c r="W30" s="24">
        <f t="shared" si="5"/>
        <v>10</v>
      </c>
      <c r="X30" s="68">
        <f t="shared" si="6"/>
        <v>9.3</v>
      </c>
    </row>
    <row r="31">
      <c r="A31" s="239">
        <v>32.0</v>
      </c>
      <c r="B31" s="239"/>
      <c r="C31" s="239" t="s">
        <v>574</v>
      </c>
      <c r="D31" s="239" t="s">
        <v>511</v>
      </c>
      <c r="E31" s="239" t="s">
        <v>518</v>
      </c>
      <c r="F31" s="355"/>
      <c r="G31" s="239" t="s">
        <v>511</v>
      </c>
      <c r="H31" s="239" t="s">
        <v>521</v>
      </c>
      <c r="I31" s="239" t="s">
        <v>533</v>
      </c>
      <c r="J31" s="355"/>
      <c r="K31" s="355"/>
      <c r="L31" s="239" t="s">
        <v>588</v>
      </c>
      <c r="M31" s="414" t="s">
        <v>511</v>
      </c>
      <c r="N31" s="355"/>
      <c r="O31" s="36">
        <v>1.5</v>
      </c>
      <c r="P31" s="239">
        <v>1.0</v>
      </c>
      <c r="Q31" s="239">
        <v>0.0</v>
      </c>
      <c r="R31" s="36">
        <v>0.0</v>
      </c>
      <c r="S31" s="24">
        <f t="shared" si="1"/>
        <v>9</v>
      </c>
      <c r="T31" s="24">
        <f t="shared" si="2"/>
        <v>6</v>
      </c>
      <c r="U31" s="68">
        <f t="shared" si="3"/>
        <v>8.1</v>
      </c>
      <c r="V31" s="24">
        <f t="shared" si="4"/>
        <v>10</v>
      </c>
      <c r="W31" s="24">
        <f t="shared" si="5"/>
        <v>10</v>
      </c>
      <c r="X31" s="68">
        <f t="shared" si="6"/>
        <v>10</v>
      </c>
    </row>
    <row r="32">
      <c r="M32" s="421"/>
      <c r="R32" s="36" t="s">
        <v>589</v>
      </c>
      <c r="S32" s="422">
        <f t="shared" ref="S32:X32" si="7">AVERAGE(S2:S31)</f>
        <v>8.766666667</v>
      </c>
      <c r="T32" s="422">
        <f t="shared" si="7"/>
        <v>8.3</v>
      </c>
      <c r="U32" s="422">
        <f t="shared" si="7"/>
        <v>8.626666667</v>
      </c>
      <c r="V32" s="422">
        <f t="shared" si="7"/>
        <v>8.666666667</v>
      </c>
      <c r="W32" s="422">
        <f t="shared" si="7"/>
        <v>8.133333333</v>
      </c>
      <c r="X32" s="422">
        <f t="shared" si="7"/>
        <v>8.506666667</v>
      </c>
    </row>
    <row r="33">
      <c r="M33" s="421"/>
    </row>
    <row r="34">
      <c r="M34" s="421"/>
      <c r="P34" s="258" t="s">
        <v>590</v>
      </c>
      <c r="S34" s="239" t="s">
        <v>591</v>
      </c>
      <c r="T34" s="239" t="s">
        <v>592</v>
      </c>
      <c r="U34" s="239" t="s">
        <v>593</v>
      </c>
      <c r="V34" s="239" t="s">
        <v>594</v>
      </c>
      <c r="W34" s="239" t="s">
        <v>592</v>
      </c>
      <c r="X34" s="239" t="s">
        <v>593</v>
      </c>
    </row>
    <row r="35">
      <c r="F35" s="423" t="s">
        <v>595</v>
      </c>
      <c r="G35" s="423" t="s">
        <v>596</v>
      </c>
      <c r="H35" s="423" t="s">
        <v>597</v>
      </c>
      <c r="K35" s="36" t="s">
        <v>598</v>
      </c>
      <c r="L35" s="36" t="s">
        <v>599</v>
      </c>
      <c r="M35" s="421"/>
      <c r="N35" s="239" t="s">
        <v>600</v>
      </c>
      <c r="P35" s="36" t="s">
        <v>601</v>
      </c>
    </row>
    <row r="36">
      <c r="F36" s="423" t="s">
        <v>602</v>
      </c>
      <c r="G36" s="423" t="s">
        <v>603</v>
      </c>
      <c r="H36" s="423" t="s">
        <v>604</v>
      </c>
      <c r="K36" s="36" t="s">
        <v>605</v>
      </c>
      <c r="L36" s="424" t="s">
        <v>606</v>
      </c>
      <c r="M36" s="425"/>
      <c r="N36" s="239" t="s">
        <v>607</v>
      </c>
      <c r="P36" s="36" t="s">
        <v>608</v>
      </c>
    </row>
    <row r="37">
      <c r="F37" s="423" t="s">
        <v>609</v>
      </c>
      <c r="G37" s="423" t="s">
        <v>610</v>
      </c>
      <c r="H37" s="423" t="s">
        <v>611</v>
      </c>
      <c r="K37" s="36" t="s">
        <v>612</v>
      </c>
      <c r="L37" s="36" t="s">
        <v>613</v>
      </c>
      <c r="M37" s="421"/>
      <c r="N37" s="239" t="s">
        <v>614</v>
      </c>
      <c r="P37" s="36" t="s">
        <v>615</v>
      </c>
    </row>
    <row r="38">
      <c r="F38" s="423" t="s">
        <v>616</v>
      </c>
      <c r="G38" s="423" t="s">
        <v>617</v>
      </c>
      <c r="H38" s="423" t="s">
        <v>618</v>
      </c>
      <c r="K38" s="36" t="s">
        <v>619</v>
      </c>
      <c r="L38" s="36" t="s">
        <v>620</v>
      </c>
      <c r="M38" s="421"/>
      <c r="N38" s="239" t="s">
        <v>621</v>
      </c>
      <c r="P38" s="36" t="s">
        <v>622</v>
      </c>
    </row>
    <row r="39">
      <c r="F39" s="423" t="s">
        <v>623</v>
      </c>
      <c r="G39" s="423" t="s">
        <v>624</v>
      </c>
      <c r="H39" s="423" t="s">
        <v>625</v>
      </c>
      <c r="K39" s="36" t="s">
        <v>626</v>
      </c>
      <c r="L39" s="36" t="s">
        <v>627</v>
      </c>
      <c r="M39" s="421"/>
      <c r="N39" s="239" t="s">
        <v>628</v>
      </c>
    </row>
    <row r="40">
      <c r="G40" s="423" t="s">
        <v>629</v>
      </c>
      <c r="K40" s="36" t="s">
        <v>630</v>
      </c>
      <c r="L40" s="36" t="s">
        <v>631</v>
      </c>
      <c r="M40" s="421"/>
      <c r="N40" s="426" t="s">
        <v>632</v>
      </c>
    </row>
    <row r="41">
      <c r="G41" s="423" t="s">
        <v>633</v>
      </c>
      <c r="K41" s="36" t="s">
        <v>634</v>
      </c>
      <c r="M41" s="421"/>
    </row>
    <row r="42">
      <c r="G42" s="423" t="s">
        <v>635</v>
      </c>
      <c r="M42" s="421"/>
    </row>
    <row r="43">
      <c r="M43" s="421"/>
    </row>
    <row r="44">
      <c r="M44" s="421"/>
    </row>
    <row r="45">
      <c r="M45" s="421"/>
    </row>
    <row r="46">
      <c r="M46" s="421"/>
    </row>
    <row r="47">
      <c r="M47" s="421"/>
    </row>
    <row r="48">
      <c r="M48" s="421"/>
    </row>
    <row r="49">
      <c r="M49" s="421"/>
    </row>
    <row r="50">
      <c r="M50" s="421"/>
    </row>
    <row r="51">
      <c r="M51" s="421"/>
    </row>
    <row r="52">
      <c r="M52" s="421"/>
    </row>
    <row r="53">
      <c r="M53" s="421"/>
    </row>
    <row r="54">
      <c r="M54" s="421"/>
    </row>
    <row r="55">
      <c r="M55" s="421"/>
    </row>
    <row r="56">
      <c r="M56" s="421"/>
    </row>
    <row r="57">
      <c r="M57" s="421"/>
    </row>
    <row r="58">
      <c r="M58" s="421"/>
    </row>
    <row r="59">
      <c r="M59" s="421"/>
    </row>
    <row r="60">
      <c r="M60" s="421"/>
    </row>
    <row r="61">
      <c r="M61" s="421"/>
    </row>
    <row r="62">
      <c r="M62" s="421"/>
    </row>
    <row r="63">
      <c r="M63" s="421"/>
    </row>
    <row r="64">
      <c r="M64" s="421"/>
    </row>
    <row r="65">
      <c r="M65" s="421"/>
    </row>
    <row r="66">
      <c r="M66" s="421"/>
    </row>
    <row r="67">
      <c r="M67" s="421"/>
    </row>
    <row r="68">
      <c r="M68" s="421"/>
    </row>
    <row r="69">
      <c r="M69" s="421"/>
    </row>
    <row r="70">
      <c r="M70" s="421"/>
    </row>
    <row r="71">
      <c r="M71" s="421"/>
    </row>
    <row r="72">
      <c r="M72" s="421"/>
    </row>
    <row r="73">
      <c r="M73" s="421"/>
    </row>
    <row r="74">
      <c r="M74" s="421"/>
    </row>
    <row r="75">
      <c r="M75" s="421"/>
    </row>
    <row r="76">
      <c r="M76" s="421"/>
    </row>
    <row r="77">
      <c r="M77" s="421"/>
    </row>
    <row r="78">
      <c r="M78" s="421"/>
    </row>
    <row r="79">
      <c r="M79" s="421"/>
    </row>
    <row r="80">
      <c r="M80" s="421"/>
    </row>
    <row r="81">
      <c r="M81" s="421"/>
    </row>
    <row r="82">
      <c r="M82" s="421"/>
    </row>
    <row r="83">
      <c r="M83" s="421"/>
    </row>
    <row r="84">
      <c r="M84" s="421"/>
    </row>
    <row r="85">
      <c r="M85" s="421"/>
    </row>
    <row r="86">
      <c r="M86" s="421"/>
    </row>
    <row r="87">
      <c r="M87" s="421"/>
    </row>
    <row r="88">
      <c r="M88" s="421"/>
    </row>
    <row r="89">
      <c r="M89" s="421"/>
    </row>
    <row r="90">
      <c r="M90" s="421"/>
    </row>
    <row r="91">
      <c r="M91" s="421"/>
    </row>
    <row r="92">
      <c r="M92" s="421"/>
    </row>
    <row r="93">
      <c r="M93" s="421"/>
    </row>
    <row r="94">
      <c r="M94" s="421"/>
    </row>
    <row r="95">
      <c r="M95" s="421"/>
    </row>
    <row r="96">
      <c r="M96" s="421"/>
    </row>
    <row r="97">
      <c r="M97" s="421"/>
    </row>
    <row r="98">
      <c r="M98" s="421"/>
    </row>
    <row r="99">
      <c r="M99" s="421"/>
    </row>
    <row r="100">
      <c r="M100" s="421"/>
    </row>
    <row r="101">
      <c r="M101" s="421"/>
    </row>
    <row r="102">
      <c r="M102" s="421"/>
    </row>
    <row r="103">
      <c r="M103" s="421"/>
    </row>
    <row r="104">
      <c r="M104" s="421"/>
    </row>
    <row r="105">
      <c r="M105" s="421"/>
    </row>
    <row r="106">
      <c r="M106" s="421"/>
    </row>
    <row r="107">
      <c r="M107" s="421"/>
    </row>
    <row r="108">
      <c r="M108" s="421"/>
    </row>
    <row r="109">
      <c r="M109" s="421"/>
    </row>
    <row r="110">
      <c r="M110" s="421"/>
    </row>
    <row r="111">
      <c r="M111" s="421"/>
    </row>
    <row r="112">
      <c r="M112" s="421"/>
    </row>
    <row r="113">
      <c r="M113" s="421"/>
    </row>
    <row r="114">
      <c r="M114" s="421"/>
    </row>
    <row r="115">
      <c r="M115" s="421"/>
    </row>
    <row r="116">
      <c r="M116" s="421"/>
    </row>
    <row r="117">
      <c r="M117" s="421"/>
    </row>
    <row r="118">
      <c r="M118" s="421"/>
    </row>
    <row r="119">
      <c r="M119" s="421"/>
    </row>
    <row r="120">
      <c r="M120" s="421"/>
    </row>
    <row r="121">
      <c r="M121" s="421"/>
    </row>
    <row r="122">
      <c r="M122" s="421"/>
    </row>
    <row r="123">
      <c r="M123" s="421"/>
    </row>
    <row r="124">
      <c r="M124" s="421"/>
    </row>
    <row r="125">
      <c r="M125" s="421"/>
    </row>
    <row r="126">
      <c r="M126" s="421"/>
    </row>
    <row r="127">
      <c r="M127" s="421"/>
    </row>
    <row r="128">
      <c r="M128" s="421"/>
    </row>
    <row r="129">
      <c r="M129" s="421"/>
    </row>
    <row r="130">
      <c r="M130" s="421"/>
    </row>
    <row r="131">
      <c r="M131" s="421"/>
    </row>
    <row r="132">
      <c r="M132" s="421"/>
    </row>
    <row r="133">
      <c r="M133" s="421"/>
    </row>
    <row r="134">
      <c r="M134" s="421"/>
    </row>
    <row r="135">
      <c r="M135" s="421"/>
    </row>
    <row r="136">
      <c r="M136" s="421"/>
    </row>
    <row r="137">
      <c r="M137" s="421"/>
    </row>
    <row r="138">
      <c r="M138" s="421"/>
    </row>
    <row r="139">
      <c r="M139" s="421"/>
    </row>
    <row r="140">
      <c r="M140" s="421"/>
    </row>
    <row r="141">
      <c r="M141" s="421"/>
    </row>
    <row r="142">
      <c r="M142" s="421"/>
    </row>
    <row r="143">
      <c r="M143" s="421"/>
    </row>
    <row r="144">
      <c r="M144" s="421"/>
    </row>
    <row r="145">
      <c r="M145" s="421"/>
    </row>
    <row r="146">
      <c r="M146" s="421"/>
    </row>
    <row r="147">
      <c r="M147" s="421"/>
    </row>
    <row r="148">
      <c r="M148" s="421"/>
    </row>
    <row r="149">
      <c r="M149" s="421"/>
    </row>
    <row r="150">
      <c r="M150" s="421"/>
    </row>
    <row r="151">
      <c r="M151" s="421"/>
    </row>
    <row r="152">
      <c r="M152" s="421"/>
    </row>
    <row r="153">
      <c r="M153" s="421"/>
    </row>
    <row r="154">
      <c r="M154" s="421"/>
    </row>
    <row r="155">
      <c r="M155" s="421"/>
    </row>
    <row r="156">
      <c r="M156" s="421"/>
    </row>
    <row r="157">
      <c r="M157" s="421"/>
    </row>
    <row r="158">
      <c r="M158" s="421"/>
    </row>
    <row r="159">
      <c r="M159" s="421"/>
    </row>
    <row r="160">
      <c r="M160" s="421"/>
    </row>
    <row r="161">
      <c r="M161" s="421"/>
    </row>
    <row r="162">
      <c r="M162" s="421"/>
    </row>
    <row r="163">
      <c r="M163" s="421"/>
    </row>
    <row r="164">
      <c r="M164" s="421"/>
    </row>
    <row r="165">
      <c r="M165" s="421"/>
    </row>
    <row r="166">
      <c r="M166" s="421"/>
    </row>
    <row r="167">
      <c r="M167" s="421"/>
    </row>
    <row r="168">
      <c r="M168" s="421"/>
    </row>
    <row r="169">
      <c r="M169" s="421"/>
    </row>
    <row r="170">
      <c r="M170" s="421"/>
    </row>
    <row r="171">
      <c r="M171" s="421"/>
    </row>
    <row r="172">
      <c r="M172" s="421"/>
    </row>
    <row r="173">
      <c r="M173" s="421"/>
    </row>
    <row r="174">
      <c r="M174" s="421"/>
    </row>
    <row r="175">
      <c r="M175" s="421"/>
    </row>
    <row r="176">
      <c r="M176" s="421"/>
    </row>
    <row r="177">
      <c r="M177" s="421"/>
    </row>
    <row r="178">
      <c r="M178" s="421"/>
    </row>
    <row r="179">
      <c r="M179" s="421"/>
    </row>
    <row r="180">
      <c r="M180" s="421"/>
    </row>
    <row r="181">
      <c r="M181" s="421"/>
    </row>
    <row r="182">
      <c r="M182" s="421"/>
    </row>
    <row r="183">
      <c r="M183" s="421"/>
    </row>
    <row r="184">
      <c r="M184" s="421"/>
    </row>
    <row r="185">
      <c r="M185" s="421"/>
    </row>
    <row r="186">
      <c r="M186" s="421"/>
    </row>
    <row r="187">
      <c r="M187" s="421"/>
    </row>
    <row r="188">
      <c r="M188" s="421"/>
    </row>
    <row r="189">
      <c r="M189" s="421"/>
    </row>
    <row r="190">
      <c r="M190" s="421"/>
    </row>
    <row r="191">
      <c r="M191" s="421"/>
    </row>
    <row r="192">
      <c r="M192" s="421"/>
    </row>
    <row r="193">
      <c r="M193" s="421"/>
    </row>
    <row r="194">
      <c r="M194" s="421"/>
    </row>
    <row r="195">
      <c r="M195" s="421"/>
    </row>
    <row r="196">
      <c r="M196" s="421"/>
    </row>
    <row r="197">
      <c r="M197" s="421"/>
    </row>
    <row r="198">
      <c r="M198" s="421"/>
    </row>
    <row r="199">
      <c r="M199" s="421"/>
    </row>
    <row r="200">
      <c r="M200" s="421"/>
    </row>
    <row r="201">
      <c r="M201" s="421"/>
    </row>
    <row r="202">
      <c r="M202" s="421"/>
    </row>
    <row r="203">
      <c r="M203" s="421"/>
    </row>
    <row r="204">
      <c r="M204" s="421"/>
    </row>
    <row r="205">
      <c r="M205" s="421"/>
    </row>
    <row r="206">
      <c r="M206" s="421"/>
    </row>
    <row r="207">
      <c r="M207" s="421"/>
    </row>
    <row r="208">
      <c r="M208" s="421"/>
    </row>
    <row r="209">
      <c r="M209" s="421"/>
    </row>
    <row r="210">
      <c r="M210" s="421"/>
    </row>
    <row r="211">
      <c r="M211" s="421"/>
    </row>
    <row r="212">
      <c r="M212" s="421"/>
    </row>
    <row r="213">
      <c r="M213" s="421"/>
    </row>
    <row r="214">
      <c r="M214" s="421"/>
    </row>
    <row r="215">
      <c r="M215" s="421"/>
    </row>
    <row r="216">
      <c r="M216" s="421"/>
    </row>
    <row r="217">
      <c r="M217" s="421"/>
    </row>
    <row r="218">
      <c r="M218" s="421"/>
    </row>
    <row r="219">
      <c r="M219" s="421"/>
    </row>
    <row r="220">
      <c r="M220" s="421"/>
    </row>
    <row r="221">
      <c r="M221" s="421"/>
    </row>
    <row r="222">
      <c r="M222" s="421"/>
    </row>
    <row r="223">
      <c r="M223" s="421"/>
    </row>
    <row r="224">
      <c r="M224" s="421"/>
    </row>
    <row r="225">
      <c r="M225" s="421"/>
    </row>
    <row r="226">
      <c r="M226" s="421"/>
    </row>
    <row r="227">
      <c r="M227" s="421"/>
    </row>
    <row r="228">
      <c r="M228" s="421"/>
    </row>
    <row r="229">
      <c r="M229" s="421"/>
    </row>
    <row r="230">
      <c r="M230" s="421"/>
    </row>
    <row r="231">
      <c r="M231" s="421"/>
    </row>
    <row r="232">
      <c r="M232" s="421"/>
    </row>
    <row r="233">
      <c r="M233" s="421"/>
    </row>
    <row r="234">
      <c r="M234" s="421"/>
    </row>
    <row r="235">
      <c r="M235" s="421"/>
    </row>
    <row r="236">
      <c r="M236" s="421"/>
    </row>
    <row r="237">
      <c r="M237" s="421"/>
    </row>
    <row r="238">
      <c r="M238" s="421"/>
    </row>
    <row r="239">
      <c r="M239" s="421"/>
    </row>
    <row r="240">
      <c r="M240" s="421"/>
    </row>
    <row r="241">
      <c r="M241" s="421"/>
    </row>
    <row r="242">
      <c r="M242" s="421"/>
    </row>
    <row r="243">
      <c r="M243" s="421"/>
    </row>
    <row r="244">
      <c r="M244" s="421"/>
    </row>
    <row r="245">
      <c r="M245" s="421"/>
    </row>
    <row r="246">
      <c r="M246" s="421"/>
    </row>
    <row r="247">
      <c r="M247" s="421"/>
    </row>
    <row r="248">
      <c r="M248" s="421"/>
    </row>
    <row r="249">
      <c r="M249" s="421"/>
    </row>
    <row r="250">
      <c r="M250" s="421"/>
    </row>
    <row r="251">
      <c r="M251" s="421"/>
    </row>
    <row r="252">
      <c r="M252" s="421"/>
    </row>
    <row r="253">
      <c r="M253" s="421"/>
    </row>
    <row r="254">
      <c r="M254" s="421"/>
    </row>
    <row r="255">
      <c r="M255" s="421"/>
    </row>
    <row r="256">
      <c r="M256" s="421"/>
    </row>
    <row r="257">
      <c r="M257" s="421"/>
    </row>
    <row r="258">
      <c r="M258" s="421"/>
    </row>
    <row r="259">
      <c r="M259" s="421"/>
    </row>
    <row r="260">
      <c r="M260" s="421"/>
    </row>
    <row r="261">
      <c r="M261" s="421"/>
    </row>
    <row r="262">
      <c r="M262" s="421"/>
    </row>
    <row r="263">
      <c r="M263" s="421"/>
    </row>
    <row r="264">
      <c r="M264" s="421"/>
    </row>
    <row r="265">
      <c r="M265" s="421"/>
    </row>
    <row r="266">
      <c r="M266" s="421"/>
    </row>
    <row r="267">
      <c r="M267" s="421"/>
    </row>
    <row r="268">
      <c r="M268" s="421"/>
    </row>
    <row r="269">
      <c r="M269" s="421"/>
    </row>
    <row r="270">
      <c r="M270" s="421"/>
    </row>
    <row r="271">
      <c r="M271" s="421"/>
    </row>
    <row r="272">
      <c r="M272" s="421"/>
    </row>
    <row r="273">
      <c r="M273" s="421"/>
    </row>
    <row r="274">
      <c r="M274" s="421"/>
    </row>
    <row r="275">
      <c r="M275" s="421"/>
    </row>
    <row r="276">
      <c r="M276" s="421"/>
    </row>
    <row r="277">
      <c r="M277" s="421"/>
    </row>
    <row r="278">
      <c r="M278" s="421"/>
    </row>
    <row r="279">
      <c r="M279" s="421"/>
    </row>
    <row r="280">
      <c r="M280" s="421"/>
    </row>
    <row r="281">
      <c r="M281" s="421"/>
    </row>
    <row r="282">
      <c r="M282" s="421"/>
    </row>
    <row r="283">
      <c r="M283" s="421"/>
    </row>
    <row r="284">
      <c r="M284" s="421"/>
    </row>
    <row r="285">
      <c r="M285" s="421"/>
    </row>
    <row r="286">
      <c r="M286" s="421"/>
    </row>
    <row r="287">
      <c r="M287" s="421"/>
    </row>
    <row r="288">
      <c r="M288" s="421"/>
    </row>
    <row r="289">
      <c r="M289" s="421"/>
    </row>
    <row r="290">
      <c r="M290" s="421"/>
    </row>
    <row r="291">
      <c r="M291" s="421"/>
    </row>
    <row r="292">
      <c r="M292" s="421"/>
    </row>
    <row r="293">
      <c r="M293" s="421"/>
    </row>
    <row r="294">
      <c r="M294" s="421"/>
    </row>
    <row r="295">
      <c r="M295" s="421"/>
    </row>
    <row r="296">
      <c r="M296" s="421"/>
    </row>
    <row r="297">
      <c r="M297" s="421"/>
    </row>
    <row r="298">
      <c r="M298" s="421"/>
    </row>
    <row r="299">
      <c r="M299" s="421"/>
    </row>
    <row r="300">
      <c r="M300" s="421"/>
    </row>
    <row r="301">
      <c r="M301" s="421"/>
    </row>
    <row r="302">
      <c r="M302" s="421"/>
    </row>
    <row r="303">
      <c r="M303" s="421"/>
    </row>
    <row r="304">
      <c r="M304" s="421"/>
    </row>
    <row r="305">
      <c r="M305" s="421"/>
    </row>
    <row r="306">
      <c r="M306" s="421"/>
    </row>
    <row r="307">
      <c r="M307" s="421"/>
    </row>
    <row r="308">
      <c r="M308" s="421"/>
    </row>
    <row r="309">
      <c r="M309" s="421"/>
    </row>
    <row r="310">
      <c r="M310" s="421"/>
    </row>
    <row r="311">
      <c r="M311" s="421"/>
    </row>
    <row r="312">
      <c r="M312" s="421"/>
    </row>
    <row r="313">
      <c r="M313" s="421"/>
    </row>
    <row r="314">
      <c r="M314" s="421"/>
    </row>
    <row r="315">
      <c r="M315" s="421"/>
    </row>
    <row r="316">
      <c r="M316" s="421"/>
    </row>
    <row r="317">
      <c r="M317" s="421"/>
    </row>
    <row r="318">
      <c r="M318" s="421"/>
    </row>
    <row r="319">
      <c r="M319" s="421"/>
    </row>
    <row r="320">
      <c r="M320" s="421"/>
    </row>
    <row r="321">
      <c r="M321" s="421"/>
    </row>
    <row r="322">
      <c r="M322" s="421"/>
    </row>
    <row r="323">
      <c r="M323" s="421"/>
    </row>
    <row r="324">
      <c r="M324" s="421"/>
    </row>
    <row r="325">
      <c r="M325" s="421"/>
    </row>
    <row r="326">
      <c r="M326" s="421"/>
    </row>
    <row r="327">
      <c r="M327" s="421"/>
    </row>
    <row r="328">
      <c r="M328" s="421"/>
    </row>
    <row r="329">
      <c r="M329" s="421"/>
    </row>
    <row r="330">
      <c r="M330" s="421"/>
    </row>
    <row r="331">
      <c r="M331" s="421"/>
    </row>
    <row r="332">
      <c r="M332" s="421"/>
    </row>
    <row r="333">
      <c r="M333" s="421"/>
    </row>
    <row r="334">
      <c r="M334" s="421"/>
    </row>
    <row r="335">
      <c r="M335" s="421"/>
    </row>
    <row r="336">
      <c r="M336" s="421"/>
    </row>
    <row r="337">
      <c r="M337" s="421"/>
    </row>
    <row r="338">
      <c r="M338" s="421"/>
    </row>
    <row r="339">
      <c r="M339" s="421"/>
    </row>
    <row r="340">
      <c r="M340" s="421"/>
    </row>
    <row r="341">
      <c r="M341" s="421"/>
    </row>
    <row r="342">
      <c r="M342" s="421"/>
    </row>
    <row r="343">
      <c r="M343" s="421"/>
    </row>
    <row r="344">
      <c r="M344" s="421"/>
    </row>
    <row r="345">
      <c r="M345" s="421"/>
    </row>
    <row r="346">
      <c r="M346" s="421"/>
    </row>
    <row r="347">
      <c r="M347" s="421"/>
    </row>
    <row r="348">
      <c r="M348" s="421"/>
    </row>
    <row r="349">
      <c r="M349" s="421"/>
    </row>
    <row r="350">
      <c r="M350" s="421"/>
    </row>
    <row r="351">
      <c r="M351" s="421"/>
    </row>
    <row r="352">
      <c r="M352" s="421"/>
    </row>
    <row r="353">
      <c r="M353" s="421"/>
    </row>
    <row r="354">
      <c r="M354" s="421"/>
    </row>
    <row r="355">
      <c r="M355" s="421"/>
    </row>
    <row r="356">
      <c r="M356" s="421"/>
    </row>
    <row r="357">
      <c r="M357" s="421"/>
    </row>
    <row r="358">
      <c r="M358" s="421"/>
    </row>
    <row r="359">
      <c r="M359" s="421"/>
    </row>
    <row r="360">
      <c r="M360" s="421"/>
    </row>
    <row r="361">
      <c r="M361" s="421"/>
    </row>
    <row r="362">
      <c r="M362" s="421"/>
    </row>
    <row r="363">
      <c r="M363" s="421"/>
    </row>
    <row r="364">
      <c r="M364" s="421"/>
    </row>
    <row r="365">
      <c r="M365" s="421"/>
    </row>
    <row r="366">
      <c r="M366" s="421"/>
    </row>
    <row r="367">
      <c r="M367" s="421"/>
    </row>
    <row r="368">
      <c r="M368" s="421"/>
    </row>
    <row r="369">
      <c r="M369" s="421"/>
    </row>
    <row r="370">
      <c r="M370" s="421"/>
    </row>
    <row r="371">
      <c r="M371" s="421"/>
    </row>
    <row r="372">
      <c r="M372" s="421"/>
    </row>
    <row r="373">
      <c r="M373" s="421"/>
    </row>
    <row r="374">
      <c r="M374" s="421"/>
    </row>
    <row r="375">
      <c r="M375" s="421"/>
    </row>
    <row r="376">
      <c r="M376" s="421"/>
    </row>
    <row r="377">
      <c r="M377" s="421"/>
    </row>
    <row r="378">
      <c r="M378" s="421"/>
    </row>
    <row r="379">
      <c r="M379" s="421"/>
    </row>
    <row r="380">
      <c r="M380" s="421"/>
    </row>
    <row r="381">
      <c r="M381" s="421"/>
    </row>
    <row r="382">
      <c r="M382" s="421"/>
    </row>
    <row r="383">
      <c r="M383" s="421"/>
    </row>
    <row r="384">
      <c r="M384" s="421"/>
    </row>
    <row r="385">
      <c r="M385" s="421"/>
    </row>
    <row r="386">
      <c r="M386" s="421"/>
    </row>
    <row r="387">
      <c r="M387" s="421"/>
    </row>
    <row r="388">
      <c r="M388" s="421"/>
    </row>
    <row r="389">
      <c r="M389" s="421"/>
    </row>
    <row r="390">
      <c r="M390" s="421"/>
    </row>
    <row r="391">
      <c r="M391" s="421"/>
    </row>
    <row r="392">
      <c r="M392" s="421"/>
    </row>
    <row r="393">
      <c r="M393" s="421"/>
    </row>
    <row r="394">
      <c r="M394" s="421"/>
    </row>
    <row r="395">
      <c r="M395" s="421"/>
    </row>
    <row r="396">
      <c r="M396" s="421"/>
    </row>
    <row r="397">
      <c r="M397" s="421"/>
    </row>
    <row r="398">
      <c r="M398" s="421"/>
    </row>
    <row r="399">
      <c r="M399" s="421"/>
    </row>
    <row r="400">
      <c r="M400" s="421"/>
    </row>
    <row r="401">
      <c r="M401" s="421"/>
    </row>
    <row r="402">
      <c r="M402" s="421"/>
    </row>
    <row r="403">
      <c r="M403" s="421"/>
    </row>
    <row r="404">
      <c r="M404" s="421"/>
    </row>
    <row r="405">
      <c r="M405" s="421"/>
    </row>
    <row r="406">
      <c r="M406" s="421"/>
    </row>
    <row r="407">
      <c r="M407" s="421"/>
    </row>
    <row r="408">
      <c r="M408" s="421"/>
    </row>
    <row r="409">
      <c r="M409" s="421"/>
    </row>
    <row r="410">
      <c r="M410" s="421"/>
    </row>
    <row r="411">
      <c r="M411" s="421"/>
    </row>
    <row r="412">
      <c r="M412" s="421"/>
    </row>
    <row r="413">
      <c r="M413" s="421"/>
    </row>
    <row r="414">
      <c r="M414" s="421"/>
    </row>
    <row r="415">
      <c r="M415" s="421"/>
    </row>
    <row r="416">
      <c r="M416" s="421"/>
    </row>
    <row r="417">
      <c r="M417" s="421"/>
    </row>
    <row r="418">
      <c r="M418" s="421"/>
    </row>
    <row r="419">
      <c r="M419" s="421"/>
    </row>
    <row r="420">
      <c r="M420" s="421"/>
    </row>
    <row r="421">
      <c r="M421" s="421"/>
    </row>
    <row r="422">
      <c r="M422" s="421"/>
    </row>
    <row r="423">
      <c r="M423" s="421"/>
    </row>
    <row r="424">
      <c r="M424" s="421"/>
    </row>
    <row r="425">
      <c r="M425" s="421"/>
    </row>
    <row r="426">
      <c r="M426" s="421"/>
    </row>
    <row r="427">
      <c r="M427" s="421"/>
    </row>
    <row r="428">
      <c r="M428" s="421"/>
    </row>
    <row r="429">
      <c r="M429" s="421"/>
    </row>
    <row r="430">
      <c r="M430" s="421"/>
    </row>
    <row r="431">
      <c r="M431" s="421"/>
    </row>
    <row r="432">
      <c r="M432" s="421"/>
    </row>
    <row r="433">
      <c r="M433" s="421"/>
    </row>
    <row r="434">
      <c r="M434" s="421"/>
    </row>
    <row r="435">
      <c r="M435" s="421"/>
    </row>
    <row r="436">
      <c r="M436" s="421"/>
    </row>
    <row r="437">
      <c r="M437" s="421"/>
    </row>
    <row r="438">
      <c r="M438" s="421"/>
    </row>
    <row r="439">
      <c r="M439" s="421"/>
    </row>
    <row r="440">
      <c r="M440" s="421"/>
    </row>
    <row r="441">
      <c r="M441" s="421"/>
    </row>
    <row r="442">
      <c r="M442" s="421"/>
    </row>
    <row r="443">
      <c r="M443" s="421"/>
    </row>
    <row r="444">
      <c r="M444" s="421"/>
    </row>
    <row r="445">
      <c r="M445" s="421"/>
    </row>
    <row r="446">
      <c r="M446" s="421"/>
    </row>
    <row r="447">
      <c r="M447" s="421"/>
    </row>
    <row r="448">
      <c r="M448" s="421"/>
    </row>
    <row r="449">
      <c r="M449" s="421"/>
    </row>
    <row r="450">
      <c r="M450" s="421"/>
    </row>
    <row r="451">
      <c r="M451" s="421"/>
    </row>
    <row r="452">
      <c r="M452" s="421"/>
    </row>
    <row r="453">
      <c r="M453" s="421"/>
    </row>
    <row r="454">
      <c r="M454" s="421"/>
    </row>
    <row r="455">
      <c r="M455" s="421"/>
    </row>
    <row r="456">
      <c r="M456" s="421"/>
    </row>
    <row r="457">
      <c r="M457" s="421"/>
    </row>
    <row r="458">
      <c r="M458" s="421"/>
    </row>
    <row r="459">
      <c r="M459" s="421"/>
    </row>
    <row r="460">
      <c r="M460" s="421"/>
    </row>
    <row r="461">
      <c r="M461" s="421"/>
    </row>
    <row r="462">
      <c r="M462" s="421"/>
    </row>
    <row r="463">
      <c r="M463" s="421"/>
    </row>
    <row r="464">
      <c r="M464" s="421"/>
    </row>
    <row r="465">
      <c r="M465" s="421"/>
    </row>
    <row r="466">
      <c r="M466" s="421"/>
    </row>
    <row r="467">
      <c r="M467" s="421"/>
    </row>
    <row r="468">
      <c r="M468" s="421"/>
    </row>
    <row r="469">
      <c r="M469" s="421"/>
    </row>
    <row r="470">
      <c r="M470" s="421"/>
    </row>
    <row r="471">
      <c r="M471" s="421"/>
    </row>
    <row r="472">
      <c r="M472" s="421"/>
    </row>
    <row r="473">
      <c r="M473" s="421"/>
    </row>
    <row r="474">
      <c r="M474" s="421"/>
    </row>
    <row r="475">
      <c r="M475" s="421"/>
    </row>
    <row r="476">
      <c r="M476" s="421"/>
    </row>
    <row r="477">
      <c r="M477" s="421"/>
    </row>
    <row r="478">
      <c r="M478" s="421"/>
    </row>
    <row r="479">
      <c r="M479" s="421"/>
    </row>
    <row r="480">
      <c r="M480" s="421"/>
    </row>
    <row r="481">
      <c r="M481" s="421"/>
    </row>
    <row r="482">
      <c r="M482" s="421"/>
    </row>
    <row r="483">
      <c r="M483" s="421"/>
    </row>
    <row r="484">
      <c r="M484" s="421"/>
    </row>
    <row r="485">
      <c r="M485" s="421"/>
    </row>
    <row r="486">
      <c r="M486" s="421"/>
    </row>
    <row r="487">
      <c r="M487" s="421"/>
    </row>
    <row r="488">
      <c r="M488" s="421"/>
    </row>
    <row r="489">
      <c r="M489" s="421"/>
    </row>
    <row r="490">
      <c r="M490" s="421"/>
    </row>
    <row r="491">
      <c r="M491" s="421"/>
    </row>
    <row r="492">
      <c r="M492" s="421"/>
    </row>
    <row r="493">
      <c r="M493" s="421"/>
    </row>
    <row r="494">
      <c r="M494" s="421"/>
    </row>
    <row r="495">
      <c r="M495" s="421"/>
    </row>
    <row r="496">
      <c r="M496" s="421"/>
    </row>
    <row r="497">
      <c r="M497" s="421"/>
    </row>
    <row r="498">
      <c r="M498" s="421"/>
    </row>
    <row r="499">
      <c r="M499" s="421"/>
    </row>
    <row r="500">
      <c r="M500" s="421"/>
    </row>
    <row r="501">
      <c r="M501" s="421"/>
    </row>
    <row r="502">
      <c r="M502" s="421"/>
    </row>
    <row r="503">
      <c r="M503" s="421"/>
    </row>
    <row r="504">
      <c r="M504" s="421"/>
    </row>
    <row r="505">
      <c r="M505" s="421"/>
    </row>
    <row r="506">
      <c r="M506" s="421"/>
    </row>
    <row r="507">
      <c r="M507" s="421"/>
    </row>
    <row r="508">
      <c r="M508" s="421"/>
    </row>
    <row r="509">
      <c r="M509" s="421"/>
    </row>
    <row r="510">
      <c r="M510" s="421"/>
    </row>
    <row r="511">
      <c r="M511" s="421"/>
    </row>
    <row r="512">
      <c r="M512" s="421"/>
    </row>
    <row r="513">
      <c r="M513" s="421"/>
    </row>
    <row r="514">
      <c r="M514" s="421"/>
    </row>
    <row r="515">
      <c r="M515" s="421"/>
    </row>
    <row r="516">
      <c r="M516" s="421"/>
    </row>
    <row r="517">
      <c r="M517" s="421"/>
    </row>
    <row r="518">
      <c r="M518" s="421"/>
    </row>
    <row r="519">
      <c r="M519" s="421"/>
    </row>
    <row r="520">
      <c r="M520" s="421"/>
    </row>
    <row r="521">
      <c r="M521" s="421"/>
    </row>
    <row r="522">
      <c r="M522" s="421"/>
    </row>
    <row r="523">
      <c r="M523" s="421"/>
    </row>
    <row r="524">
      <c r="M524" s="421"/>
    </row>
    <row r="525">
      <c r="M525" s="421"/>
    </row>
    <row r="526">
      <c r="M526" s="421"/>
    </row>
    <row r="527">
      <c r="M527" s="421"/>
    </row>
    <row r="528">
      <c r="M528" s="421"/>
    </row>
    <row r="529">
      <c r="M529" s="421"/>
    </row>
    <row r="530">
      <c r="M530" s="421"/>
    </row>
    <row r="531">
      <c r="M531" s="421"/>
    </row>
    <row r="532">
      <c r="M532" s="421"/>
    </row>
    <row r="533">
      <c r="M533" s="421"/>
    </row>
    <row r="534">
      <c r="M534" s="421"/>
    </row>
    <row r="535">
      <c r="M535" s="421"/>
    </row>
    <row r="536">
      <c r="M536" s="421"/>
    </row>
    <row r="537">
      <c r="M537" s="421"/>
    </row>
    <row r="538">
      <c r="M538" s="421"/>
    </row>
    <row r="539">
      <c r="M539" s="421"/>
    </row>
    <row r="540">
      <c r="M540" s="421"/>
    </row>
    <row r="541">
      <c r="M541" s="421"/>
    </row>
    <row r="542">
      <c r="M542" s="421"/>
    </row>
    <row r="543">
      <c r="M543" s="421"/>
    </row>
    <row r="544">
      <c r="M544" s="421"/>
    </row>
    <row r="545">
      <c r="M545" s="421"/>
    </row>
    <row r="546">
      <c r="M546" s="421"/>
    </row>
    <row r="547">
      <c r="M547" s="421"/>
    </row>
    <row r="548">
      <c r="M548" s="421"/>
    </row>
    <row r="549">
      <c r="M549" s="421"/>
    </row>
    <row r="550">
      <c r="M550" s="421"/>
    </row>
    <row r="551">
      <c r="M551" s="421"/>
    </row>
    <row r="552">
      <c r="M552" s="421"/>
    </row>
    <row r="553">
      <c r="M553" s="421"/>
    </row>
    <row r="554">
      <c r="M554" s="421"/>
    </row>
    <row r="555">
      <c r="M555" s="421"/>
    </row>
    <row r="556">
      <c r="M556" s="421"/>
    </row>
    <row r="557">
      <c r="M557" s="421"/>
    </row>
    <row r="558">
      <c r="M558" s="421"/>
    </row>
    <row r="559">
      <c r="M559" s="421"/>
    </row>
    <row r="560">
      <c r="M560" s="421"/>
    </row>
    <row r="561">
      <c r="M561" s="421"/>
    </row>
    <row r="562">
      <c r="M562" s="421"/>
    </row>
    <row r="563">
      <c r="M563" s="421"/>
    </row>
    <row r="564">
      <c r="M564" s="421"/>
    </row>
    <row r="565">
      <c r="M565" s="421"/>
    </row>
    <row r="566">
      <c r="M566" s="421"/>
    </row>
    <row r="567">
      <c r="M567" s="421"/>
    </row>
    <row r="568">
      <c r="M568" s="421"/>
    </row>
    <row r="569">
      <c r="M569" s="421"/>
    </row>
    <row r="570">
      <c r="M570" s="421"/>
    </row>
    <row r="571">
      <c r="M571" s="421"/>
    </row>
    <row r="572">
      <c r="M572" s="421"/>
    </row>
    <row r="573">
      <c r="M573" s="421"/>
    </row>
    <row r="574">
      <c r="M574" s="421"/>
    </row>
    <row r="575">
      <c r="M575" s="421"/>
    </row>
    <row r="576">
      <c r="M576" s="421"/>
    </row>
    <row r="577">
      <c r="M577" s="421"/>
    </row>
    <row r="578">
      <c r="M578" s="421"/>
    </row>
    <row r="579">
      <c r="M579" s="421"/>
    </row>
    <row r="580">
      <c r="M580" s="421"/>
    </row>
    <row r="581">
      <c r="M581" s="421"/>
    </row>
    <row r="582">
      <c r="M582" s="421"/>
    </row>
    <row r="583">
      <c r="M583" s="421"/>
    </row>
    <row r="584">
      <c r="M584" s="421"/>
    </row>
    <row r="585">
      <c r="M585" s="421"/>
    </row>
    <row r="586">
      <c r="M586" s="421"/>
    </row>
    <row r="587">
      <c r="M587" s="421"/>
    </row>
    <row r="588">
      <c r="M588" s="421"/>
    </row>
    <row r="589">
      <c r="M589" s="421"/>
    </row>
    <row r="590">
      <c r="M590" s="421"/>
    </row>
    <row r="591">
      <c r="M591" s="421"/>
    </row>
    <row r="592">
      <c r="M592" s="421"/>
    </row>
    <row r="593">
      <c r="M593" s="421"/>
    </row>
    <row r="594">
      <c r="M594" s="421"/>
    </row>
    <row r="595">
      <c r="M595" s="421"/>
    </row>
    <row r="596">
      <c r="M596" s="421"/>
    </row>
    <row r="597">
      <c r="M597" s="421"/>
    </row>
    <row r="598">
      <c r="M598" s="421"/>
    </row>
    <row r="599">
      <c r="M599" s="421"/>
    </row>
    <row r="600">
      <c r="M600" s="421"/>
    </row>
    <row r="601">
      <c r="M601" s="421"/>
    </row>
    <row r="602">
      <c r="M602" s="421"/>
    </row>
    <row r="603">
      <c r="M603" s="421"/>
    </row>
    <row r="604">
      <c r="M604" s="421"/>
    </row>
    <row r="605">
      <c r="M605" s="421"/>
    </row>
    <row r="606">
      <c r="M606" s="421"/>
    </row>
    <row r="607">
      <c r="M607" s="421"/>
    </row>
    <row r="608">
      <c r="M608" s="421"/>
    </row>
    <row r="609">
      <c r="M609" s="421"/>
    </row>
    <row r="610">
      <c r="M610" s="421"/>
    </row>
    <row r="611">
      <c r="M611" s="421"/>
    </row>
    <row r="612">
      <c r="M612" s="421"/>
    </row>
    <row r="613">
      <c r="M613" s="421"/>
    </row>
    <row r="614">
      <c r="M614" s="421"/>
    </row>
    <row r="615">
      <c r="M615" s="421"/>
    </row>
    <row r="616">
      <c r="M616" s="421"/>
    </row>
    <row r="617">
      <c r="M617" s="421"/>
    </row>
    <row r="618">
      <c r="M618" s="421"/>
    </row>
    <row r="619">
      <c r="M619" s="421"/>
    </row>
    <row r="620">
      <c r="M620" s="421"/>
    </row>
    <row r="621">
      <c r="M621" s="421"/>
    </row>
    <row r="622">
      <c r="M622" s="421"/>
    </row>
    <row r="623">
      <c r="M623" s="421"/>
    </row>
    <row r="624">
      <c r="M624" s="421"/>
    </row>
    <row r="625">
      <c r="M625" s="421"/>
    </row>
    <row r="626">
      <c r="M626" s="421"/>
    </row>
    <row r="627">
      <c r="M627" s="421"/>
    </row>
    <row r="628">
      <c r="M628" s="421"/>
    </row>
    <row r="629">
      <c r="M629" s="421"/>
    </row>
    <row r="630">
      <c r="M630" s="421"/>
    </row>
    <row r="631">
      <c r="M631" s="421"/>
    </row>
    <row r="632">
      <c r="M632" s="421"/>
    </row>
    <row r="633">
      <c r="M633" s="421"/>
    </row>
    <row r="634">
      <c r="M634" s="421"/>
    </row>
    <row r="635">
      <c r="M635" s="421"/>
    </row>
    <row r="636">
      <c r="M636" s="421"/>
    </row>
    <row r="637">
      <c r="M637" s="421"/>
    </row>
    <row r="638">
      <c r="M638" s="421"/>
    </row>
    <row r="639">
      <c r="M639" s="421"/>
    </row>
    <row r="640">
      <c r="M640" s="421"/>
    </row>
    <row r="641">
      <c r="M641" s="421"/>
    </row>
    <row r="642">
      <c r="M642" s="421"/>
    </row>
    <row r="643">
      <c r="M643" s="421"/>
    </row>
    <row r="644">
      <c r="M644" s="421"/>
    </row>
    <row r="645">
      <c r="M645" s="421"/>
    </row>
    <row r="646">
      <c r="M646" s="421"/>
    </row>
    <row r="647">
      <c r="M647" s="421"/>
    </row>
    <row r="648">
      <c r="M648" s="421"/>
    </row>
    <row r="649">
      <c r="M649" s="421"/>
    </row>
    <row r="650">
      <c r="M650" s="421"/>
    </row>
    <row r="651">
      <c r="M651" s="421"/>
    </row>
    <row r="652">
      <c r="M652" s="421"/>
    </row>
    <row r="653">
      <c r="M653" s="421"/>
    </row>
    <row r="654">
      <c r="M654" s="421"/>
    </row>
    <row r="655">
      <c r="M655" s="421"/>
    </row>
    <row r="656">
      <c r="M656" s="421"/>
    </row>
    <row r="657">
      <c r="M657" s="421"/>
    </row>
    <row r="658">
      <c r="M658" s="421"/>
    </row>
    <row r="659">
      <c r="M659" s="421"/>
    </row>
    <row r="660">
      <c r="M660" s="421"/>
    </row>
    <row r="661">
      <c r="M661" s="421"/>
    </row>
    <row r="662">
      <c r="M662" s="421"/>
    </row>
    <row r="663">
      <c r="M663" s="421"/>
    </row>
    <row r="664">
      <c r="M664" s="421"/>
    </row>
    <row r="665">
      <c r="M665" s="421"/>
    </row>
    <row r="666">
      <c r="M666" s="421"/>
    </row>
    <row r="667">
      <c r="M667" s="421"/>
    </row>
    <row r="668">
      <c r="M668" s="421"/>
    </row>
    <row r="669">
      <c r="M669" s="421"/>
    </row>
    <row r="670">
      <c r="M670" s="421"/>
    </row>
    <row r="671">
      <c r="M671" s="421"/>
    </row>
    <row r="672">
      <c r="M672" s="421"/>
    </row>
    <row r="673">
      <c r="M673" s="421"/>
    </row>
    <row r="674">
      <c r="M674" s="421"/>
    </row>
    <row r="675">
      <c r="M675" s="421"/>
    </row>
    <row r="676">
      <c r="M676" s="421"/>
    </row>
    <row r="677">
      <c r="M677" s="421"/>
    </row>
    <row r="678">
      <c r="M678" s="421"/>
    </row>
    <row r="679">
      <c r="M679" s="421"/>
    </row>
    <row r="680">
      <c r="M680" s="421"/>
    </row>
    <row r="681">
      <c r="M681" s="421"/>
    </row>
    <row r="682">
      <c r="M682" s="421"/>
    </row>
    <row r="683">
      <c r="M683" s="421"/>
    </row>
    <row r="684">
      <c r="M684" s="421"/>
    </row>
    <row r="685">
      <c r="M685" s="421"/>
    </row>
    <row r="686">
      <c r="M686" s="421"/>
    </row>
    <row r="687">
      <c r="M687" s="421"/>
    </row>
    <row r="688">
      <c r="M688" s="421"/>
    </row>
    <row r="689">
      <c r="M689" s="421"/>
    </row>
    <row r="690">
      <c r="M690" s="421"/>
    </row>
    <row r="691">
      <c r="M691" s="421"/>
    </row>
    <row r="692">
      <c r="M692" s="421"/>
    </row>
    <row r="693">
      <c r="M693" s="421"/>
    </row>
    <row r="694">
      <c r="M694" s="421"/>
    </row>
    <row r="695">
      <c r="M695" s="421"/>
    </row>
    <row r="696">
      <c r="M696" s="421"/>
    </row>
    <row r="697">
      <c r="M697" s="421"/>
    </row>
    <row r="698">
      <c r="M698" s="421"/>
    </row>
    <row r="699">
      <c r="M699" s="421"/>
    </row>
    <row r="700">
      <c r="M700" s="421"/>
    </row>
    <row r="701">
      <c r="M701" s="421"/>
    </row>
    <row r="702">
      <c r="M702" s="421"/>
    </row>
    <row r="703">
      <c r="M703" s="421"/>
    </row>
    <row r="704">
      <c r="M704" s="421"/>
    </row>
    <row r="705">
      <c r="M705" s="421"/>
    </row>
    <row r="706">
      <c r="M706" s="421"/>
    </row>
    <row r="707">
      <c r="M707" s="421"/>
    </row>
    <row r="708">
      <c r="M708" s="421"/>
    </row>
    <row r="709">
      <c r="M709" s="421"/>
    </row>
    <row r="710">
      <c r="M710" s="421"/>
    </row>
    <row r="711">
      <c r="M711" s="421"/>
    </row>
    <row r="712">
      <c r="M712" s="421"/>
    </row>
    <row r="713">
      <c r="M713" s="421"/>
    </row>
    <row r="714">
      <c r="M714" s="421"/>
    </row>
    <row r="715">
      <c r="M715" s="421"/>
    </row>
    <row r="716">
      <c r="M716" s="421"/>
    </row>
    <row r="717">
      <c r="M717" s="421"/>
    </row>
    <row r="718">
      <c r="M718" s="421"/>
    </row>
    <row r="719">
      <c r="M719" s="421"/>
    </row>
    <row r="720">
      <c r="M720" s="421"/>
    </row>
    <row r="721">
      <c r="M721" s="421"/>
    </row>
    <row r="722">
      <c r="M722" s="421"/>
    </row>
    <row r="723">
      <c r="M723" s="421"/>
    </row>
    <row r="724">
      <c r="M724" s="421"/>
    </row>
    <row r="725">
      <c r="M725" s="421"/>
    </row>
    <row r="726">
      <c r="M726" s="421"/>
    </row>
    <row r="727">
      <c r="M727" s="421"/>
    </row>
    <row r="728">
      <c r="M728" s="421"/>
    </row>
    <row r="729">
      <c r="M729" s="421"/>
    </row>
    <row r="730">
      <c r="M730" s="421"/>
    </row>
    <row r="731">
      <c r="M731" s="421"/>
    </row>
    <row r="732">
      <c r="M732" s="421"/>
    </row>
    <row r="733">
      <c r="M733" s="421"/>
    </row>
    <row r="734">
      <c r="M734" s="421"/>
    </row>
    <row r="735">
      <c r="M735" s="421"/>
    </row>
    <row r="736">
      <c r="M736" s="421"/>
    </row>
    <row r="737">
      <c r="M737" s="421"/>
    </row>
    <row r="738">
      <c r="M738" s="421"/>
    </row>
    <row r="739">
      <c r="M739" s="421"/>
    </row>
    <row r="740">
      <c r="M740" s="421"/>
    </row>
    <row r="741">
      <c r="M741" s="421"/>
    </row>
    <row r="742">
      <c r="M742" s="421"/>
    </row>
    <row r="743">
      <c r="M743" s="421"/>
    </row>
    <row r="744">
      <c r="M744" s="421"/>
    </row>
    <row r="745">
      <c r="M745" s="421"/>
    </row>
    <row r="746">
      <c r="M746" s="421"/>
    </row>
    <row r="747">
      <c r="M747" s="421"/>
    </row>
    <row r="748">
      <c r="M748" s="421"/>
    </row>
    <row r="749">
      <c r="M749" s="421"/>
    </row>
    <row r="750">
      <c r="M750" s="421"/>
    </row>
    <row r="751">
      <c r="M751" s="421"/>
    </row>
    <row r="752">
      <c r="M752" s="421"/>
    </row>
    <row r="753">
      <c r="M753" s="421"/>
    </row>
    <row r="754">
      <c r="M754" s="421"/>
    </row>
    <row r="755">
      <c r="M755" s="421"/>
    </row>
    <row r="756">
      <c r="M756" s="421"/>
    </row>
    <row r="757">
      <c r="M757" s="421"/>
    </row>
    <row r="758">
      <c r="M758" s="421"/>
    </row>
    <row r="759">
      <c r="M759" s="421"/>
    </row>
    <row r="760">
      <c r="M760" s="421"/>
    </row>
    <row r="761">
      <c r="M761" s="421"/>
    </row>
    <row r="762">
      <c r="M762" s="421"/>
    </row>
    <row r="763">
      <c r="M763" s="421"/>
    </row>
    <row r="764">
      <c r="M764" s="421"/>
    </row>
    <row r="765">
      <c r="M765" s="421"/>
    </row>
    <row r="766">
      <c r="M766" s="421"/>
    </row>
    <row r="767">
      <c r="M767" s="421"/>
    </row>
    <row r="768">
      <c r="M768" s="421"/>
    </row>
    <row r="769">
      <c r="M769" s="421"/>
    </row>
    <row r="770">
      <c r="M770" s="421"/>
    </row>
    <row r="771">
      <c r="M771" s="421"/>
    </row>
    <row r="772">
      <c r="M772" s="421"/>
    </row>
    <row r="773">
      <c r="M773" s="421"/>
    </row>
    <row r="774">
      <c r="M774" s="421"/>
    </row>
    <row r="775">
      <c r="M775" s="421"/>
    </row>
    <row r="776">
      <c r="M776" s="421"/>
    </row>
    <row r="777">
      <c r="M777" s="421"/>
    </row>
    <row r="778">
      <c r="M778" s="421"/>
    </row>
    <row r="779">
      <c r="M779" s="421"/>
    </row>
    <row r="780">
      <c r="M780" s="421"/>
    </row>
    <row r="781">
      <c r="M781" s="421"/>
    </row>
    <row r="782">
      <c r="M782" s="421"/>
    </row>
    <row r="783">
      <c r="M783" s="421"/>
    </row>
    <row r="784">
      <c r="M784" s="421"/>
    </row>
    <row r="785">
      <c r="M785" s="421"/>
    </row>
    <row r="786">
      <c r="M786" s="421"/>
    </row>
    <row r="787">
      <c r="M787" s="421"/>
    </row>
    <row r="788">
      <c r="M788" s="421"/>
    </row>
    <row r="789">
      <c r="M789" s="421"/>
    </row>
    <row r="790">
      <c r="M790" s="421"/>
    </row>
    <row r="791">
      <c r="M791" s="421"/>
    </row>
    <row r="792">
      <c r="M792" s="421"/>
    </row>
    <row r="793">
      <c r="M793" s="421"/>
    </row>
    <row r="794">
      <c r="M794" s="421"/>
    </row>
    <row r="795">
      <c r="M795" s="421"/>
    </row>
    <row r="796">
      <c r="M796" s="421"/>
    </row>
    <row r="797">
      <c r="M797" s="421"/>
    </row>
    <row r="798">
      <c r="M798" s="421"/>
    </row>
    <row r="799">
      <c r="M799" s="421"/>
    </row>
    <row r="800">
      <c r="M800" s="421"/>
    </row>
    <row r="801">
      <c r="M801" s="421"/>
    </row>
    <row r="802">
      <c r="M802" s="421"/>
    </row>
    <row r="803">
      <c r="M803" s="421"/>
    </row>
    <row r="804">
      <c r="M804" s="421"/>
    </row>
    <row r="805">
      <c r="M805" s="421"/>
    </row>
    <row r="806">
      <c r="M806" s="421"/>
    </row>
    <row r="807">
      <c r="M807" s="421"/>
    </row>
    <row r="808">
      <c r="M808" s="421"/>
    </row>
    <row r="809">
      <c r="M809" s="421"/>
    </row>
    <row r="810">
      <c r="M810" s="421"/>
    </row>
    <row r="811">
      <c r="M811" s="421"/>
    </row>
    <row r="812">
      <c r="M812" s="421"/>
    </row>
    <row r="813">
      <c r="M813" s="421"/>
    </row>
    <row r="814">
      <c r="M814" s="421"/>
    </row>
    <row r="815">
      <c r="M815" s="421"/>
    </row>
    <row r="816">
      <c r="M816" s="421"/>
    </row>
    <row r="817">
      <c r="M817" s="421"/>
    </row>
    <row r="818">
      <c r="M818" s="421"/>
    </row>
    <row r="819">
      <c r="M819" s="421"/>
    </row>
    <row r="820">
      <c r="M820" s="421"/>
    </row>
    <row r="821">
      <c r="M821" s="421"/>
    </row>
    <row r="822">
      <c r="M822" s="421"/>
    </row>
    <row r="823">
      <c r="M823" s="421"/>
    </row>
    <row r="824">
      <c r="M824" s="421"/>
    </row>
    <row r="825">
      <c r="M825" s="421"/>
    </row>
    <row r="826">
      <c r="M826" s="421"/>
    </row>
    <row r="827">
      <c r="M827" s="421"/>
    </row>
    <row r="828">
      <c r="M828" s="421"/>
    </row>
    <row r="829">
      <c r="M829" s="421"/>
    </row>
    <row r="830">
      <c r="M830" s="421"/>
    </row>
    <row r="831">
      <c r="M831" s="421"/>
    </row>
    <row r="832">
      <c r="M832" s="421"/>
    </row>
    <row r="833">
      <c r="M833" s="421"/>
    </row>
    <row r="834">
      <c r="M834" s="421"/>
    </row>
    <row r="835">
      <c r="M835" s="421"/>
    </row>
    <row r="836">
      <c r="M836" s="421"/>
    </row>
    <row r="837">
      <c r="M837" s="421"/>
    </row>
    <row r="838">
      <c r="M838" s="421"/>
    </row>
    <row r="839">
      <c r="M839" s="421"/>
    </row>
    <row r="840">
      <c r="M840" s="421"/>
    </row>
    <row r="841">
      <c r="M841" s="421"/>
    </row>
    <row r="842">
      <c r="M842" s="421"/>
    </row>
    <row r="843">
      <c r="M843" s="421"/>
    </row>
    <row r="844">
      <c r="M844" s="421"/>
    </row>
    <row r="845">
      <c r="M845" s="421"/>
    </row>
    <row r="846">
      <c r="M846" s="421"/>
    </row>
    <row r="847">
      <c r="M847" s="421"/>
    </row>
    <row r="848">
      <c r="M848" s="421"/>
    </row>
    <row r="849">
      <c r="M849" s="421"/>
    </row>
    <row r="850">
      <c r="M850" s="421"/>
    </row>
    <row r="851">
      <c r="M851" s="421"/>
    </row>
    <row r="852">
      <c r="M852" s="421"/>
    </row>
    <row r="853">
      <c r="M853" s="421"/>
    </row>
    <row r="854">
      <c r="M854" s="421"/>
    </row>
    <row r="855">
      <c r="M855" s="421"/>
    </row>
    <row r="856">
      <c r="M856" s="421"/>
    </row>
    <row r="857">
      <c r="M857" s="421"/>
    </row>
    <row r="858">
      <c r="M858" s="421"/>
    </row>
    <row r="859">
      <c r="M859" s="421"/>
    </row>
    <row r="860">
      <c r="M860" s="421"/>
    </row>
    <row r="861">
      <c r="M861" s="421"/>
    </row>
    <row r="862">
      <c r="M862" s="421"/>
    </row>
    <row r="863">
      <c r="M863" s="421"/>
    </row>
    <row r="864">
      <c r="M864" s="421"/>
    </row>
    <row r="865">
      <c r="M865" s="421"/>
    </row>
    <row r="866">
      <c r="M866" s="421"/>
    </row>
    <row r="867">
      <c r="M867" s="421"/>
    </row>
    <row r="868">
      <c r="M868" s="421"/>
    </row>
    <row r="869">
      <c r="M869" s="421"/>
    </row>
    <row r="870">
      <c r="M870" s="421"/>
    </row>
    <row r="871">
      <c r="M871" s="421"/>
    </row>
    <row r="872">
      <c r="M872" s="421"/>
    </row>
    <row r="873">
      <c r="M873" s="421"/>
    </row>
    <row r="874">
      <c r="M874" s="421"/>
    </row>
    <row r="875">
      <c r="M875" s="421"/>
    </row>
    <row r="876">
      <c r="M876" s="421"/>
    </row>
    <row r="877">
      <c r="M877" s="421"/>
    </row>
    <row r="878">
      <c r="M878" s="421"/>
    </row>
    <row r="879">
      <c r="M879" s="421"/>
    </row>
    <row r="880">
      <c r="M880" s="421"/>
    </row>
    <row r="881">
      <c r="M881" s="421"/>
    </row>
    <row r="882">
      <c r="M882" s="421"/>
    </row>
    <row r="883">
      <c r="M883" s="421"/>
    </row>
    <row r="884">
      <c r="M884" s="421"/>
    </row>
    <row r="885">
      <c r="M885" s="421"/>
    </row>
    <row r="886">
      <c r="M886" s="421"/>
    </row>
    <row r="887">
      <c r="M887" s="421"/>
    </row>
    <row r="888">
      <c r="M888" s="421"/>
    </row>
    <row r="889">
      <c r="M889" s="421"/>
    </row>
    <row r="890">
      <c r="M890" s="421"/>
    </row>
    <row r="891">
      <c r="M891" s="421"/>
    </row>
    <row r="892">
      <c r="M892" s="421"/>
    </row>
    <row r="893">
      <c r="M893" s="421"/>
    </row>
    <row r="894">
      <c r="M894" s="421"/>
    </row>
    <row r="895">
      <c r="M895" s="421"/>
    </row>
    <row r="896">
      <c r="M896" s="421"/>
    </row>
    <row r="897">
      <c r="M897" s="421"/>
    </row>
    <row r="898">
      <c r="M898" s="421"/>
    </row>
    <row r="899">
      <c r="M899" s="421"/>
    </row>
    <row r="900">
      <c r="M900" s="421"/>
    </row>
    <row r="901">
      <c r="M901" s="421"/>
    </row>
    <row r="902">
      <c r="M902" s="421"/>
    </row>
    <row r="903">
      <c r="M903" s="421"/>
    </row>
    <row r="904">
      <c r="M904" s="421"/>
    </row>
    <row r="905">
      <c r="M905" s="421"/>
    </row>
    <row r="906">
      <c r="M906" s="421"/>
    </row>
    <row r="907">
      <c r="M907" s="421"/>
    </row>
    <row r="908">
      <c r="M908" s="421"/>
    </row>
    <row r="909">
      <c r="M909" s="421"/>
    </row>
    <row r="910">
      <c r="M910" s="421"/>
    </row>
    <row r="911">
      <c r="M911" s="421"/>
    </row>
    <row r="912">
      <c r="M912" s="421"/>
    </row>
    <row r="913">
      <c r="M913" s="421"/>
    </row>
    <row r="914">
      <c r="M914" s="421"/>
    </row>
    <row r="915">
      <c r="M915" s="421"/>
    </row>
    <row r="916">
      <c r="M916" s="421"/>
    </row>
    <row r="917">
      <c r="M917" s="421"/>
    </row>
    <row r="918">
      <c r="M918" s="421"/>
    </row>
    <row r="919">
      <c r="M919" s="421"/>
    </row>
    <row r="920">
      <c r="M920" s="421"/>
    </row>
    <row r="921">
      <c r="M921" s="421"/>
    </row>
    <row r="922">
      <c r="M922" s="421"/>
    </row>
    <row r="923">
      <c r="M923" s="421"/>
    </row>
    <row r="924">
      <c r="M924" s="421"/>
    </row>
    <row r="925">
      <c r="M925" s="421"/>
    </row>
    <row r="926">
      <c r="M926" s="421"/>
    </row>
    <row r="927">
      <c r="M927" s="421"/>
    </row>
    <row r="928">
      <c r="M928" s="421"/>
    </row>
    <row r="929">
      <c r="M929" s="421"/>
    </row>
    <row r="930">
      <c r="M930" s="421"/>
    </row>
    <row r="931">
      <c r="M931" s="421"/>
    </row>
    <row r="932">
      <c r="M932" s="421"/>
    </row>
    <row r="933">
      <c r="M933" s="421"/>
    </row>
    <row r="934">
      <c r="M934" s="421"/>
    </row>
    <row r="935">
      <c r="M935" s="421"/>
    </row>
    <row r="936">
      <c r="M936" s="421"/>
    </row>
    <row r="937">
      <c r="M937" s="421"/>
    </row>
    <row r="938">
      <c r="M938" s="421"/>
    </row>
    <row r="939">
      <c r="M939" s="421"/>
    </row>
    <row r="940">
      <c r="M940" s="421"/>
    </row>
    <row r="941">
      <c r="M941" s="421"/>
    </row>
    <row r="942">
      <c r="M942" s="421"/>
    </row>
    <row r="943">
      <c r="M943" s="421"/>
    </row>
    <row r="944">
      <c r="M944" s="421"/>
    </row>
    <row r="945">
      <c r="M945" s="421"/>
    </row>
    <row r="946">
      <c r="M946" s="421"/>
    </row>
    <row r="947">
      <c r="M947" s="421"/>
    </row>
    <row r="948">
      <c r="M948" s="421"/>
    </row>
    <row r="949">
      <c r="M949" s="421"/>
    </row>
    <row r="950">
      <c r="M950" s="421"/>
    </row>
    <row r="951">
      <c r="M951" s="421"/>
    </row>
    <row r="952">
      <c r="M952" s="421"/>
    </row>
    <row r="953">
      <c r="M953" s="421"/>
    </row>
    <row r="954">
      <c r="M954" s="421"/>
    </row>
    <row r="955">
      <c r="M955" s="421"/>
    </row>
    <row r="956">
      <c r="M956" s="421"/>
    </row>
    <row r="957">
      <c r="M957" s="421"/>
    </row>
    <row r="958">
      <c r="M958" s="421"/>
    </row>
    <row r="959">
      <c r="M959" s="421"/>
    </row>
    <row r="960">
      <c r="M960" s="421"/>
    </row>
    <row r="961">
      <c r="M961" s="421"/>
    </row>
    <row r="962">
      <c r="M962" s="421"/>
    </row>
    <row r="963">
      <c r="M963" s="421"/>
    </row>
    <row r="964">
      <c r="M964" s="421"/>
    </row>
    <row r="965">
      <c r="M965" s="421"/>
    </row>
    <row r="966">
      <c r="M966" s="421"/>
    </row>
    <row r="967">
      <c r="M967" s="421"/>
    </row>
    <row r="968">
      <c r="M968" s="421"/>
    </row>
    <row r="969">
      <c r="M969" s="421"/>
    </row>
    <row r="970">
      <c r="M970" s="421"/>
    </row>
    <row r="971">
      <c r="M971" s="421"/>
    </row>
    <row r="972">
      <c r="M972" s="421"/>
    </row>
    <row r="973">
      <c r="M973" s="421"/>
    </row>
    <row r="974">
      <c r="M974" s="421"/>
    </row>
    <row r="975">
      <c r="M975" s="421"/>
    </row>
    <row r="976">
      <c r="M976" s="421"/>
    </row>
    <row r="977">
      <c r="M977" s="421"/>
    </row>
    <row r="978">
      <c r="M978" s="421"/>
    </row>
    <row r="979">
      <c r="M979" s="421"/>
    </row>
    <row r="980">
      <c r="M980" s="421"/>
    </row>
    <row r="981">
      <c r="M981" s="421"/>
    </row>
    <row r="982">
      <c r="M982" s="421"/>
    </row>
    <row r="983">
      <c r="M983" s="421"/>
    </row>
    <row r="984">
      <c r="M984" s="421"/>
    </row>
    <row r="985">
      <c r="M985" s="421"/>
    </row>
    <row r="986">
      <c r="M986" s="421"/>
    </row>
    <row r="987">
      <c r="M987" s="421"/>
    </row>
    <row r="988">
      <c r="M988" s="421"/>
    </row>
    <row r="989">
      <c r="M989" s="421"/>
    </row>
    <row r="990">
      <c r="M990" s="421"/>
    </row>
    <row r="991">
      <c r="M991" s="421"/>
    </row>
    <row r="992">
      <c r="M992" s="421"/>
    </row>
    <row r="993">
      <c r="M993" s="421"/>
    </row>
    <row r="994">
      <c r="M994" s="421"/>
    </row>
    <row r="995">
      <c r="M995" s="421"/>
    </row>
    <row r="996">
      <c r="M996" s="421"/>
    </row>
    <row r="997">
      <c r="M997" s="421"/>
    </row>
    <row r="998">
      <c r="M998" s="421"/>
    </row>
    <row r="999">
      <c r="M999" s="421"/>
    </row>
    <row r="1000">
      <c r="M1000" s="421"/>
    </row>
  </sheetData>
  <conditionalFormatting sqref="T1:T1000">
    <cfRule type="cellIs" dxfId="7" priority="1" operator="lessThan">
      <formula>6</formula>
    </cfRule>
  </conditionalFormatting>
  <conditionalFormatting sqref="W1:W1000">
    <cfRule type="cellIs" dxfId="7" priority="2" operator="lessThan">
      <formula>6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7.5"/>
    <col customWidth="1" min="3" max="3" width="17.13"/>
    <col customWidth="1" min="4" max="4" width="16.38"/>
  </cols>
  <sheetData>
    <row r="1">
      <c r="A1" s="427" t="s">
        <v>486</v>
      </c>
      <c r="B1" s="427" t="s">
        <v>87</v>
      </c>
      <c r="C1" s="427" t="s">
        <v>88</v>
      </c>
      <c r="D1" s="427" t="s">
        <v>503</v>
      </c>
      <c r="E1" s="427" t="s">
        <v>504</v>
      </c>
      <c r="F1" s="428" t="s">
        <v>505</v>
      </c>
      <c r="G1" s="427" t="s">
        <v>506</v>
      </c>
      <c r="H1" s="427" t="s">
        <v>507</v>
      </c>
      <c r="I1" s="429" t="s">
        <v>508</v>
      </c>
      <c r="J1" s="430" t="s">
        <v>636</v>
      </c>
      <c r="K1" s="430" t="s">
        <v>637</v>
      </c>
      <c r="L1" s="431" t="s">
        <v>638</v>
      </c>
      <c r="M1" s="432" t="s">
        <v>639</v>
      </c>
      <c r="N1" s="432" t="s">
        <v>640</v>
      </c>
      <c r="O1" s="432" t="s">
        <v>641</v>
      </c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</row>
    <row r="2">
      <c r="A2" s="36">
        <v>1.0</v>
      </c>
      <c r="B2" s="36" t="s">
        <v>40</v>
      </c>
      <c r="C2" s="36" t="s">
        <v>41</v>
      </c>
      <c r="D2" s="36">
        <v>10.0</v>
      </c>
      <c r="E2" s="36">
        <v>10.0</v>
      </c>
      <c r="F2" s="164">
        <v>10.0</v>
      </c>
      <c r="G2" s="36">
        <v>9.0</v>
      </c>
      <c r="H2" s="36">
        <v>10.0</v>
      </c>
      <c r="I2" s="434">
        <v>9.3</v>
      </c>
      <c r="J2" s="36">
        <v>10.0</v>
      </c>
      <c r="K2" s="36">
        <v>10.0</v>
      </c>
      <c r="L2" s="164">
        <v>10.0</v>
      </c>
      <c r="M2" s="36">
        <v>9.0</v>
      </c>
      <c r="N2" s="36">
        <v>10.0</v>
      </c>
      <c r="O2" s="36">
        <v>9.3</v>
      </c>
    </row>
    <row r="3">
      <c r="A3" s="36">
        <v>2.0</v>
      </c>
      <c r="B3" s="36" t="s">
        <v>37</v>
      </c>
      <c r="C3" s="36" t="s">
        <v>36</v>
      </c>
      <c r="D3" s="36">
        <v>8.0</v>
      </c>
      <c r="E3" s="36">
        <v>6.0</v>
      </c>
      <c r="F3" s="164">
        <v>7.4</v>
      </c>
      <c r="G3" s="36">
        <v>6.0</v>
      </c>
      <c r="H3" s="36">
        <v>3.0</v>
      </c>
      <c r="I3" s="434">
        <v>5.1</v>
      </c>
      <c r="J3" s="36">
        <v>6.0</v>
      </c>
      <c r="K3" s="36">
        <v>3.0</v>
      </c>
      <c r="L3" s="164">
        <v>5.1</v>
      </c>
      <c r="M3" s="36">
        <v>8.0</v>
      </c>
      <c r="N3" s="36">
        <v>6.0</v>
      </c>
      <c r="O3" s="36">
        <v>7.4</v>
      </c>
    </row>
    <row r="4">
      <c r="A4" s="36">
        <v>4.0</v>
      </c>
      <c r="B4" s="36" t="s">
        <v>41</v>
      </c>
      <c r="C4" s="36" t="s">
        <v>40</v>
      </c>
      <c r="D4" s="36">
        <v>10.0</v>
      </c>
      <c r="E4" s="36">
        <v>8.0</v>
      </c>
      <c r="F4" s="164">
        <v>9.4</v>
      </c>
      <c r="G4" s="36">
        <v>9.0</v>
      </c>
      <c r="H4" s="36">
        <v>6.0</v>
      </c>
      <c r="I4" s="434">
        <v>8.1</v>
      </c>
      <c r="J4" s="36">
        <v>9.0</v>
      </c>
      <c r="K4" s="36">
        <v>6.0</v>
      </c>
      <c r="L4" s="164">
        <v>8.1</v>
      </c>
      <c r="M4" s="36">
        <v>10.0</v>
      </c>
      <c r="N4" s="36">
        <v>8.0</v>
      </c>
      <c r="O4" s="36">
        <v>9.4</v>
      </c>
    </row>
    <row r="5">
      <c r="A5" s="36">
        <v>5.0</v>
      </c>
      <c r="B5" s="36" t="s">
        <v>40</v>
      </c>
      <c r="C5" s="36" t="s">
        <v>41</v>
      </c>
      <c r="D5" s="36">
        <v>7.0</v>
      </c>
      <c r="E5" s="36">
        <v>5.0</v>
      </c>
      <c r="F5" s="164">
        <v>6.4</v>
      </c>
      <c r="G5" s="36">
        <v>9.0</v>
      </c>
      <c r="H5" s="36">
        <v>6.0</v>
      </c>
      <c r="I5" s="434">
        <v>8.1</v>
      </c>
      <c r="J5" s="36">
        <v>7.0</v>
      </c>
      <c r="K5" s="36">
        <v>5.0</v>
      </c>
      <c r="L5" s="164">
        <v>6.4</v>
      </c>
      <c r="M5" s="36">
        <v>9.0</v>
      </c>
      <c r="N5" s="36">
        <v>6.0</v>
      </c>
      <c r="O5" s="36">
        <v>8.1</v>
      </c>
    </row>
    <row r="6">
      <c r="A6" s="36">
        <v>6.0</v>
      </c>
      <c r="B6" s="36" t="s">
        <v>37</v>
      </c>
      <c r="C6" s="36" t="s">
        <v>36</v>
      </c>
      <c r="D6" s="36">
        <v>10.0</v>
      </c>
      <c r="E6" s="36">
        <v>10.0</v>
      </c>
      <c r="F6" s="164">
        <v>10.0</v>
      </c>
      <c r="G6" s="36">
        <v>10.0</v>
      </c>
      <c r="H6" s="36">
        <v>10.0</v>
      </c>
      <c r="I6" s="434">
        <v>10.0</v>
      </c>
      <c r="J6" s="36">
        <v>10.0</v>
      </c>
      <c r="K6" s="36">
        <v>10.0</v>
      </c>
      <c r="L6" s="164">
        <v>10.0</v>
      </c>
      <c r="M6" s="36">
        <v>10.0</v>
      </c>
      <c r="N6" s="36">
        <v>10.0</v>
      </c>
      <c r="O6" s="36">
        <v>10.0</v>
      </c>
    </row>
    <row r="7">
      <c r="A7" s="36">
        <v>7.0</v>
      </c>
      <c r="B7" s="36" t="s">
        <v>36</v>
      </c>
      <c r="C7" s="36" t="s">
        <v>37</v>
      </c>
      <c r="D7" s="36">
        <v>9.0</v>
      </c>
      <c r="E7" s="36">
        <v>10.0</v>
      </c>
      <c r="F7" s="164">
        <v>9.3</v>
      </c>
      <c r="G7" s="36">
        <v>6.0</v>
      </c>
      <c r="H7" s="36">
        <v>6.0</v>
      </c>
      <c r="I7" s="434">
        <v>6.0</v>
      </c>
      <c r="J7" s="36">
        <v>9.0</v>
      </c>
      <c r="K7" s="36">
        <v>10.0</v>
      </c>
      <c r="L7" s="164">
        <v>9.3</v>
      </c>
      <c r="M7" s="36">
        <v>6.0</v>
      </c>
      <c r="N7" s="36">
        <v>6.0</v>
      </c>
      <c r="O7" s="36">
        <v>6.0</v>
      </c>
    </row>
    <row r="8">
      <c r="A8" s="36">
        <v>8.0</v>
      </c>
      <c r="B8" s="36" t="s">
        <v>41</v>
      </c>
      <c r="C8" s="36" t="s">
        <v>40</v>
      </c>
      <c r="D8" s="36">
        <v>9.0</v>
      </c>
      <c r="E8" s="36">
        <v>10.0</v>
      </c>
      <c r="F8" s="164">
        <v>9.3</v>
      </c>
      <c r="G8" s="36">
        <v>9.0</v>
      </c>
      <c r="H8" s="36">
        <v>10.0</v>
      </c>
      <c r="I8" s="434">
        <v>9.3</v>
      </c>
      <c r="J8" s="36">
        <v>9.0</v>
      </c>
      <c r="K8" s="36">
        <v>10.0</v>
      </c>
      <c r="L8" s="164">
        <v>9.3</v>
      </c>
      <c r="M8" s="36">
        <v>9.0</v>
      </c>
      <c r="N8" s="36">
        <v>10.0</v>
      </c>
      <c r="O8" s="36">
        <v>9.3</v>
      </c>
    </row>
    <row r="9">
      <c r="A9" s="36">
        <v>9.0</v>
      </c>
      <c r="B9" s="36" t="s">
        <v>40</v>
      </c>
      <c r="C9" s="36" t="s">
        <v>41</v>
      </c>
      <c r="D9" s="36">
        <v>9.0</v>
      </c>
      <c r="E9" s="36">
        <v>10.0</v>
      </c>
      <c r="F9" s="164">
        <v>9.3</v>
      </c>
      <c r="G9" s="36">
        <v>10.0</v>
      </c>
      <c r="H9" s="36">
        <v>10.0</v>
      </c>
      <c r="I9" s="434">
        <v>10.0</v>
      </c>
      <c r="J9" s="36">
        <v>9.0</v>
      </c>
      <c r="K9" s="36">
        <v>10.0</v>
      </c>
      <c r="L9" s="164">
        <v>9.3</v>
      </c>
      <c r="M9" s="36">
        <v>10.0</v>
      </c>
      <c r="N9" s="36">
        <v>10.0</v>
      </c>
      <c r="O9" s="36">
        <v>10.0</v>
      </c>
    </row>
    <row r="10">
      <c r="A10" s="36">
        <v>10.0</v>
      </c>
      <c r="B10" s="36" t="s">
        <v>37</v>
      </c>
      <c r="C10" s="36" t="s">
        <v>36</v>
      </c>
      <c r="D10" s="36">
        <v>9.0</v>
      </c>
      <c r="E10" s="36">
        <v>10.0</v>
      </c>
      <c r="F10" s="164">
        <v>9.3</v>
      </c>
      <c r="G10" s="36">
        <v>9.0</v>
      </c>
      <c r="H10" s="36">
        <v>6.0</v>
      </c>
      <c r="I10" s="434">
        <v>8.1</v>
      </c>
      <c r="J10" s="36">
        <v>9.0</v>
      </c>
      <c r="K10" s="36">
        <v>6.0</v>
      </c>
      <c r="L10" s="164">
        <v>8.1</v>
      </c>
      <c r="M10" s="36">
        <v>9.0</v>
      </c>
      <c r="N10" s="36">
        <v>10.0</v>
      </c>
      <c r="O10" s="36">
        <v>9.3</v>
      </c>
    </row>
    <row r="11">
      <c r="A11" s="36">
        <v>11.0</v>
      </c>
      <c r="B11" s="36" t="s">
        <v>36</v>
      </c>
      <c r="C11" s="36" t="s">
        <v>37</v>
      </c>
      <c r="D11" s="36">
        <v>8.0</v>
      </c>
      <c r="E11" s="36">
        <v>3.0</v>
      </c>
      <c r="F11" s="164">
        <v>6.5</v>
      </c>
      <c r="G11" s="36">
        <v>8.0</v>
      </c>
      <c r="H11" s="36">
        <v>10.0</v>
      </c>
      <c r="I11" s="434">
        <v>8.6</v>
      </c>
      <c r="J11" s="36">
        <v>8.0</v>
      </c>
      <c r="K11" s="36">
        <v>3.0</v>
      </c>
      <c r="L11" s="164">
        <v>6.5</v>
      </c>
      <c r="M11" s="36">
        <v>8.0</v>
      </c>
      <c r="N11" s="36">
        <v>10.0</v>
      </c>
      <c r="O11" s="36">
        <v>8.6</v>
      </c>
    </row>
    <row r="12">
      <c r="A12" s="36">
        <v>12.0</v>
      </c>
      <c r="B12" s="36" t="s">
        <v>41</v>
      </c>
      <c r="C12" s="36" t="s">
        <v>40</v>
      </c>
      <c r="D12" s="36">
        <v>10.0</v>
      </c>
      <c r="E12" s="36">
        <v>10.0</v>
      </c>
      <c r="F12" s="164">
        <v>10.0</v>
      </c>
      <c r="G12" s="36">
        <v>10.0</v>
      </c>
      <c r="H12" s="36">
        <v>10.0</v>
      </c>
      <c r="I12" s="434">
        <v>10.0</v>
      </c>
      <c r="J12" s="36">
        <v>10.0</v>
      </c>
      <c r="K12" s="36">
        <v>10.0</v>
      </c>
      <c r="L12" s="164">
        <v>10.0</v>
      </c>
      <c r="M12" s="36">
        <v>10.0</v>
      </c>
      <c r="N12" s="36">
        <v>10.0</v>
      </c>
      <c r="O12" s="36">
        <v>10.0</v>
      </c>
    </row>
    <row r="13">
      <c r="A13" s="36">
        <v>13.0</v>
      </c>
      <c r="B13" s="36" t="s">
        <v>40</v>
      </c>
      <c r="C13" s="36" t="s">
        <v>41</v>
      </c>
      <c r="D13" s="36">
        <v>10.0</v>
      </c>
      <c r="E13" s="36">
        <v>10.0</v>
      </c>
      <c r="F13" s="164">
        <v>10.0</v>
      </c>
      <c r="G13" s="36">
        <v>10.0</v>
      </c>
      <c r="H13" s="36">
        <v>10.0</v>
      </c>
      <c r="I13" s="434">
        <v>10.0</v>
      </c>
      <c r="J13" s="36">
        <v>10.0</v>
      </c>
      <c r="K13" s="36">
        <v>10.0</v>
      </c>
      <c r="L13" s="164">
        <v>10.0</v>
      </c>
      <c r="M13" s="36">
        <v>10.0</v>
      </c>
      <c r="N13" s="36">
        <v>10.0</v>
      </c>
      <c r="O13" s="36">
        <v>10.0</v>
      </c>
    </row>
    <row r="14">
      <c r="A14" s="36">
        <v>14.0</v>
      </c>
      <c r="B14" s="36" t="s">
        <v>37</v>
      </c>
      <c r="C14" s="36" t="s">
        <v>36</v>
      </c>
      <c r="D14" s="36">
        <v>6.0</v>
      </c>
      <c r="E14" s="36">
        <v>5.0</v>
      </c>
      <c r="F14" s="164">
        <v>5.7</v>
      </c>
      <c r="G14" s="36">
        <v>8.0</v>
      </c>
      <c r="H14" s="36">
        <v>5.0</v>
      </c>
      <c r="I14" s="434">
        <v>7.1</v>
      </c>
      <c r="J14" s="36">
        <v>8.0</v>
      </c>
      <c r="K14" s="36">
        <v>5.0</v>
      </c>
      <c r="L14" s="164">
        <v>7.1</v>
      </c>
      <c r="M14" s="36">
        <v>6.0</v>
      </c>
      <c r="N14" s="36">
        <v>5.0</v>
      </c>
      <c r="O14" s="36">
        <v>5.7</v>
      </c>
    </row>
    <row r="15">
      <c r="A15" s="36">
        <v>15.0</v>
      </c>
      <c r="B15" s="36" t="s">
        <v>36</v>
      </c>
      <c r="C15" s="36" t="s">
        <v>37</v>
      </c>
      <c r="D15" s="36">
        <v>9.0</v>
      </c>
      <c r="E15" s="36">
        <v>10.0</v>
      </c>
      <c r="F15" s="164">
        <v>9.3</v>
      </c>
      <c r="G15" s="36">
        <v>8.0</v>
      </c>
      <c r="H15" s="36">
        <v>6.0</v>
      </c>
      <c r="I15" s="434">
        <v>7.4</v>
      </c>
      <c r="J15" s="36">
        <v>9.0</v>
      </c>
      <c r="K15" s="36">
        <v>10.0</v>
      </c>
      <c r="L15" s="164">
        <v>9.3</v>
      </c>
      <c r="M15" s="36">
        <v>8.0</v>
      </c>
      <c r="N15" s="36">
        <v>6.0</v>
      </c>
      <c r="O15" s="36">
        <v>7.4</v>
      </c>
    </row>
    <row r="16">
      <c r="A16" s="36">
        <v>16.0</v>
      </c>
      <c r="B16" s="36" t="s">
        <v>41</v>
      </c>
      <c r="C16" s="36" t="s">
        <v>40</v>
      </c>
      <c r="D16" s="36">
        <v>8.0</v>
      </c>
      <c r="E16" s="36">
        <v>6.0</v>
      </c>
      <c r="F16" s="164">
        <v>7.4</v>
      </c>
      <c r="G16" s="36">
        <v>9.0</v>
      </c>
      <c r="H16" s="36">
        <v>6.0</v>
      </c>
      <c r="I16" s="434">
        <v>8.1</v>
      </c>
      <c r="J16" s="36">
        <v>9.0</v>
      </c>
      <c r="K16" s="36">
        <v>6.0</v>
      </c>
      <c r="L16" s="164">
        <v>8.1</v>
      </c>
      <c r="M16" s="36">
        <v>8.0</v>
      </c>
      <c r="N16" s="36">
        <v>6.0</v>
      </c>
      <c r="O16" s="36">
        <v>7.4</v>
      </c>
    </row>
    <row r="17">
      <c r="A17" s="36">
        <v>17.0</v>
      </c>
      <c r="B17" s="36" t="s">
        <v>40</v>
      </c>
      <c r="C17" s="36" t="s">
        <v>41</v>
      </c>
      <c r="D17" s="36">
        <v>9.0</v>
      </c>
      <c r="E17" s="36">
        <v>10.0</v>
      </c>
      <c r="F17" s="164">
        <v>9.3</v>
      </c>
      <c r="G17" s="36">
        <v>10.0</v>
      </c>
      <c r="H17" s="36">
        <v>10.0</v>
      </c>
      <c r="I17" s="434">
        <v>10.0</v>
      </c>
      <c r="J17" s="36">
        <v>9.0</v>
      </c>
      <c r="K17" s="36">
        <v>10.0</v>
      </c>
      <c r="L17" s="164">
        <v>9.3</v>
      </c>
      <c r="M17" s="36">
        <v>10.0</v>
      </c>
      <c r="N17" s="36">
        <v>10.0</v>
      </c>
      <c r="O17" s="36">
        <v>10.0</v>
      </c>
    </row>
    <row r="18">
      <c r="A18" s="36">
        <v>18.0</v>
      </c>
      <c r="B18" s="36" t="s">
        <v>37</v>
      </c>
      <c r="C18" s="36" t="s">
        <v>36</v>
      </c>
      <c r="D18" s="36">
        <v>7.0</v>
      </c>
      <c r="E18" s="36">
        <v>6.0</v>
      </c>
      <c r="F18" s="164">
        <v>6.7</v>
      </c>
      <c r="G18" s="36">
        <v>9.0</v>
      </c>
      <c r="H18" s="36">
        <v>6.0</v>
      </c>
      <c r="I18" s="434">
        <v>8.1</v>
      </c>
      <c r="J18" s="36">
        <v>9.0</v>
      </c>
      <c r="K18" s="36">
        <v>6.0</v>
      </c>
      <c r="L18" s="164">
        <v>8.1</v>
      </c>
      <c r="M18" s="36">
        <v>7.0</v>
      </c>
      <c r="N18" s="36">
        <v>6.0</v>
      </c>
      <c r="O18" s="36">
        <v>6.7</v>
      </c>
    </row>
    <row r="19">
      <c r="A19" s="36">
        <v>19.0</v>
      </c>
      <c r="B19" s="36" t="s">
        <v>36</v>
      </c>
      <c r="C19" s="36" t="s">
        <v>37</v>
      </c>
      <c r="D19" s="36">
        <v>9.0</v>
      </c>
      <c r="E19" s="36">
        <v>10.0</v>
      </c>
      <c r="F19" s="164">
        <v>9.3</v>
      </c>
      <c r="G19" s="36">
        <v>9.0</v>
      </c>
      <c r="H19" s="36">
        <v>6.0</v>
      </c>
      <c r="I19" s="434">
        <v>8.1</v>
      </c>
      <c r="J19" s="36">
        <v>9.0</v>
      </c>
      <c r="K19" s="36">
        <v>10.0</v>
      </c>
      <c r="L19" s="164">
        <v>9.3</v>
      </c>
      <c r="M19" s="36">
        <v>9.0</v>
      </c>
      <c r="N19" s="36">
        <v>6.0</v>
      </c>
      <c r="O19" s="36">
        <v>8.1</v>
      </c>
    </row>
    <row r="20">
      <c r="A20" s="36">
        <v>20.0</v>
      </c>
      <c r="B20" s="36" t="s">
        <v>41</v>
      </c>
      <c r="C20" s="36" t="s">
        <v>40</v>
      </c>
      <c r="D20" s="36">
        <v>9.0</v>
      </c>
      <c r="E20" s="36">
        <v>6.0</v>
      </c>
      <c r="F20" s="164">
        <v>8.1</v>
      </c>
      <c r="G20" s="36">
        <v>9.0</v>
      </c>
      <c r="H20" s="36">
        <v>6.0</v>
      </c>
      <c r="I20" s="434">
        <v>8.1</v>
      </c>
      <c r="J20" s="36">
        <v>9.0</v>
      </c>
      <c r="K20" s="36">
        <v>6.0</v>
      </c>
      <c r="L20" s="164">
        <v>8.1</v>
      </c>
      <c r="M20" s="36">
        <v>9.0</v>
      </c>
      <c r="N20" s="36">
        <v>6.0</v>
      </c>
      <c r="O20" s="36">
        <v>8.1</v>
      </c>
    </row>
    <row r="21">
      <c r="A21" s="36">
        <v>21.0</v>
      </c>
      <c r="B21" s="36" t="s">
        <v>36</v>
      </c>
      <c r="C21" s="36" t="s">
        <v>37</v>
      </c>
      <c r="D21" s="36">
        <v>9.0</v>
      </c>
      <c r="E21" s="36">
        <v>10.0</v>
      </c>
      <c r="F21" s="164">
        <v>9.3</v>
      </c>
      <c r="G21" s="36">
        <v>10.0</v>
      </c>
      <c r="H21" s="36">
        <v>10.0</v>
      </c>
      <c r="I21" s="434">
        <v>10.0</v>
      </c>
      <c r="J21" s="36">
        <v>9.0</v>
      </c>
      <c r="K21" s="36">
        <v>10.0</v>
      </c>
      <c r="L21" s="164">
        <v>9.3</v>
      </c>
      <c r="M21" s="36">
        <v>10.0</v>
      </c>
      <c r="N21" s="36">
        <v>10.0</v>
      </c>
      <c r="O21" s="36">
        <v>10.0</v>
      </c>
    </row>
    <row r="22">
      <c r="A22" s="36">
        <v>22.0</v>
      </c>
      <c r="B22" s="277" t="s">
        <v>40</v>
      </c>
      <c r="C22" s="277" t="s">
        <v>36</v>
      </c>
      <c r="D22" s="68">
        <v>9.0</v>
      </c>
      <c r="E22" s="68">
        <v>10.0</v>
      </c>
      <c r="F22" s="160">
        <v>9.3</v>
      </c>
      <c r="G22" s="68">
        <v>8.0</v>
      </c>
      <c r="H22" s="68">
        <v>6.0</v>
      </c>
      <c r="I22" s="68">
        <v>7.3999999999999995</v>
      </c>
    </row>
    <row r="23">
      <c r="A23" s="36">
        <v>23.0</v>
      </c>
      <c r="B23" s="277" t="s">
        <v>36</v>
      </c>
      <c r="C23" s="277" t="s">
        <v>40</v>
      </c>
      <c r="D23" s="68">
        <v>9.0</v>
      </c>
      <c r="E23" s="68">
        <v>10.0</v>
      </c>
      <c r="F23" s="160">
        <v>9.3</v>
      </c>
      <c r="G23" s="68">
        <v>8.0</v>
      </c>
      <c r="H23" s="68">
        <v>10.0</v>
      </c>
      <c r="I23" s="68">
        <v>8.6</v>
      </c>
    </row>
    <row r="24">
      <c r="A24" s="36">
        <v>24.0</v>
      </c>
      <c r="B24" s="277" t="s">
        <v>40</v>
      </c>
      <c r="C24" s="277" t="s">
        <v>36</v>
      </c>
      <c r="D24" s="68">
        <v>10.0</v>
      </c>
      <c r="E24" s="68">
        <v>10.0</v>
      </c>
      <c r="F24" s="160">
        <v>10.0</v>
      </c>
      <c r="G24" s="68">
        <v>6.0</v>
      </c>
      <c r="H24" s="68">
        <v>6.0</v>
      </c>
      <c r="I24" s="68">
        <v>5.999999999999999</v>
      </c>
    </row>
    <row r="25">
      <c r="A25" s="36">
        <v>25.0</v>
      </c>
      <c r="B25" s="277" t="s">
        <v>36</v>
      </c>
      <c r="C25" s="277" t="s">
        <v>40</v>
      </c>
      <c r="D25" s="68">
        <v>9.0</v>
      </c>
      <c r="E25" s="68">
        <v>10.0</v>
      </c>
      <c r="F25" s="160">
        <v>9.3</v>
      </c>
      <c r="G25" s="68">
        <v>9.0</v>
      </c>
      <c r="H25" s="68">
        <v>10.0</v>
      </c>
      <c r="I25" s="68">
        <v>9.3</v>
      </c>
    </row>
    <row r="26">
      <c r="A26" s="36">
        <v>26.0</v>
      </c>
      <c r="B26" s="277" t="s">
        <v>40</v>
      </c>
      <c r="C26" s="277" t="s">
        <v>36</v>
      </c>
      <c r="D26" s="68">
        <v>9.0</v>
      </c>
      <c r="E26" s="68">
        <v>10.0</v>
      </c>
      <c r="F26" s="160">
        <v>9.3</v>
      </c>
      <c r="G26" s="68">
        <v>10.0</v>
      </c>
      <c r="H26" s="68">
        <v>10.0</v>
      </c>
      <c r="I26" s="68">
        <v>10.0</v>
      </c>
    </row>
    <row r="27">
      <c r="A27" s="36">
        <v>27.0</v>
      </c>
      <c r="B27" s="277" t="s">
        <v>36</v>
      </c>
      <c r="C27" s="277" t="s">
        <v>40</v>
      </c>
      <c r="D27" s="68">
        <v>9.0</v>
      </c>
      <c r="E27" s="68">
        <v>10.0</v>
      </c>
      <c r="F27" s="160">
        <v>9.3</v>
      </c>
      <c r="G27" s="68">
        <v>8.0</v>
      </c>
      <c r="H27" s="68">
        <v>10.0</v>
      </c>
      <c r="I27" s="68">
        <v>8.6</v>
      </c>
    </row>
    <row r="28">
      <c r="A28" s="36">
        <v>28.0</v>
      </c>
      <c r="B28" s="277" t="s">
        <v>40</v>
      </c>
      <c r="C28" s="277" t="s">
        <v>36</v>
      </c>
      <c r="D28" s="68">
        <v>8.0</v>
      </c>
      <c r="E28" s="68">
        <v>6.0</v>
      </c>
      <c r="F28" s="160">
        <v>7.3999999999999995</v>
      </c>
      <c r="G28" s="68">
        <v>8.0</v>
      </c>
      <c r="H28" s="68">
        <v>10.0</v>
      </c>
      <c r="I28" s="68">
        <v>8.6</v>
      </c>
    </row>
    <row r="29">
      <c r="A29" s="36">
        <v>29.0</v>
      </c>
      <c r="B29" s="277" t="s">
        <v>36</v>
      </c>
      <c r="C29" s="277" t="s">
        <v>40</v>
      </c>
      <c r="D29" s="68">
        <v>8.0</v>
      </c>
      <c r="E29" s="68">
        <v>6.0</v>
      </c>
      <c r="F29" s="160">
        <v>7.3999999999999995</v>
      </c>
      <c r="G29" s="68">
        <v>7.0</v>
      </c>
      <c r="H29" s="68">
        <v>10.0</v>
      </c>
      <c r="I29" s="68">
        <v>7.8999999999999995</v>
      </c>
    </row>
    <row r="30">
      <c r="A30" s="36">
        <v>31.0</v>
      </c>
      <c r="B30" s="277" t="s">
        <v>36</v>
      </c>
      <c r="C30" s="277" t="s">
        <v>40</v>
      </c>
      <c r="D30" s="68">
        <v>8.0</v>
      </c>
      <c r="E30" s="68">
        <v>6.0</v>
      </c>
      <c r="F30" s="160">
        <v>7.3999999999999995</v>
      </c>
      <c r="G30" s="68">
        <v>9.0</v>
      </c>
      <c r="H30" s="68">
        <v>10.0</v>
      </c>
      <c r="I30" s="68">
        <v>9.3</v>
      </c>
    </row>
    <row r="31">
      <c r="A31" s="36">
        <v>32.0</v>
      </c>
      <c r="B31" s="277" t="s">
        <v>40</v>
      </c>
      <c r="C31" s="277" t="s">
        <v>36</v>
      </c>
      <c r="D31" s="68">
        <v>9.0</v>
      </c>
      <c r="E31" s="68">
        <v>6.0</v>
      </c>
      <c r="F31" s="160">
        <v>8.1</v>
      </c>
      <c r="G31" s="68">
        <v>10.0</v>
      </c>
      <c r="H31" s="68">
        <v>10.0</v>
      </c>
      <c r="I31" s="68">
        <v>10.0</v>
      </c>
    </row>
    <row r="32">
      <c r="F32" s="160"/>
    </row>
    <row r="33">
      <c r="F33" s="160"/>
    </row>
    <row r="34">
      <c r="F34" s="160"/>
    </row>
    <row r="35">
      <c r="F35" s="160"/>
    </row>
    <row r="36">
      <c r="F36" s="160"/>
    </row>
    <row r="37">
      <c r="F37" s="160"/>
    </row>
    <row r="38">
      <c r="F38" s="160"/>
    </row>
    <row r="39">
      <c r="F39" s="160"/>
    </row>
    <row r="40">
      <c r="F40" s="160"/>
    </row>
    <row r="41">
      <c r="F41" s="160"/>
    </row>
    <row r="42">
      <c r="F42" s="160"/>
    </row>
    <row r="43">
      <c r="F43" s="160"/>
    </row>
    <row r="44">
      <c r="F44" s="160"/>
    </row>
    <row r="45">
      <c r="F45" s="160"/>
    </row>
    <row r="46">
      <c r="F46" s="160"/>
    </row>
    <row r="47">
      <c r="F47" s="160"/>
    </row>
    <row r="48">
      <c r="F48" s="160"/>
    </row>
    <row r="49">
      <c r="F49" s="160"/>
    </row>
    <row r="50">
      <c r="F50" s="160"/>
    </row>
    <row r="51">
      <c r="F51" s="160"/>
    </row>
    <row r="52">
      <c r="F52" s="160"/>
    </row>
    <row r="53">
      <c r="F53" s="160"/>
    </row>
    <row r="54">
      <c r="F54" s="160"/>
    </row>
    <row r="55">
      <c r="F55" s="160"/>
    </row>
    <row r="56">
      <c r="F56" s="160"/>
    </row>
    <row r="57">
      <c r="F57" s="160"/>
    </row>
    <row r="58">
      <c r="F58" s="160"/>
    </row>
    <row r="59">
      <c r="F59" s="160"/>
    </row>
    <row r="60">
      <c r="F60" s="160"/>
    </row>
    <row r="61">
      <c r="F61" s="160"/>
    </row>
    <row r="62">
      <c r="F62" s="160"/>
    </row>
    <row r="63">
      <c r="F63" s="160"/>
    </row>
    <row r="64">
      <c r="F64" s="160"/>
    </row>
    <row r="65">
      <c r="F65" s="160"/>
    </row>
    <row r="66">
      <c r="F66" s="160"/>
    </row>
    <row r="67">
      <c r="F67" s="160"/>
    </row>
    <row r="68">
      <c r="F68" s="160"/>
    </row>
    <row r="69">
      <c r="F69" s="160"/>
    </row>
    <row r="70">
      <c r="F70" s="160"/>
    </row>
    <row r="71">
      <c r="F71" s="160"/>
    </row>
    <row r="72">
      <c r="F72" s="160"/>
    </row>
    <row r="73">
      <c r="F73" s="160"/>
    </row>
    <row r="74">
      <c r="F74" s="160"/>
    </row>
    <row r="75">
      <c r="F75" s="160"/>
    </row>
    <row r="76">
      <c r="F76" s="160"/>
    </row>
    <row r="77">
      <c r="F77" s="160"/>
    </row>
    <row r="78">
      <c r="F78" s="160"/>
    </row>
    <row r="79">
      <c r="F79" s="160"/>
    </row>
    <row r="80">
      <c r="F80" s="160"/>
    </row>
    <row r="81">
      <c r="F81" s="160"/>
    </row>
    <row r="82">
      <c r="F82" s="160"/>
    </row>
    <row r="83">
      <c r="F83" s="160"/>
    </row>
    <row r="84">
      <c r="F84" s="160"/>
    </row>
    <row r="85">
      <c r="F85" s="160"/>
    </row>
    <row r="86">
      <c r="F86" s="160"/>
    </row>
    <row r="87">
      <c r="F87" s="160"/>
    </row>
    <row r="88">
      <c r="F88" s="160"/>
    </row>
    <row r="89">
      <c r="F89" s="160"/>
    </row>
    <row r="90">
      <c r="F90" s="160"/>
    </row>
    <row r="91">
      <c r="F91" s="160"/>
    </row>
    <row r="92">
      <c r="F92" s="160"/>
    </row>
    <row r="93">
      <c r="F93" s="160"/>
    </row>
    <row r="94">
      <c r="F94" s="160"/>
    </row>
    <row r="95">
      <c r="F95" s="160"/>
    </row>
    <row r="96">
      <c r="F96" s="160"/>
    </row>
    <row r="97">
      <c r="F97" s="160"/>
    </row>
    <row r="98">
      <c r="F98" s="160"/>
    </row>
    <row r="99">
      <c r="F99" s="160"/>
    </row>
    <row r="100">
      <c r="F100" s="160"/>
    </row>
    <row r="101">
      <c r="F101" s="160"/>
    </row>
    <row r="102">
      <c r="F102" s="160"/>
    </row>
    <row r="103">
      <c r="F103" s="160"/>
    </row>
    <row r="104">
      <c r="F104" s="160"/>
    </row>
    <row r="105">
      <c r="F105" s="160"/>
    </row>
    <row r="106">
      <c r="F106" s="160"/>
    </row>
    <row r="107">
      <c r="F107" s="160"/>
    </row>
    <row r="108">
      <c r="F108" s="160"/>
    </row>
    <row r="109">
      <c r="F109" s="160"/>
    </row>
    <row r="110">
      <c r="F110" s="160"/>
    </row>
    <row r="111">
      <c r="F111" s="160"/>
    </row>
    <row r="112">
      <c r="F112" s="160"/>
    </row>
    <row r="113">
      <c r="F113" s="160"/>
    </row>
    <row r="114">
      <c r="F114" s="160"/>
    </row>
    <row r="115">
      <c r="F115" s="160"/>
    </row>
    <row r="116">
      <c r="F116" s="160"/>
    </row>
    <row r="117">
      <c r="F117" s="160"/>
    </row>
    <row r="118">
      <c r="F118" s="160"/>
    </row>
    <row r="119">
      <c r="F119" s="160"/>
    </row>
    <row r="120">
      <c r="F120" s="160"/>
    </row>
    <row r="121">
      <c r="F121" s="160"/>
    </row>
    <row r="122">
      <c r="F122" s="160"/>
    </row>
    <row r="123">
      <c r="F123" s="160"/>
    </row>
    <row r="124">
      <c r="F124" s="160"/>
    </row>
    <row r="125">
      <c r="F125" s="160"/>
    </row>
    <row r="126">
      <c r="F126" s="160"/>
    </row>
    <row r="127">
      <c r="F127" s="160"/>
    </row>
    <row r="128">
      <c r="F128" s="160"/>
    </row>
    <row r="129">
      <c r="F129" s="160"/>
    </row>
    <row r="130">
      <c r="F130" s="160"/>
    </row>
    <row r="131">
      <c r="F131" s="160"/>
    </row>
    <row r="132">
      <c r="F132" s="160"/>
    </row>
    <row r="133">
      <c r="F133" s="160"/>
    </row>
    <row r="134">
      <c r="F134" s="160"/>
    </row>
    <row r="135">
      <c r="F135" s="160"/>
    </row>
    <row r="136">
      <c r="F136" s="160"/>
    </row>
    <row r="137">
      <c r="F137" s="160"/>
    </row>
    <row r="138">
      <c r="F138" s="160"/>
    </row>
    <row r="139">
      <c r="F139" s="160"/>
    </row>
    <row r="140">
      <c r="F140" s="160"/>
    </row>
    <row r="141">
      <c r="F141" s="160"/>
    </row>
    <row r="142">
      <c r="F142" s="160"/>
    </row>
    <row r="143">
      <c r="F143" s="160"/>
    </row>
    <row r="144">
      <c r="F144" s="160"/>
    </row>
    <row r="145">
      <c r="F145" s="160"/>
    </row>
    <row r="146">
      <c r="F146" s="160"/>
    </row>
    <row r="147">
      <c r="F147" s="160"/>
    </row>
    <row r="148">
      <c r="F148" s="160"/>
    </row>
    <row r="149">
      <c r="F149" s="160"/>
    </row>
    <row r="150">
      <c r="F150" s="160"/>
    </row>
    <row r="151">
      <c r="F151" s="160"/>
    </row>
    <row r="152">
      <c r="F152" s="160"/>
    </row>
    <row r="153">
      <c r="F153" s="160"/>
    </row>
    <row r="154">
      <c r="F154" s="160"/>
    </row>
    <row r="155">
      <c r="F155" s="160"/>
    </row>
    <row r="156">
      <c r="F156" s="160"/>
    </row>
    <row r="157">
      <c r="F157" s="160"/>
    </row>
    <row r="158">
      <c r="F158" s="160"/>
    </row>
    <row r="159">
      <c r="F159" s="160"/>
    </row>
    <row r="160">
      <c r="F160" s="160"/>
    </row>
    <row r="161">
      <c r="F161" s="160"/>
    </row>
    <row r="162">
      <c r="F162" s="160"/>
    </row>
    <row r="163">
      <c r="F163" s="160"/>
    </row>
    <row r="164">
      <c r="F164" s="160"/>
    </row>
    <row r="165">
      <c r="F165" s="160"/>
    </row>
    <row r="166">
      <c r="F166" s="160"/>
    </row>
    <row r="167">
      <c r="F167" s="160"/>
    </row>
    <row r="168">
      <c r="F168" s="160"/>
    </row>
    <row r="169">
      <c r="F169" s="160"/>
    </row>
    <row r="170">
      <c r="F170" s="160"/>
    </row>
    <row r="171">
      <c r="F171" s="160"/>
    </row>
    <row r="172">
      <c r="F172" s="160"/>
    </row>
    <row r="173">
      <c r="F173" s="160"/>
    </row>
    <row r="174">
      <c r="F174" s="160"/>
    </row>
    <row r="175">
      <c r="F175" s="160"/>
    </row>
    <row r="176">
      <c r="F176" s="160"/>
    </row>
    <row r="177">
      <c r="F177" s="160"/>
    </row>
    <row r="178">
      <c r="F178" s="160"/>
    </row>
    <row r="179">
      <c r="F179" s="160"/>
    </row>
    <row r="180">
      <c r="F180" s="160"/>
    </row>
    <row r="181">
      <c r="F181" s="160"/>
    </row>
    <row r="182">
      <c r="F182" s="160"/>
    </row>
    <row r="183">
      <c r="F183" s="160"/>
    </row>
    <row r="184">
      <c r="F184" s="160"/>
    </row>
    <row r="185">
      <c r="F185" s="160"/>
    </row>
    <row r="186">
      <c r="F186" s="160"/>
    </row>
    <row r="187">
      <c r="F187" s="160"/>
    </row>
    <row r="188">
      <c r="F188" s="160"/>
    </row>
    <row r="189">
      <c r="F189" s="160"/>
    </row>
    <row r="190">
      <c r="F190" s="160"/>
    </row>
    <row r="191">
      <c r="F191" s="160"/>
    </row>
    <row r="192">
      <c r="F192" s="160"/>
    </row>
    <row r="193">
      <c r="F193" s="160"/>
    </row>
    <row r="194">
      <c r="F194" s="160"/>
    </row>
    <row r="195">
      <c r="F195" s="160"/>
    </row>
    <row r="196">
      <c r="F196" s="160"/>
    </row>
    <row r="197">
      <c r="F197" s="160"/>
    </row>
    <row r="198">
      <c r="F198" s="160"/>
    </row>
    <row r="199">
      <c r="F199" s="160"/>
    </row>
    <row r="200">
      <c r="F200" s="160"/>
    </row>
    <row r="201">
      <c r="F201" s="160"/>
    </row>
    <row r="202">
      <c r="F202" s="160"/>
    </row>
    <row r="203">
      <c r="F203" s="160"/>
    </row>
    <row r="204">
      <c r="F204" s="160"/>
    </row>
    <row r="205">
      <c r="F205" s="160"/>
    </row>
    <row r="206">
      <c r="F206" s="160"/>
    </row>
    <row r="207">
      <c r="F207" s="160"/>
    </row>
    <row r="208">
      <c r="F208" s="160"/>
    </row>
    <row r="209">
      <c r="F209" s="160"/>
    </row>
    <row r="210">
      <c r="F210" s="160"/>
    </row>
    <row r="211">
      <c r="F211" s="160"/>
    </row>
    <row r="212">
      <c r="F212" s="160"/>
    </row>
    <row r="213">
      <c r="F213" s="160"/>
    </row>
    <row r="214">
      <c r="F214" s="160"/>
    </row>
    <row r="215">
      <c r="F215" s="160"/>
    </row>
    <row r="216">
      <c r="F216" s="160"/>
    </row>
    <row r="217">
      <c r="F217" s="160"/>
    </row>
    <row r="218">
      <c r="F218" s="160"/>
    </row>
    <row r="219">
      <c r="F219" s="160"/>
    </row>
    <row r="220">
      <c r="F220" s="160"/>
    </row>
    <row r="221">
      <c r="F221" s="160"/>
    </row>
    <row r="222">
      <c r="F222" s="160"/>
    </row>
    <row r="223">
      <c r="F223" s="160"/>
    </row>
    <row r="224">
      <c r="F224" s="160"/>
    </row>
    <row r="225">
      <c r="F225" s="160"/>
    </row>
    <row r="226">
      <c r="F226" s="160"/>
    </row>
    <row r="227">
      <c r="F227" s="160"/>
    </row>
    <row r="228">
      <c r="F228" s="160"/>
    </row>
    <row r="229">
      <c r="F229" s="160"/>
    </row>
    <row r="230">
      <c r="F230" s="160"/>
    </row>
    <row r="231">
      <c r="F231" s="160"/>
    </row>
    <row r="232">
      <c r="F232" s="160"/>
    </row>
    <row r="233">
      <c r="F233" s="160"/>
    </row>
    <row r="234">
      <c r="F234" s="160"/>
    </row>
    <row r="235">
      <c r="F235" s="160"/>
    </row>
    <row r="236">
      <c r="F236" s="160"/>
    </row>
    <row r="237">
      <c r="F237" s="160"/>
    </row>
    <row r="238">
      <c r="F238" s="160"/>
    </row>
    <row r="239">
      <c r="F239" s="160"/>
    </row>
    <row r="240">
      <c r="F240" s="160"/>
    </row>
    <row r="241">
      <c r="F241" s="160"/>
    </row>
    <row r="242">
      <c r="F242" s="160"/>
    </row>
    <row r="243">
      <c r="F243" s="160"/>
    </row>
    <row r="244">
      <c r="F244" s="160"/>
    </row>
    <row r="245">
      <c r="F245" s="160"/>
    </row>
    <row r="246">
      <c r="F246" s="160"/>
    </row>
    <row r="247">
      <c r="F247" s="160"/>
    </row>
    <row r="248">
      <c r="F248" s="160"/>
    </row>
    <row r="249">
      <c r="F249" s="160"/>
    </row>
    <row r="250">
      <c r="F250" s="160"/>
    </row>
    <row r="251">
      <c r="F251" s="160"/>
    </row>
    <row r="252">
      <c r="F252" s="160"/>
    </row>
    <row r="253">
      <c r="F253" s="160"/>
    </row>
    <row r="254">
      <c r="F254" s="160"/>
    </row>
    <row r="255">
      <c r="F255" s="160"/>
    </row>
    <row r="256">
      <c r="F256" s="160"/>
    </row>
    <row r="257">
      <c r="F257" s="160"/>
    </row>
    <row r="258">
      <c r="F258" s="160"/>
    </row>
    <row r="259">
      <c r="F259" s="160"/>
    </row>
    <row r="260">
      <c r="F260" s="160"/>
    </row>
    <row r="261">
      <c r="F261" s="160"/>
    </row>
    <row r="262">
      <c r="F262" s="160"/>
    </row>
    <row r="263">
      <c r="F263" s="160"/>
    </row>
    <row r="264">
      <c r="F264" s="160"/>
    </row>
    <row r="265">
      <c r="F265" s="160"/>
    </row>
    <row r="266">
      <c r="F266" s="160"/>
    </row>
    <row r="267">
      <c r="F267" s="160"/>
    </row>
    <row r="268">
      <c r="F268" s="160"/>
    </row>
    <row r="269">
      <c r="F269" s="160"/>
    </row>
    <row r="270">
      <c r="F270" s="160"/>
    </row>
    <row r="271">
      <c r="F271" s="160"/>
    </row>
    <row r="272">
      <c r="F272" s="160"/>
    </row>
    <row r="273">
      <c r="F273" s="160"/>
    </row>
    <row r="274">
      <c r="F274" s="160"/>
    </row>
    <row r="275">
      <c r="F275" s="160"/>
    </row>
    <row r="276">
      <c r="F276" s="160"/>
    </row>
    <row r="277">
      <c r="F277" s="160"/>
    </row>
    <row r="278">
      <c r="F278" s="160"/>
    </row>
    <row r="279">
      <c r="F279" s="160"/>
    </row>
    <row r="280">
      <c r="F280" s="160"/>
    </row>
    <row r="281">
      <c r="F281" s="160"/>
    </row>
    <row r="282">
      <c r="F282" s="160"/>
    </row>
    <row r="283">
      <c r="F283" s="160"/>
    </row>
    <row r="284">
      <c r="F284" s="160"/>
    </row>
    <row r="285">
      <c r="F285" s="160"/>
    </row>
    <row r="286">
      <c r="F286" s="160"/>
    </row>
    <row r="287">
      <c r="F287" s="160"/>
    </row>
    <row r="288">
      <c r="F288" s="160"/>
    </row>
    <row r="289">
      <c r="F289" s="160"/>
    </row>
    <row r="290">
      <c r="F290" s="160"/>
    </row>
    <row r="291">
      <c r="F291" s="160"/>
    </row>
    <row r="292">
      <c r="F292" s="160"/>
    </row>
    <row r="293">
      <c r="F293" s="160"/>
    </row>
    <row r="294">
      <c r="F294" s="160"/>
    </row>
    <row r="295">
      <c r="F295" s="160"/>
    </row>
    <row r="296">
      <c r="F296" s="160"/>
    </row>
    <row r="297">
      <c r="F297" s="160"/>
    </row>
    <row r="298">
      <c r="F298" s="160"/>
    </row>
    <row r="299">
      <c r="F299" s="160"/>
    </row>
    <row r="300">
      <c r="F300" s="160"/>
    </row>
    <row r="301">
      <c r="F301" s="160"/>
    </row>
    <row r="302">
      <c r="F302" s="160"/>
    </row>
    <row r="303">
      <c r="F303" s="160"/>
    </row>
    <row r="304">
      <c r="F304" s="160"/>
    </row>
    <row r="305">
      <c r="F305" s="160"/>
    </row>
    <row r="306">
      <c r="F306" s="160"/>
    </row>
    <row r="307">
      <c r="F307" s="160"/>
    </row>
    <row r="308">
      <c r="F308" s="160"/>
    </row>
    <row r="309">
      <c r="F309" s="160"/>
    </row>
    <row r="310">
      <c r="F310" s="160"/>
    </row>
    <row r="311">
      <c r="F311" s="160"/>
    </row>
    <row r="312">
      <c r="F312" s="160"/>
    </row>
    <row r="313">
      <c r="F313" s="160"/>
    </row>
    <row r="314">
      <c r="F314" s="160"/>
    </row>
    <row r="315">
      <c r="F315" s="160"/>
    </row>
    <row r="316">
      <c r="F316" s="160"/>
    </row>
    <row r="317">
      <c r="F317" s="160"/>
    </row>
    <row r="318">
      <c r="F318" s="160"/>
    </row>
    <row r="319">
      <c r="F319" s="160"/>
    </row>
    <row r="320">
      <c r="F320" s="160"/>
    </row>
    <row r="321">
      <c r="F321" s="160"/>
    </row>
    <row r="322">
      <c r="F322" s="160"/>
    </row>
    <row r="323">
      <c r="F323" s="160"/>
    </row>
    <row r="324">
      <c r="F324" s="160"/>
    </row>
    <row r="325">
      <c r="F325" s="160"/>
    </row>
    <row r="326">
      <c r="F326" s="160"/>
    </row>
    <row r="327">
      <c r="F327" s="160"/>
    </row>
    <row r="328">
      <c r="F328" s="160"/>
    </row>
    <row r="329">
      <c r="F329" s="160"/>
    </row>
    <row r="330">
      <c r="F330" s="160"/>
    </row>
    <row r="331">
      <c r="F331" s="160"/>
    </row>
    <row r="332">
      <c r="F332" s="160"/>
    </row>
    <row r="333">
      <c r="F333" s="160"/>
    </row>
    <row r="334">
      <c r="F334" s="160"/>
    </row>
    <row r="335">
      <c r="F335" s="160"/>
    </row>
    <row r="336">
      <c r="F336" s="160"/>
    </row>
    <row r="337">
      <c r="F337" s="160"/>
    </row>
    <row r="338">
      <c r="F338" s="160"/>
    </row>
    <row r="339">
      <c r="F339" s="160"/>
    </row>
    <row r="340">
      <c r="F340" s="160"/>
    </row>
    <row r="341">
      <c r="F341" s="160"/>
    </row>
    <row r="342">
      <c r="F342" s="160"/>
    </row>
    <row r="343">
      <c r="F343" s="160"/>
    </row>
    <row r="344">
      <c r="F344" s="160"/>
    </row>
    <row r="345">
      <c r="F345" s="160"/>
    </row>
    <row r="346">
      <c r="F346" s="160"/>
    </row>
    <row r="347">
      <c r="F347" s="160"/>
    </row>
    <row r="348">
      <c r="F348" s="160"/>
    </row>
    <row r="349">
      <c r="F349" s="160"/>
    </row>
    <row r="350">
      <c r="F350" s="160"/>
    </row>
    <row r="351">
      <c r="F351" s="160"/>
    </row>
    <row r="352">
      <c r="F352" s="160"/>
    </row>
    <row r="353">
      <c r="F353" s="160"/>
    </row>
    <row r="354">
      <c r="F354" s="160"/>
    </row>
    <row r="355">
      <c r="F355" s="160"/>
    </row>
    <row r="356">
      <c r="F356" s="160"/>
    </row>
    <row r="357">
      <c r="F357" s="160"/>
    </row>
    <row r="358">
      <c r="F358" s="160"/>
    </row>
    <row r="359">
      <c r="F359" s="160"/>
    </row>
    <row r="360">
      <c r="F360" s="160"/>
    </row>
    <row r="361">
      <c r="F361" s="160"/>
    </row>
    <row r="362">
      <c r="F362" s="160"/>
    </row>
    <row r="363">
      <c r="F363" s="160"/>
    </row>
    <row r="364">
      <c r="F364" s="160"/>
    </row>
    <row r="365">
      <c r="F365" s="160"/>
    </row>
    <row r="366">
      <c r="F366" s="160"/>
    </row>
    <row r="367">
      <c r="F367" s="160"/>
    </row>
    <row r="368">
      <c r="F368" s="160"/>
    </row>
    <row r="369">
      <c r="F369" s="160"/>
    </row>
    <row r="370">
      <c r="F370" s="160"/>
    </row>
    <row r="371">
      <c r="F371" s="160"/>
    </row>
    <row r="372">
      <c r="F372" s="160"/>
    </row>
    <row r="373">
      <c r="F373" s="160"/>
    </row>
    <row r="374">
      <c r="F374" s="160"/>
    </row>
    <row r="375">
      <c r="F375" s="160"/>
    </row>
    <row r="376">
      <c r="F376" s="160"/>
    </row>
    <row r="377">
      <c r="F377" s="160"/>
    </row>
    <row r="378">
      <c r="F378" s="160"/>
    </row>
    <row r="379">
      <c r="F379" s="160"/>
    </row>
    <row r="380">
      <c r="F380" s="160"/>
    </row>
    <row r="381">
      <c r="F381" s="160"/>
    </row>
    <row r="382">
      <c r="F382" s="160"/>
    </row>
    <row r="383">
      <c r="F383" s="160"/>
    </row>
    <row r="384">
      <c r="F384" s="160"/>
    </row>
    <row r="385">
      <c r="F385" s="160"/>
    </row>
    <row r="386">
      <c r="F386" s="160"/>
    </row>
    <row r="387">
      <c r="F387" s="160"/>
    </row>
    <row r="388">
      <c r="F388" s="160"/>
    </row>
    <row r="389">
      <c r="F389" s="160"/>
    </row>
    <row r="390">
      <c r="F390" s="160"/>
    </row>
    <row r="391">
      <c r="F391" s="160"/>
    </row>
    <row r="392">
      <c r="F392" s="160"/>
    </row>
    <row r="393">
      <c r="F393" s="160"/>
    </row>
    <row r="394">
      <c r="F394" s="160"/>
    </row>
    <row r="395">
      <c r="F395" s="160"/>
    </row>
    <row r="396">
      <c r="F396" s="160"/>
    </row>
    <row r="397">
      <c r="F397" s="160"/>
    </row>
    <row r="398">
      <c r="F398" s="160"/>
    </row>
    <row r="399">
      <c r="F399" s="160"/>
    </row>
    <row r="400">
      <c r="F400" s="160"/>
    </row>
    <row r="401">
      <c r="F401" s="160"/>
    </row>
    <row r="402">
      <c r="F402" s="160"/>
    </row>
    <row r="403">
      <c r="F403" s="160"/>
    </row>
    <row r="404">
      <c r="F404" s="160"/>
    </row>
    <row r="405">
      <c r="F405" s="160"/>
    </row>
    <row r="406">
      <c r="F406" s="160"/>
    </row>
    <row r="407">
      <c r="F407" s="160"/>
    </row>
    <row r="408">
      <c r="F408" s="160"/>
    </row>
    <row r="409">
      <c r="F409" s="160"/>
    </row>
    <row r="410">
      <c r="F410" s="160"/>
    </row>
    <row r="411">
      <c r="F411" s="160"/>
    </row>
    <row r="412">
      <c r="F412" s="160"/>
    </row>
    <row r="413">
      <c r="F413" s="160"/>
    </row>
    <row r="414">
      <c r="F414" s="160"/>
    </row>
    <row r="415">
      <c r="F415" s="160"/>
    </row>
    <row r="416">
      <c r="F416" s="160"/>
    </row>
    <row r="417">
      <c r="F417" s="160"/>
    </row>
    <row r="418">
      <c r="F418" s="160"/>
    </row>
    <row r="419">
      <c r="F419" s="160"/>
    </row>
    <row r="420">
      <c r="F420" s="160"/>
    </row>
    <row r="421">
      <c r="F421" s="160"/>
    </row>
    <row r="422">
      <c r="F422" s="160"/>
    </row>
    <row r="423">
      <c r="F423" s="160"/>
    </row>
    <row r="424">
      <c r="F424" s="160"/>
    </row>
    <row r="425">
      <c r="F425" s="160"/>
    </row>
    <row r="426">
      <c r="F426" s="160"/>
    </row>
    <row r="427">
      <c r="F427" s="160"/>
    </row>
    <row r="428">
      <c r="F428" s="160"/>
    </row>
    <row r="429">
      <c r="F429" s="160"/>
    </row>
    <row r="430">
      <c r="F430" s="160"/>
    </row>
    <row r="431">
      <c r="F431" s="160"/>
    </row>
    <row r="432">
      <c r="F432" s="160"/>
    </row>
    <row r="433">
      <c r="F433" s="160"/>
    </row>
    <row r="434">
      <c r="F434" s="160"/>
    </row>
    <row r="435">
      <c r="F435" s="160"/>
    </row>
    <row r="436">
      <c r="F436" s="160"/>
    </row>
    <row r="437">
      <c r="F437" s="160"/>
    </row>
    <row r="438">
      <c r="F438" s="160"/>
    </row>
    <row r="439">
      <c r="F439" s="160"/>
    </row>
    <row r="440">
      <c r="F440" s="160"/>
    </row>
    <row r="441">
      <c r="F441" s="160"/>
    </row>
    <row r="442">
      <c r="F442" s="160"/>
    </row>
    <row r="443">
      <c r="F443" s="160"/>
    </row>
    <row r="444">
      <c r="F444" s="160"/>
    </row>
    <row r="445">
      <c r="F445" s="160"/>
    </row>
    <row r="446">
      <c r="F446" s="160"/>
    </row>
    <row r="447">
      <c r="F447" s="160"/>
    </row>
    <row r="448">
      <c r="F448" s="160"/>
    </row>
    <row r="449">
      <c r="F449" s="160"/>
    </row>
    <row r="450">
      <c r="F450" s="160"/>
    </row>
    <row r="451">
      <c r="F451" s="160"/>
    </row>
    <row r="452">
      <c r="F452" s="160"/>
    </row>
    <row r="453">
      <c r="F453" s="160"/>
    </row>
    <row r="454">
      <c r="F454" s="160"/>
    </row>
    <row r="455">
      <c r="F455" s="160"/>
    </row>
    <row r="456">
      <c r="F456" s="160"/>
    </row>
    <row r="457">
      <c r="F457" s="160"/>
    </row>
    <row r="458">
      <c r="F458" s="160"/>
    </row>
    <row r="459">
      <c r="F459" s="160"/>
    </row>
    <row r="460">
      <c r="F460" s="160"/>
    </row>
    <row r="461">
      <c r="F461" s="160"/>
    </row>
    <row r="462">
      <c r="F462" s="160"/>
    </row>
    <row r="463">
      <c r="F463" s="160"/>
    </row>
    <row r="464">
      <c r="F464" s="160"/>
    </row>
    <row r="465">
      <c r="F465" s="160"/>
    </row>
    <row r="466">
      <c r="F466" s="160"/>
    </row>
    <row r="467">
      <c r="F467" s="160"/>
    </row>
    <row r="468">
      <c r="F468" s="160"/>
    </row>
    <row r="469">
      <c r="F469" s="160"/>
    </row>
    <row r="470">
      <c r="F470" s="160"/>
    </row>
    <row r="471">
      <c r="F471" s="160"/>
    </row>
    <row r="472">
      <c r="F472" s="160"/>
    </row>
    <row r="473">
      <c r="F473" s="160"/>
    </row>
    <row r="474">
      <c r="F474" s="160"/>
    </row>
    <row r="475">
      <c r="F475" s="160"/>
    </row>
    <row r="476">
      <c r="F476" s="160"/>
    </row>
    <row r="477">
      <c r="F477" s="160"/>
    </row>
    <row r="478">
      <c r="F478" s="160"/>
    </row>
    <row r="479">
      <c r="F479" s="160"/>
    </row>
    <row r="480">
      <c r="F480" s="160"/>
    </row>
    <row r="481">
      <c r="F481" s="160"/>
    </row>
    <row r="482">
      <c r="F482" s="160"/>
    </row>
    <row r="483">
      <c r="F483" s="160"/>
    </row>
    <row r="484">
      <c r="F484" s="160"/>
    </row>
    <row r="485">
      <c r="F485" s="160"/>
    </row>
    <row r="486">
      <c r="F486" s="160"/>
    </row>
    <row r="487">
      <c r="F487" s="160"/>
    </row>
    <row r="488">
      <c r="F488" s="160"/>
    </row>
    <row r="489">
      <c r="F489" s="160"/>
    </row>
    <row r="490">
      <c r="F490" s="160"/>
    </row>
    <row r="491">
      <c r="F491" s="160"/>
    </row>
    <row r="492">
      <c r="F492" s="160"/>
    </row>
    <row r="493">
      <c r="F493" s="160"/>
    </row>
    <row r="494">
      <c r="F494" s="160"/>
    </row>
    <row r="495">
      <c r="F495" s="160"/>
    </row>
    <row r="496">
      <c r="F496" s="160"/>
    </row>
    <row r="497">
      <c r="F497" s="160"/>
    </row>
    <row r="498">
      <c r="F498" s="160"/>
    </row>
    <row r="499">
      <c r="F499" s="160"/>
    </row>
    <row r="500">
      <c r="F500" s="160"/>
    </row>
    <row r="501">
      <c r="F501" s="160"/>
    </row>
    <row r="502">
      <c r="F502" s="160"/>
    </row>
    <row r="503">
      <c r="F503" s="160"/>
    </row>
    <row r="504">
      <c r="F504" s="160"/>
    </row>
    <row r="505">
      <c r="F505" s="160"/>
    </row>
    <row r="506">
      <c r="F506" s="160"/>
    </row>
    <row r="507">
      <c r="F507" s="160"/>
    </row>
    <row r="508">
      <c r="F508" s="160"/>
    </row>
    <row r="509">
      <c r="F509" s="160"/>
    </row>
    <row r="510">
      <c r="F510" s="160"/>
    </row>
    <row r="511">
      <c r="F511" s="160"/>
    </row>
    <row r="512">
      <c r="F512" s="160"/>
    </row>
    <row r="513">
      <c r="F513" s="160"/>
    </row>
    <row r="514">
      <c r="F514" s="160"/>
    </row>
    <row r="515">
      <c r="F515" s="160"/>
    </row>
    <row r="516">
      <c r="F516" s="160"/>
    </row>
    <row r="517">
      <c r="F517" s="160"/>
    </row>
    <row r="518">
      <c r="F518" s="160"/>
    </row>
    <row r="519">
      <c r="F519" s="160"/>
    </row>
    <row r="520">
      <c r="F520" s="160"/>
    </row>
    <row r="521">
      <c r="F521" s="160"/>
    </row>
    <row r="522">
      <c r="F522" s="160"/>
    </row>
    <row r="523">
      <c r="F523" s="160"/>
    </row>
    <row r="524">
      <c r="F524" s="160"/>
    </row>
    <row r="525">
      <c r="F525" s="160"/>
    </row>
    <row r="526">
      <c r="F526" s="160"/>
    </row>
    <row r="527">
      <c r="F527" s="160"/>
    </row>
    <row r="528">
      <c r="F528" s="160"/>
    </row>
    <row r="529">
      <c r="F529" s="160"/>
    </row>
    <row r="530">
      <c r="F530" s="160"/>
    </row>
    <row r="531">
      <c r="F531" s="160"/>
    </row>
    <row r="532">
      <c r="F532" s="160"/>
    </row>
    <row r="533">
      <c r="F533" s="160"/>
    </row>
    <row r="534">
      <c r="F534" s="160"/>
    </row>
    <row r="535">
      <c r="F535" s="160"/>
    </row>
    <row r="536">
      <c r="F536" s="160"/>
    </row>
    <row r="537">
      <c r="F537" s="160"/>
    </row>
    <row r="538">
      <c r="F538" s="160"/>
    </row>
    <row r="539">
      <c r="F539" s="160"/>
    </row>
    <row r="540">
      <c r="F540" s="160"/>
    </row>
    <row r="541">
      <c r="F541" s="160"/>
    </row>
    <row r="542">
      <c r="F542" s="160"/>
    </row>
    <row r="543">
      <c r="F543" s="160"/>
    </row>
    <row r="544">
      <c r="F544" s="160"/>
    </row>
    <row r="545">
      <c r="F545" s="160"/>
    </row>
    <row r="546">
      <c r="F546" s="160"/>
    </row>
    <row r="547">
      <c r="F547" s="160"/>
    </row>
    <row r="548">
      <c r="F548" s="160"/>
    </row>
    <row r="549">
      <c r="F549" s="160"/>
    </row>
    <row r="550">
      <c r="F550" s="160"/>
    </row>
    <row r="551">
      <c r="F551" s="160"/>
    </row>
    <row r="552">
      <c r="F552" s="160"/>
    </row>
    <row r="553">
      <c r="F553" s="160"/>
    </row>
    <row r="554">
      <c r="F554" s="160"/>
    </row>
    <row r="555">
      <c r="F555" s="160"/>
    </row>
    <row r="556">
      <c r="F556" s="160"/>
    </row>
    <row r="557">
      <c r="F557" s="160"/>
    </row>
    <row r="558">
      <c r="F558" s="160"/>
    </row>
    <row r="559">
      <c r="F559" s="160"/>
    </row>
    <row r="560">
      <c r="F560" s="160"/>
    </row>
    <row r="561">
      <c r="F561" s="160"/>
    </row>
    <row r="562">
      <c r="F562" s="160"/>
    </row>
    <row r="563">
      <c r="F563" s="160"/>
    </row>
    <row r="564">
      <c r="F564" s="160"/>
    </row>
    <row r="565">
      <c r="F565" s="160"/>
    </row>
    <row r="566">
      <c r="F566" s="160"/>
    </row>
    <row r="567">
      <c r="F567" s="160"/>
    </row>
    <row r="568">
      <c r="F568" s="160"/>
    </row>
    <row r="569">
      <c r="F569" s="160"/>
    </row>
    <row r="570">
      <c r="F570" s="160"/>
    </row>
    <row r="571">
      <c r="F571" s="160"/>
    </row>
    <row r="572">
      <c r="F572" s="160"/>
    </row>
    <row r="573">
      <c r="F573" s="160"/>
    </row>
    <row r="574">
      <c r="F574" s="160"/>
    </row>
    <row r="575">
      <c r="F575" s="160"/>
    </row>
    <row r="576">
      <c r="F576" s="160"/>
    </row>
    <row r="577">
      <c r="F577" s="160"/>
    </row>
    <row r="578">
      <c r="F578" s="160"/>
    </row>
    <row r="579">
      <c r="F579" s="160"/>
    </row>
    <row r="580">
      <c r="F580" s="160"/>
    </row>
    <row r="581">
      <c r="F581" s="160"/>
    </row>
    <row r="582">
      <c r="F582" s="160"/>
    </row>
    <row r="583">
      <c r="F583" s="160"/>
    </row>
    <row r="584">
      <c r="F584" s="160"/>
    </row>
    <row r="585">
      <c r="F585" s="160"/>
    </row>
    <row r="586">
      <c r="F586" s="160"/>
    </row>
    <row r="587">
      <c r="F587" s="160"/>
    </row>
    <row r="588">
      <c r="F588" s="160"/>
    </row>
    <row r="589">
      <c r="F589" s="160"/>
    </row>
    <row r="590">
      <c r="F590" s="160"/>
    </row>
    <row r="591">
      <c r="F591" s="160"/>
    </row>
    <row r="592">
      <c r="F592" s="160"/>
    </row>
    <row r="593">
      <c r="F593" s="160"/>
    </row>
    <row r="594">
      <c r="F594" s="160"/>
    </row>
    <row r="595">
      <c r="F595" s="160"/>
    </row>
    <row r="596">
      <c r="F596" s="160"/>
    </row>
    <row r="597">
      <c r="F597" s="160"/>
    </row>
    <row r="598">
      <c r="F598" s="160"/>
    </row>
    <row r="599">
      <c r="F599" s="160"/>
    </row>
    <row r="600">
      <c r="F600" s="160"/>
    </row>
    <row r="601">
      <c r="F601" s="160"/>
    </row>
    <row r="602">
      <c r="F602" s="160"/>
    </row>
    <row r="603">
      <c r="F603" s="160"/>
    </row>
    <row r="604">
      <c r="F604" s="160"/>
    </row>
    <row r="605">
      <c r="F605" s="160"/>
    </row>
    <row r="606">
      <c r="F606" s="160"/>
    </row>
    <row r="607">
      <c r="F607" s="160"/>
    </row>
    <row r="608">
      <c r="F608" s="160"/>
    </row>
    <row r="609">
      <c r="F609" s="160"/>
    </row>
    <row r="610">
      <c r="F610" s="160"/>
    </row>
    <row r="611">
      <c r="F611" s="160"/>
    </row>
    <row r="612">
      <c r="F612" s="160"/>
    </row>
    <row r="613">
      <c r="F613" s="160"/>
    </row>
    <row r="614">
      <c r="F614" s="160"/>
    </row>
    <row r="615">
      <c r="F615" s="160"/>
    </row>
    <row r="616">
      <c r="F616" s="160"/>
    </row>
    <row r="617">
      <c r="F617" s="160"/>
    </row>
    <row r="618">
      <c r="F618" s="160"/>
    </row>
    <row r="619">
      <c r="F619" s="160"/>
    </row>
    <row r="620">
      <c r="F620" s="160"/>
    </row>
    <row r="621">
      <c r="F621" s="160"/>
    </row>
    <row r="622">
      <c r="F622" s="160"/>
    </row>
    <row r="623">
      <c r="F623" s="160"/>
    </row>
    <row r="624">
      <c r="F624" s="160"/>
    </row>
    <row r="625">
      <c r="F625" s="160"/>
    </row>
    <row r="626">
      <c r="F626" s="160"/>
    </row>
    <row r="627">
      <c r="F627" s="160"/>
    </row>
    <row r="628">
      <c r="F628" s="160"/>
    </row>
    <row r="629">
      <c r="F629" s="160"/>
    </row>
    <row r="630">
      <c r="F630" s="160"/>
    </row>
    <row r="631">
      <c r="F631" s="160"/>
    </row>
    <row r="632">
      <c r="F632" s="160"/>
    </row>
    <row r="633">
      <c r="F633" s="160"/>
    </row>
    <row r="634">
      <c r="F634" s="160"/>
    </row>
    <row r="635">
      <c r="F635" s="160"/>
    </row>
    <row r="636">
      <c r="F636" s="160"/>
    </row>
    <row r="637">
      <c r="F637" s="160"/>
    </row>
    <row r="638">
      <c r="F638" s="160"/>
    </row>
    <row r="639">
      <c r="F639" s="160"/>
    </row>
    <row r="640">
      <c r="F640" s="160"/>
    </row>
    <row r="641">
      <c r="F641" s="160"/>
    </row>
    <row r="642">
      <c r="F642" s="160"/>
    </row>
    <row r="643">
      <c r="F643" s="160"/>
    </row>
    <row r="644">
      <c r="F644" s="160"/>
    </row>
    <row r="645">
      <c r="F645" s="160"/>
    </row>
    <row r="646">
      <c r="F646" s="160"/>
    </row>
    <row r="647">
      <c r="F647" s="160"/>
    </row>
    <row r="648">
      <c r="F648" s="160"/>
    </row>
    <row r="649">
      <c r="F649" s="160"/>
    </row>
    <row r="650">
      <c r="F650" s="160"/>
    </row>
    <row r="651">
      <c r="F651" s="160"/>
    </row>
    <row r="652">
      <c r="F652" s="160"/>
    </row>
    <row r="653">
      <c r="F653" s="160"/>
    </row>
    <row r="654">
      <c r="F654" s="160"/>
    </row>
    <row r="655">
      <c r="F655" s="160"/>
    </row>
    <row r="656">
      <c r="F656" s="160"/>
    </row>
    <row r="657">
      <c r="F657" s="160"/>
    </row>
    <row r="658">
      <c r="F658" s="160"/>
    </row>
    <row r="659">
      <c r="F659" s="160"/>
    </row>
    <row r="660">
      <c r="F660" s="160"/>
    </row>
    <row r="661">
      <c r="F661" s="160"/>
    </row>
    <row r="662">
      <c r="F662" s="160"/>
    </row>
    <row r="663">
      <c r="F663" s="160"/>
    </row>
    <row r="664">
      <c r="F664" s="160"/>
    </row>
    <row r="665">
      <c r="F665" s="160"/>
    </row>
    <row r="666">
      <c r="F666" s="160"/>
    </row>
    <row r="667">
      <c r="F667" s="160"/>
    </row>
    <row r="668">
      <c r="F668" s="160"/>
    </row>
    <row r="669">
      <c r="F669" s="160"/>
    </row>
    <row r="670">
      <c r="F670" s="160"/>
    </row>
    <row r="671">
      <c r="F671" s="160"/>
    </row>
    <row r="672">
      <c r="F672" s="160"/>
    </row>
    <row r="673">
      <c r="F673" s="160"/>
    </row>
    <row r="674">
      <c r="F674" s="160"/>
    </row>
    <row r="675">
      <c r="F675" s="160"/>
    </row>
    <row r="676">
      <c r="F676" s="160"/>
    </row>
    <row r="677">
      <c r="F677" s="160"/>
    </row>
    <row r="678">
      <c r="F678" s="160"/>
    </row>
    <row r="679">
      <c r="F679" s="160"/>
    </row>
    <row r="680">
      <c r="F680" s="160"/>
    </row>
    <row r="681">
      <c r="F681" s="160"/>
    </row>
    <row r="682">
      <c r="F682" s="160"/>
    </row>
    <row r="683">
      <c r="F683" s="160"/>
    </row>
    <row r="684">
      <c r="F684" s="160"/>
    </row>
    <row r="685">
      <c r="F685" s="160"/>
    </row>
    <row r="686">
      <c r="F686" s="160"/>
    </row>
    <row r="687">
      <c r="F687" s="160"/>
    </row>
    <row r="688">
      <c r="F688" s="160"/>
    </row>
    <row r="689">
      <c r="F689" s="160"/>
    </row>
    <row r="690">
      <c r="F690" s="160"/>
    </row>
    <row r="691">
      <c r="F691" s="160"/>
    </row>
    <row r="692">
      <c r="F692" s="160"/>
    </row>
    <row r="693">
      <c r="F693" s="160"/>
    </row>
    <row r="694">
      <c r="F694" s="160"/>
    </row>
    <row r="695">
      <c r="F695" s="160"/>
    </row>
    <row r="696">
      <c r="F696" s="160"/>
    </row>
    <row r="697">
      <c r="F697" s="160"/>
    </row>
    <row r="698">
      <c r="F698" s="160"/>
    </row>
    <row r="699">
      <c r="F699" s="160"/>
    </row>
    <row r="700">
      <c r="F700" s="160"/>
    </row>
    <row r="701">
      <c r="F701" s="160"/>
    </row>
    <row r="702">
      <c r="F702" s="160"/>
    </row>
    <row r="703">
      <c r="F703" s="160"/>
    </row>
    <row r="704">
      <c r="F704" s="160"/>
    </row>
    <row r="705">
      <c r="F705" s="160"/>
    </row>
    <row r="706">
      <c r="F706" s="160"/>
    </row>
    <row r="707">
      <c r="F707" s="160"/>
    </row>
    <row r="708">
      <c r="F708" s="160"/>
    </row>
    <row r="709">
      <c r="F709" s="160"/>
    </row>
    <row r="710">
      <c r="F710" s="160"/>
    </row>
    <row r="711">
      <c r="F711" s="160"/>
    </row>
    <row r="712">
      <c r="F712" s="160"/>
    </row>
    <row r="713">
      <c r="F713" s="160"/>
    </row>
    <row r="714">
      <c r="F714" s="160"/>
    </row>
    <row r="715">
      <c r="F715" s="160"/>
    </row>
    <row r="716">
      <c r="F716" s="160"/>
    </row>
    <row r="717">
      <c r="F717" s="160"/>
    </row>
    <row r="718">
      <c r="F718" s="160"/>
    </row>
    <row r="719">
      <c r="F719" s="160"/>
    </row>
    <row r="720">
      <c r="F720" s="160"/>
    </row>
    <row r="721">
      <c r="F721" s="160"/>
    </row>
    <row r="722">
      <c r="F722" s="160"/>
    </row>
    <row r="723">
      <c r="F723" s="160"/>
    </row>
    <row r="724">
      <c r="F724" s="160"/>
    </row>
    <row r="725">
      <c r="F725" s="160"/>
    </row>
    <row r="726">
      <c r="F726" s="160"/>
    </row>
    <row r="727">
      <c r="F727" s="160"/>
    </row>
    <row r="728">
      <c r="F728" s="160"/>
    </row>
    <row r="729">
      <c r="F729" s="160"/>
    </row>
    <row r="730">
      <c r="F730" s="160"/>
    </row>
    <row r="731">
      <c r="F731" s="160"/>
    </row>
    <row r="732">
      <c r="F732" s="160"/>
    </row>
    <row r="733">
      <c r="F733" s="160"/>
    </row>
    <row r="734">
      <c r="F734" s="160"/>
    </row>
    <row r="735">
      <c r="F735" s="160"/>
    </row>
    <row r="736">
      <c r="F736" s="160"/>
    </row>
    <row r="737">
      <c r="F737" s="160"/>
    </row>
    <row r="738">
      <c r="F738" s="160"/>
    </row>
    <row r="739">
      <c r="F739" s="160"/>
    </row>
    <row r="740">
      <c r="F740" s="160"/>
    </row>
    <row r="741">
      <c r="F741" s="160"/>
    </row>
    <row r="742">
      <c r="F742" s="160"/>
    </row>
    <row r="743">
      <c r="F743" s="160"/>
    </row>
    <row r="744">
      <c r="F744" s="160"/>
    </row>
    <row r="745">
      <c r="F745" s="160"/>
    </row>
    <row r="746">
      <c r="F746" s="160"/>
    </row>
    <row r="747">
      <c r="F747" s="160"/>
    </row>
    <row r="748">
      <c r="F748" s="160"/>
    </row>
    <row r="749">
      <c r="F749" s="160"/>
    </row>
    <row r="750">
      <c r="F750" s="160"/>
    </row>
    <row r="751">
      <c r="F751" s="160"/>
    </row>
    <row r="752">
      <c r="F752" s="160"/>
    </row>
    <row r="753">
      <c r="F753" s="160"/>
    </row>
    <row r="754">
      <c r="F754" s="160"/>
    </row>
    <row r="755">
      <c r="F755" s="160"/>
    </row>
    <row r="756">
      <c r="F756" s="160"/>
    </row>
    <row r="757">
      <c r="F757" s="160"/>
    </row>
    <row r="758">
      <c r="F758" s="160"/>
    </row>
    <row r="759">
      <c r="F759" s="160"/>
    </row>
    <row r="760">
      <c r="F760" s="160"/>
    </row>
    <row r="761">
      <c r="F761" s="160"/>
    </row>
    <row r="762">
      <c r="F762" s="160"/>
    </row>
    <row r="763">
      <c r="F763" s="160"/>
    </row>
    <row r="764">
      <c r="F764" s="160"/>
    </row>
    <row r="765">
      <c r="F765" s="160"/>
    </row>
    <row r="766">
      <c r="F766" s="160"/>
    </row>
    <row r="767">
      <c r="F767" s="160"/>
    </row>
    <row r="768">
      <c r="F768" s="160"/>
    </row>
    <row r="769">
      <c r="F769" s="160"/>
    </row>
    <row r="770">
      <c r="F770" s="160"/>
    </row>
    <row r="771">
      <c r="F771" s="160"/>
    </row>
    <row r="772">
      <c r="F772" s="160"/>
    </row>
    <row r="773">
      <c r="F773" s="160"/>
    </row>
    <row r="774">
      <c r="F774" s="160"/>
    </row>
    <row r="775">
      <c r="F775" s="160"/>
    </row>
    <row r="776">
      <c r="F776" s="160"/>
    </row>
    <row r="777">
      <c r="F777" s="160"/>
    </row>
    <row r="778">
      <c r="F778" s="160"/>
    </row>
    <row r="779">
      <c r="F779" s="160"/>
    </row>
    <row r="780">
      <c r="F780" s="160"/>
    </row>
    <row r="781">
      <c r="F781" s="160"/>
    </row>
    <row r="782">
      <c r="F782" s="160"/>
    </row>
    <row r="783">
      <c r="F783" s="160"/>
    </row>
    <row r="784">
      <c r="F784" s="160"/>
    </row>
    <row r="785">
      <c r="F785" s="160"/>
    </row>
    <row r="786">
      <c r="F786" s="160"/>
    </row>
    <row r="787">
      <c r="F787" s="160"/>
    </row>
    <row r="788">
      <c r="F788" s="160"/>
    </row>
    <row r="789">
      <c r="F789" s="160"/>
    </row>
    <row r="790">
      <c r="F790" s="160"/>
    </row>
    <row r="791">
      <c r="F791" s="160"/>
    </row>
    <row r="792">
      <c r="F792" s="160"/>
    </row>
    <row r="793">
      <c r="F793" s="160"/>
    </row>
    <row r="794">
      <c r="F794" s="160"/>
    </row>
    <row r="795">
      <c r="F795" s="160"/>
    </row>
    <row r="796">
      <c r="F796" s="160"/>
    </row>
    <row r="797">
      <c r="F797" s="160"/>
    </row>
    <row r="798">
      <c r="F798" s="160"/>
    </row>
    <row r="799">
      <c r="F799" s="160"/>
    </row>
    <row r="800">
      <c r="F800" s="160"/>
    </row>
    <row r="801">
      <c r="F801" s="160"/>
    </row>
    <row r="802">
      <c r="F802" s="160"/>
    </row>
    <row r="803">
      <c r="F803" s="160"/>
    </row>
    <row r="804">
      <c r="F804" s="160"/>
    </row>
    <row r="805">
      <c r="F805" s="160"/>
    </row>
    <row r="806">
      <c r="F806" s="160"/>
    </row>
    <row r="807">
      <c r="F807" s="160"/>
    </row>
    <row r="808">
      <c r="F808" s="160"/>
    </row>
    <row r="809">
      <c r="F809" s="160"/>
    </row>
    <row r="810">
      <c r="F810" s="160"/>
    </row>
    <row r="811">
      <c r="F811" s="160"/>
    </row>
    <row r="812">
      <c r="F812" s="160"/>
    </row>
    <row r="813">
      <c r="F813" s="160"/>
    </row>
    <row r="814">
      <c r="F814" s="160"/>
    </row>
    <row r="815">
      <c r="F815" s="160"/>
    </row>
    <row r="816">
      <c r="F816" s="160"/>
    </row>
    <row r="817">
      <c r="F817" s="160"/>
    </row>
    <row r="818">
      <c r="F818" s="160"/>
    </row>
    <row r="819">
      <c r="F819" s="160"/>
    </row>
    <row r="820">
      <c r="F820" s="160"/>
    </row>
    <row r="821">
      <c r="F821" s="160"/>
    </row>
    <row r="822">
      <c r="F822" s="160"/>
    </row>
    <row r="823">
      <c r="F823" s="160"/>
    </row>
    <row r="824">
      <c r="F824" s="160"/>
    </row>
    <row r="825">
      <c r="F825" s="160"/>
    </row>
    <row r="826">
      <c r="F826" s="160"/>
    </row>
    <row r="827">
      <c r="F827" s="160"/>
    </row>
    <row r="828">
      <c r="F828" s="160"/>
    </row>
    <row r="829">
      <c r="F829" s="160"/>
    </row>
    <row r="830">
      <c r="F830" s="160"/>
    </row>
    <row r="831">
      <c r="F831" s="160"/>
    </row>
    <row r="832">
      <c r="F832" s="160"/>
    </row>
    <row r="833">
      <c r="F833" s="160"/>
    </row>
    <row r="834">
      <c r="F834" s="160"/>
    </row>
    <row r="835">
      <c r="F835" s="160"/>
    </row>
    <row r="836">
      <c r="F836" s="160"/>
    </row>
    <row r="837">
      <c r="F837" s="160"/>
    </row>
    <row r="838">
      <c r="F838" s="160"/>
    </row>
    <row r="839">
      <c r="F839" s="160"/>
    </row>
    <row r="840">
      <c r="F840" s="160"/>
    </row>
    <row r="841">
      <c r="F841" s="160"/>
    </row>
    <row r="842">
      <c r="F842" s="160"/>
    </row>
    <row r="843">
      <c r="F843" s="160"/>
    </row>
    <row r="844">
      <c r="F844" s="160"/>
    </row>
    <row r="845">
      <c r="F845" s="160"/>
    </row>
    <row r="846">
      <c r="F846" s="160"/>
    </row>
    <row r="847">
      <c r="F847" s="160"/>
    </row>
    <row r="848">
      <c r="F848" s="160"/>
    </row>
    <row r="849">
      <c r="F849" s="160"/>
    </row>
    <row r="850">
      <c r="F850" s="160"/>
    </row>
    <row r="851">
      <c r="F851" s="160"/>
    </row>
    <row r="852">
      <c r="F852" s="160"/>
    </row>
    <row r="853">
      <c r="F853" s="160"/>
    </row>
    <row r="854">
      <c r="F854" s="160"/>
    </row>
    <row r="855">
      <c r="F855" s="160"/>
    </row>
    <row r="856">
      <c r="F856" s="160"/>
    </row>
    <row r="857">
      <c r="F857" s="160"/>
    </row>
    <row r="858">
      <c r="F858" s="160"/>
    </row>
    <row r="859">
      <c r="F859" s="160"/>
    </row>
    <row r="860">
      <c r="F860" s="160"/>
    </row>
    <row r="861">
      <c r="F861" s="160"/>
    </row>
    <row r="862">
      <c r="F862" s="160"/>
    </row>
    <row r="863">
      <c r="F863" s="160"/>
    </row>
    <row r="864">
      <c r="F864" s="160"/>
    </row>
    <row r="865">
      <c r="F865" s="160"/>
    </row>
    <row r="866">
      <c r="F866" s="160"/>
    </row>
    <row r="867">
      <c r="F867" s="160"/>
    </row>
    <row r="868">
      <c r="F868" s="160"/>
    </row>
    <row r="869">
      <c r="F869" s="160"/>
    </row>
    <row r="870">
      <c r="F870" s="160"/>
    </row>
    <row r="871">
      <c r="F871" s="160"/>
    </row>
    <row r="872">
      <c r="F872" s="160"/>
    </row>
    <row r="873">
      <c r="F873" s="160"/>
    </row>
    <row r="874">
      <c r="F874" s="160"/>
    </row>
    <row r="875">
      <c r="F875" s="160"/>
    </row>
    <row r="876">
      <c r="F876" s="160"/>
    </row>
    <row r="877">
      <c r="F877" s="160"/>
    </row>
    <row r="878">
      <c r="F878" s="160"/>
    </row>
    <row r="879">
      <c r="F879" s="160"/>
    </row>
    <row r="880">
      <c r="F880" s="160"/>
    </row>
    <row r="881">
      <c r="F881" s="160"/>
    </row>
    <row r="882">
      <c r="F882" s="160"/>
    </row>
    <row r="883">
      <c r="F883" s="160"/>
    </row>
    <row r="884">
      <c r="F884" s="160"/>
    </row>
    <row r="885">
      <c r="F885" s="160"/>
    </row>
    <row r="886">
      <c r="F886" s="160"/>
    </row>
    <row r="887">
      <c r="F887" s="160"/>
    </row>
    <row r="888">
      <c r="F888" s="160"/>
    </row>
    <row r="889">
      <c r="F889" s="160"/>
    </row>
    <row r="890">
      <c r="F890" s="160"/>
    </row>
    <row r="891">
      <c r="F891" s="160"/>
    </row>
    <row r="892">
      <c r="F892" s="160"/>
    </row>
    <row r="893">
      <c r="F893" s="160"/>
    </row>
    <row r="894">
      <c r="F894" s="160"/>
    </row>
    <row r="895">
      <c r="F895" s="160"/>
    </row>
    <row r="896">
      <c r="F896" s="160"/>
    </row>
    <row r="897">
      <c r="F897" s="160"/>
    </row>
    <row r="898">
      <c r="F898" s="160"/>
    </row>
    <row r="899">
      <c r="F899" s="160"/>
    </row>
    <row r="900">
      <c r="F900" s="160"/>
    </row>
    <row r="901">
      <c r="F901" s="160"/>
    </row>
    <row r="902">
      <c r="F902" s="160"/>
    </row>
    <row r="903">
      <c r="F903" s="160"/>
    </row>
    <row r="904">
      <c r="F904" s="160"/>
    </row>
    <row r="905">
      <c r="F905" s="160"/>
    </row>
    <row r="906">
      <c r="F906" s="160"/>
    </row>
    <row r="907">
      <c r="F907" s="160"/>
    </row>
    <row r="908">
      <c r="F908" s="160"/>
    </row>
    <row r="909">
      <c r="F909" s="160"/>
    </row>
    <row r="910">
      <c r="F910" s="160"/>
    </row>
    <row r="911">
      <c r="F911" s="160"/>
    </row>
    <row r="912">
      <c r="F912" s="160"/>
    </row>
    <row r="913">
      <c r="F913" s="160"/>
    </row>
    <row r="914">
      <c r="F914" s="160"/>
    </row>
    <row r="915">
      <c r="F915" s="160"/>
    </row>
    <row r="916">
      <c r="F916" s="160"/>
    </row>
    <row r="917">
      <c r="F917" s="160"/>
    </row>
    <row r="918">
      <c r="F918" s="160"/>
    </row>
    <row r="919">
      <c r="F919" s="160"/>
    </row>
    <row r="920">
      <c r="F920" s="160"/>
    </row>
    <row r="921">
      <c r="F921" s="160"/>
    </row>
    <row r="922">
      <c r="F922" s="160"/>
    </row>
    <row r="923">
      <c r="F923" s="160"/>
    </row>
    <row r="924">
      <c r="F924" s="160"/>
    </row>
    <row r="925">
      <c r="F925" s="160"/>
    </row>
    <row r="926">
      <c r="F926" s="160"/>
    </row>
    <row r="927">
      <c r="F927" s="160"/>
    </row>
    <row r="928">
      <c r="F928" s="160"/>
    </row>
    <row r="929">
      <c r="F929" s="160"/>
    </row>
    <row r="930">
      <c r="F930" s="160"/>
    </row>
    <row r="931">
      <c r="F931" s="160"/>
    </row>
    <row r="932">
      <c r="F932" s="160"/>
    </row>
    <row r="933">
      <c r="F933" s="160"/>
    </row>
    <row r="934">
      <c r="F934" s="160"/>
    </row>
    <row r="935">
      <c r="F935" s="160"/>
    </row>
    <row r="936">
      <c r="F936" s="160"/>
    </row>
    <row r="937">
      <c r="F937" s="160"/>
    </row>
    <row r="938">
      <c r="F938" s="160"/>
    </row>
    <row r="939">
      <c r="F939" s="160"/>
    </row>
    <row r="940">
      <c r="F940" s="160"/>
    </row>
    <row r="941">
      <c r="F941" s="160"/>
    </row>
    <row r="942">
      <c r="F942" s="160"/>
    </row>
    <row r="943">
      <c r="F943" s="160"/>
    </row>
    <row r="944">
      <c r="F944" s="160"/>
    </row>
    <row r="945">
      <c r="F945" s="160"/>
    </row>
    <row r="946">
      <c r="F946" s="160"/>
    </row>
    <row r="947">
      <c r="F947" s="160"/>
    </row>
    <row r="948">
      <c r="F948" s="160"/>
    </row>
    <row r="949">
      <c r="F949" s="160"/>
    </row>
    <row r="950">
      <c r="F950" s="160"/>
    </row>
    <row r="951">
      <c r="F951" s="160"/>
    </row>
    <row r="952">
      <c r="F952" s="160"/>
    </row>
    <row r="953">
      <c r="F953" s="160"/>
    </row>
    <row r="954">
      <c r="F954" s="160"/>
    </row>
    <row r="955">
      <c r="F955" s="160"/>
    </row>
    <row r="956">
      <c r="F956" s="160"/>
    </row>
    <row r="957">
      <c r="F957" s="160"/>
    </row>
    <row r="958">
      <c r="F958" s="160"/>
    </row>
    <row r="959">
      <c r="F959" s="160"/>
    </row>
    <row r="960">
      <c r="F960" s="160"/>
    </row>
    <row r="961">
      <c r="F961" s="160"/>
    </row>
    <row r="962">
      <c r="F962" s="160"/>
    </row>
    <row r="963">
      <c r="F963" s="160"/>
    </row>
    <row r="964">
      <c r="F964" s="160"/>
    </row>
    <row r="965">
      <c r="F965" s="160"/>
    </row>
    <row r="966">
      <c r="F966" s="160"/>
    </row>
    <row r="967">
      <c r="F967" s="160"/>
    </row>
    <row r="968">
      <c r="F968" s="160"/>
    </row>
    <row r="969">
      <c r="F969" s="160"/>
    </row>
    <row r="970">
      <c r="F970" s="160"/>
    </row>
    <row r="971">
      <c r="F971" s="160"/>
    </row>
    <row r="972">
      <c r="F972" s="160"/>
    </row>
    <row r="973">
      <c r="F973" s="160"/>
    </row>
    <row r="974">
      <c r="F974" s="160"/>
    </row>
    <row r="975">
      <c r="F975" s="160"/>
    </row>
    <row r="976">
      <c r="F976" s="160"/>
    </row>
    <row r="977">
      <c r="F977" s="160"/>
    </row>
    <row r="978">
      <c r="F978" s="160"/>
    </row>
    <row r="979">
      <c r="F979" s="160"/>
    </row>
    <row r="980">
      <c r="F980" s="160"/>
    </row>
    <row r="981">
      <c r="F981" s="160"/>
    </row>
    <row r="982">
      <c r="F982" s="160"/>
    </row>
    <row r="983">
      <c r="F983" s="160"/>
    </row>
    <row r="984">
      <c r="F984" s="160"/>
    </row>
    <row r="985">
      <c r="F985" s="160"/>
    </row>
    <row r="986">
      <c r="F986" s="160"/>
    </row>
    <row r="987">
      <c r="F987" s="160"/>
    </row>
    <row r="988">
      <c r="F988" s="160"/>
    </row>
    <row r="989">
      <c r="F989" s="160"/>
    </row>
    <row r="990">
      <c r="F990" s="160"/>
    </row>
    <row r="991">
      <c r="F991" s="160"/>
    </row>
    <row r="992">
      <c r="F992" s="160"/>
    </row>
    <row r="993">
      <c r="F993" s="160"/>
    </row>
    <row r="994">
      <c r="F994" s="160"/>
    </row>
    <row r="995">
      <c r="F995" s="160"/>
    </row>
    <row r="996">
      <c r="F996" s="160"/>
    </row>
    <row r="997">
      <c r="F997" s="160"/>
    </row>
    <row r="998">
      <c r="F998" s="160"/>
    </row>
    <row r="999">
      <c r="F999" s="160"/>
    </row>
    <row r="1000">
      <c r="F1000" s="160"/>
    </row>
  </sheetData>
  <conditionalFormatting sqref="B2:C21">
    <cfRule type="containsText" dxfId="7" priority="1" operator="containsText" text="Dynamic">
      <formula>NOT(ISERROR(SEARCH(("Dynamic"),(B2))))</formula>
    </cfRule>
  </conditionalFormatting>
  <conditionalFormatting sqref="B2:C21">
    <cfRule type="containsText" dxfId="12" priority="2" operator="containsText" text="Static">
      <formula>NOT(ISERROR(SEARCH(("Static"),(B2))))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75"/>
    <col customWidth="1" min="5" max="5" width="19.0"/>
    <col customWidth="1" min="6" max="6" width="21.38"/>
    <col customWidth="1" min="7" max="7" width="20.75"/>
    <col customWidth="1" min="8" max="8" width="20.5"/>
    <col customWidth="1" min="9" max="9" width="13.0"/>
    <col customWidth="1" min="10" max="10" width="13.38"/>
    <col customWidth="1" min="20" max="20" width="18.0"/>
    <col customWidth="1" min="21" max="21" width="16.88"/>
    <col customWidth="1" min="22" max="22" width="14.0"/>
    <col customWidth="1" min="23" max="23" width="17.63"/>
    <col customWidth="1" min="24" max="24" width="18.0"/>
    <col customWidth="1" min="25" max="25" width="14.13"/>
  </cols>
  <sheetData>
    <row r="1">
      <c r="A1" s="259"/>
      <c r="B1" s="258"/>
      <c r="C1" s="435" t="s">
        <v>642</v>
      </c>
      <c r="D1" s="436"/>
      <c r="E1" s="436"/>
      <c r="F1" s="436"/>
      <c r="G1" s="436"/>
      <c r="H1" s="436"/>
      <c r="I1" s="436"/>
      <c r="J1" s="436"/>
      <c r="K1" s="437"/>
      <c r="L1" s="438" t="s">
        <v>643</v>
      </c>
      <c r="M1" s="436"/>
      <c r="N1" s="436"/>
      <c r="O1" s="436"/>
      <c r="P1" s="436"/>
      <c r="Q1" s="436"/>
      <c r="R1" s="436"/>
      <c r="S1" s="437"/>
      <c r="T1" s="438" t="s">
        <v>644</v>
      </c>
      <c r="U1" s="436"/>
      <c r="V1" s="436"/>
      <c r="W1" s="436"/>
      <c r="X1" s="436"/>
      <c r="Y1" s="437"/>
      <c r="Z1" s="439"/>
    </row>
    <row r="2">
      <c r="A2" s="427" t="s">
        <v>2</v>
      </c>
      <c r="B2" s="407" t="s">
        <v>487</v>
      </c>
      <c r="C2" s="440" t="s">
        <v>3</v>
      </c>
      <c r="D2" s="441" t="s">
        <v>103</v>
      </c>
      <c r="E2" s="441" t="s">
        <v>104</v>
      </c>
      <c r="F2" s="441" t="s">
        <v>105</v>
      </c>
      <c r="G2" s="441" t="s">
        <v>106</v>
      </c>
      <c r="H2" s="441" t="s">
        <v>107</v>
      </c>
      <c r="I2" s="441" t="s">
        <v>108</v>
      </c>
      <c r="J2" s="441" t="s">
        <v>109</v>
      </c>
      <c r="K2" s="442" t="s">
        <v>645</v>
      </c>
      <c r="L2" s="443" t="s">
        <v>646</v>
      </c>
      <c r="M2" s="407" t="s">
        <v>647</v>
      </c>
      <c r="N2" s="407" t="s">
        <v>648</v>
      </c>
      <c r="O2" s="407" t="s">
        <v>649</v>
      </c>
      <c r="P2" s="407" t="s">
        <v>650</v>
      </c>
      <c r="Q2" s="407" t="s">
        <v>651</v>
      </c>
      <c r="R2" s="407" t="s">
        <v>652</v>
      </c>
      <c r="S2" s="407" t="s">
        <v>653</v>
      </c>
      <c r="T2" s="443" t="s">
        <v>654</v>
      </c>
      <c r="U2" s="407" t="s">
        <v>655</v>
      </c>
      <c r="V2" s="407" t="s">
        <v>505</v>
      </c>
      <c r="W2" s="407" t="s">
        <v>656</v>
      </c>
      <c r="X2" s="407" t="s">
        <v>657</v>
      </c>
      <c r="Y2" s="442" t="s">
        <v>508</v>
      </c>
      <c r="Z2" s="444"/>
    </row>
    <row r="3">
      <c r="A3" s="240">
        <v>1.0</v>
      </c>
      <c r="B3" s="239" t="s">
        <v>510</v>
      </c>
      <c r="C3" s="445">
        <v>23.0</v>
      </c>
      <c r="D3" s="446">
        <v>1.0</v>
      </c>
      <c r="E3" s="447">
        <v>1.0</v>
      </c>
      <c r="F3" s="448">
        <v>0.0</v>
      </c>
      <c r="G3" s="448">
        <v>1.0</v>
      </c>
      <c r="H3" s="448">
        <v>0.0</v>
      </c>
      <c r="I3" s="448">
        <v>0.0</v>
      </c>
      <c r="J3" s="448">
        <v>0.0</v>
      </c>
      <c r="K3" s="449">
        <v>4.0</v>
      </c>
      <c r="L3" s="450">
        <v>5.0</v>
      </c>
      <c r="M3" s="451">
        <v>3.0</v>
      </c>
      <c r="N3" s="451">
        <v>38.89</v>
      </c>
      <c r="O3" s="451">
        <v>41.67</v>
      </c>
      <c r="P3" s="451">
        <v>72.5</v>
      </c>
      <c r="Q3" s="451">
        <v>65.0</v>
      </c>
      <c r="R3" s="451">
        <v>-0.38</v>
      </c>
      <c r="S3" s="451">
        <v>-0.25</v>
      </c>
      <c r="T3" s="452">
        <v>10.0</v>
      </c>
      <c r="U3" s="453">
        <v>10.0</v>
      </c>
      <c r="V3" s="453">
        <v>10.0</v>
      </c>
      <c r="W3" s="423">
        <v>9.0</v>
      </c>
      <c r="X3" s="423">
        <v>10.0</v>
      </c>
      <c r="Y3" s="454">
        <v>9.3</v>
      </c>
    </row>
    <row r="4">
      <c r="A4" s="240">
        <v>2.0</v>
      </c>
      <c r="B4" s="239" t="s">
        <v>517</v>
      </c>
      <c r="C4" s="445">
        <v>24.0</v>
      </c>
      <c r="D4" s="446">
        <v>2.0</v>
      </c>
      <c r="E4" s="447">
        <v>1.0</v>
      </c>
      <c r="F4" s="448">
        <v>0.0</v>
      </c>
      <c r="G4" s="448">
        <v>0.0</v>
      </c>
      <c r="H4" s="448">
        <v>0.0</v>
      </c>
      <c r="I4" s="448">
        <v>1.0</v>
      </c>
      <c r="J4" s="448">
        <v>0.0</v>
      </c>
      <c r="K4" s="449">
        <v>4.75</v>
      </c>
      <c r="L4" s="450">
        <v>5.0</v>
      </c>
      <c r="M4" s="451">
        <v>3.0</v>
      </c>
      <c r="N4" s="451">
        <v>41.67</v>
      </c>
      <c r="O4" s="451">
        <v>66.67</v>
      </c>
      <c r="P4" s="451">
        <v>90.0</v>
      </c>
      <c r="Q4" s="451">
        <v>52.5</v>
      </c>
      <c r="R4" s="451">
        <v>1.5</v>
      </c>
      <c r="S4" s="451">
        <v>1.25</v>
      </c>
      <c r="T4" s="452">
        <v>8.0</v>
      </c>
      <c r="U4" s="453">
        <v>6.0</v>
      </c>
      <c r="V4" s="453">
        <v>7.4</v>
      </c>
      <c r="W4" s="423">
        <v>6.0</v>
      </c>
      <c r="X4" s="423">
        <v>3.0</v>
      </c>
      <c r="Y4" s="454">
        <v>5.1</v>
      </c>
    </row>
    <row r="5">
      <c r="A5" s="240">
        <v>4.0</v>
      </c>
      <c r="B5" s="239" t="s">
        <v>524</v>
      </c>
      <c r="C5" s="445">
        <v>24.0</v>
      </c>
      <c r="D5" s="446">
        <v>2.0</v>
      </c>
      <c r="E5" s="447">
        <v>1.0</v>
      </c>
      <c r="F5" s="448">
        <v>0.0</v>
      </c>
      <c r="G5" s="448">
        <v>0.0</v>
      </c>
      <c r="H5" s="448">
        <v>0.0</v>
      </c>
      <c r="I5" s="448">
        <v>1.0</v>
      </c>
      <c r="J5" s="448">
        <v>0.0</v>
      </c>
      <c r="K5" s="449">
        <v>3.25</v>
      </c>
      <c r="L5" s="450">
        <v>3.0</v>
      </c>
      <c r="M5" s="451">
        <v>6.0</v>
      </c>
      <c r="N5" s="451">
        <v>58.33</v>
      </c>
      <c r="O5" s="451">
        <v>41.67</v>
      </c>
      <c r="P5" s="451">
        <v>75.0</v>
      </c>
      <c r="Q5" s="451">
        <v>80.0</v>
      </c>
      <c r="R5" s="451">
        <v>0.5</v>
      </c>
      <c r="S5" s="451">
        <v>-0.25</v>
      </c>
      <c r="T5" s="452">
        <v>10.0</v>
      </c>
      <c r="U5" s="453">
        <v>8.0</v>
      </c>
      <c r="V5" s="453">
        <v>9.4</v>
      </c>
      <c r="W5" s="423">
        <v>9.0</v>
      </c>
      <c r="X5" s="423">
        <v>6.0</v>
      </c>
      <c r="Y5" s="454">
        <v>8.1</v>
      </c>
    </row>
    <row r="6">
      <c r="A6" s="240">
        <v>5.0</v>
      </c>
      <c r="B6" s="239" t="s">
        <v>510</v>
      </c>
      <c r="C6" s="445">
        <v>27.0</v>
      </c>
      <c r="D6" s="446">
        <v>1.0</v>
      </c>
      <c r="E6" s="447">
        <v>1.0</v>
      </c>
      <c r="F6" s="448">
        <v>0.0</v>
      </c>
      <c r="G6" s="448">
        <v>0.0</v>
      </c>
      <c r="H6" s="448">
        <v>0.0</v>
      </c>
      <c r="I6" s="448">
        <v>1.0</v>
      </c>
      <c r="J6" s="448">
        <v>0.0</v>
      </c>
      <c r="K6" s="449">
        <v>4.75</v>
      </c>
      <c r="L6" s="450">
        <v>5.0</v>
      </c>
      <c r="M6" s="451">
        <v>3.0</v>
      </c>
      <c r="N6" s="451">
        <v>38.89</v>
      </c>
      <c r="O6" s="451">
        <v>52.78</v>
      </c>
      <c r="P6" s="451">
        <v>75.0</v>
      </c>
      <c r="Q6" s="451">
        <v>70.0</v>
      </c>
      <c r="R6" s="451">
        <v>-0.25</v>
      </c>
      <c r="S6" s="451">
        <v>0.38</v>
      </c>
      <c r="T6" s="452">
        <v>7.0</v>
      </c>
      <c r="U6" s="453">
        <v>5.0</v>
      </c>
      <c r="V6" s="453">
        <v>6.4</v>
      </c>
      <c r="W6" s="423">
        <v>9.0</v>
      </c>
      <c r="X6" s="423">
        <v>6.0</v>
      </c>
      <c r="Y6" s="454">
        <v>8.1</v>
      </c>
    </row>
    <row r="7">
      <c r="A7" s="240">
        <v>6.0</v>
      </c>
      <c r="B7" s="239" t="s">
        <v>517</v>
      </c>
      <c r="C7" s="445">
        <v>22.0</v>
      </c>
      <c r="D7" s="446">
        <v>2.0</v>
      </c>
      <c r="E7" s="447">
        <v>1.0</v>
      </c>
      <c r="F7" s="448">
        <v>0.0</v>
      </c>
      <c r="G7" s="448">
        <v>0.0</v>
      </c>
      <c r="H7" s="448">
        <v>1.0</v>
      </c>
      <c r="I7" s="448">
        <v>0.0</v>
      </c>
      <c r="J7" s="448">
        <v>0.0</v>
      </c>
      <c r="K7" s="449">
        <v>4.0</v>
      </c>
      <c r="L7" s="450">
        <v>6.0</v>
      </c>
      <c r="M7" s="451">
        <v>5.0</v>
      </c>
      <c r="N7" s="451">
        <v>25.0</v>
      </c>
      <c r="O7" s="451">
        <v>30.56</v>
      </c>
      <c r="P7" s="451">
        <v>97.5</v>
      </c>
      <c r="Q7" s="451">
        <v>95.0</v>
      </c>
      <c r="R7" s="451">
        <v>2.63</v>
      </c>
      <c r="S7" s="451">
        <v>2.63</v>
      </c>
      <c r="T7" s="452">
        <v>10.0</v>
      </c>
      <c r="U7" s="453">
        <v>10.0</v>
      </c>
      <c r="V7" s="453">
        <v>10.0</v>
      </c>
      <c r="W7" s="423">
        <v>10.0</v>
      </c>
      <c r="X7" s="423">
        <v>10.0</v>
      </c>
      <c r="Y7" s="454">
        <v>10.0</v>
      </c>
    </row>
    <row r="8">
      <c r="A8" s="240">
        <v>7.0</v>
      </c>
      <c r="B8" s="239" t="s">
        <v>537</v>
      </c>
      <c r="C8" s="445">
        <v>23.0</v>
      </c>
      <c r="D8" s="446">
        <v>1.0</v>
      </c>
      <c r="E8" s="447">
        <v>1.0</v>
      </c>
      <c r="F8" s="448">
        <v>0.0</v>
      </c>
      <c r="G8" s="448">
        <v>0.0</v>
      </c>
      <c r="H8" s="448">
        <v>0.0</v>
      </c>
      <c r="I8" s="448">
        <v>1.0</v>
      </c>
      <c r="J8" s="448">
        <v>0.0</v>
      </c>
      <c r="K8" s="449">
        <v>4.25</v>
      </c>
      <c r="L8" s="450">
        <v>3.0</v>
      </c>
      <c r="M8" s="451">
        <v>3.0</v>
      </c>
      <c r="N8" s="451">
        <v>41.67</v>
      </c>
      <c r="O8" s="451">
        <v>58.33</v>
      </c>
      <c r="P8" s="451">
        <v>72.5</v>
      </c>
      <c r="Q8" s="451">
        <v>47.5</v>
      </c>
      <c r="R8" s="451">
        <v>1.38</v>
      </c>
      <c r="S8" s="451">
        <v>0.0</v>
      </c>
      <c r="T8" s="452">
        <v>9.0</v>
      </c>
      <c r="U8" s="453">
        <v>10.0</v>
      </c>
      <c r="V8" s="453">
        <v>9.3</v>
      </c>
      <c r="W8" s="423">
        <v>6.0</v>
      </c>
      <c r="X8" s="423">
        <v>6.0</v>
      </c>
      <c r="Y8" s="454">
        <v>6.0</v>
      </c>
    </row>
    <row r="9">
      <c r="A9" s="240">
        <v>8.0</v>
      </c>
      <c r="B9" s="239" t="s">
        <v>524</v>
      </c>
      <c r="C9" s="445">
        <v>31.0</v>
      </c>
      <c r="D9" s="446">
        <v>2.0</v>
      </c>
      <c r="E9" s="447">
        <v>1.0</v>
      </c>
      <c r="F9" s="448">
        <v>0.0</v>
      </c>
      <c r="G9" s="448">
        <v>0.0</v>
      </c>
      <c r="H9" s="448">
        <v>0.0</v>
      </c>
      <c r="I9" s="448">
        <v>1.0</v>
      </c>
      <c r="J9" s="448">
        <v>0.0</v>
      </c>
      <c r="K9" s="449">
        <v>4.0</v>
      </c>
      <c r="L9" s="450">
        <v>5.0</v>
      </c>
      <c r="M9" s="451">
        <v>7.0</v>
      </c>
      <c r="N9" s="451">
        <v>36.11</v>
      </c>
      <c r="O9" s="451">
        <v>16.67</v>
      </c>
      <c r="P9" s="451">
        <v>97.5</v>
      </c>
      <c r="Q9" s="451">
        <v>100.0</v>
      </c>
      <c r="R9" s="451">
        <v>1.25</v>
      </c>
      <c r="S9" s="451">
        <v>1.88</v>
      </c>
      <c r="T9" s="452">
        <v>9.0</v>
      </c>
      <c r="U9" s="453">
        <v>10.0</v>
      </c>
      <c r="V9" s="453">
        <v>9.3</v>
      </c>
      <c r="W9" s="423">
        <v>9.0</v>
      </c>
      <c r="X9" s="423">
        <v>10.0</v>
      </c>
      <c r="Y9" s="454">
        <v>9.3</v>
      </c>
    </row>
    <row r="10">
      <c r="A10" s="240">
        <v>9.0</v>
      </c>
      <c r="B10" s="239" t="s">
        <v>510</v>
      </c>
      <c r="C10" s="445">
        <v>31.0</v>
      </c>
      <c r="D10" s="446">
        <v>1.0</v>
      </c>
      <c r="E10" s="447">
        <v>1.0</v>
      </c>
      <c r="F10" s="448">
        <v>0.0</v>
      </c>
      <c r="G10" s="448">
        <v>0.0</v>
      </c>
      <c r="H10" s="448">
        <v>1.0</v>
      </c>
      <c r="I10" s="448">
        <v>0.0</v>
      </c>
      <c r="J10" s="448">
        <v>0.0</v>
      </c>
      <c r="K10" s="449">
        <v>4.5</v>
      </c>
      <c r="L10" s="450">
        <v>6.0</v>
      </c>
      <c r="M10" s="451">
        <v>4.0</v>
      </c>
      <c r="N10" s="451">
        <v>27.78</v>
      </c>
      <c r="O10" s="451">
        <v>47.22</v>
      </c>
      <c r="P10" s="451">
        <v>90.0</v>
      </c>
      <c r="Q10" s="451">
        <v>75.0</v>
      </c>
      <c r="R10" s="451">
        <v>0.38</v>
      </c>
      <c r="S10" s="451">
        <v>-1.25</v>
      </c>
      <c r="T10" s="452">
        <v>9.0</v>
      </c>
      <c r="U10" s="453">
        <v>10.0</v>
      </c>
      <c r="V10" s="453">
        <v>9.3</v>
      </c>
      <c r="W10" s="423">
        <v>10.0</v>
      </c>
      <c r="X10" s="423">
        <v>10.0</v>
      </c>
      <c r="Y10" s="454">
        <v>10.0</v>
      </c>
    </row>
    <row r="11">
      <c r="A11" s="240">
        <v>10.0</v>
      </c>
      <c r="B11" s="239" t="s">
        <v>517</v>
      </c>
      <c r="C11" s="445">
        <v>31.0</v>
      </c>
      <c r="D11" s="446">
        <v>2.0</v>
      </c>
      <c r="E11" s="447">
        <v>1.0</v>
      </c>
      <c r="F11" s="448">
        <v>1.0</v>
      </c>
      <c r="G11" s="448">
        <v>0.0</v>
      </c>
      <c r="H11" s="448">
        <v>0.0</v>
      </c>
      <c r="I11" s="448">
        <v>0.0</v>
      </c>
      <c r="J11" s="448">
        <v>0.0</v>
      </c>
      <c r="K11" s="449">
        <v>4.0</v>
      </c>
      <c r="L11" s="450">
        <v>6.0</v>
      </c>
      <c r="M11" s="451">
        <v>6.0</v>
      </c>
      <c r="N11" s="451">
        <v>19.44</v>
      </c>
      <c r="O11" s="451">
        <v>11.11</v>
      </c>
      <c r="P11" s="451">
        <v>82.5</v>
      </c>
      <c r="Q11" s="451">
        <v>90.0</v>
      </c>
      <c r="R11" s="451">
        <v>0.88</v>
      </c>
      <c r="S11" s="451">
        <v>0.5</v>
      </c>
      <c r="T11" s="452">
        <v>9.0</v>
      </c>
      <c r="U11" s="453">
        <v>10.0</v>
      </c>
      <c r="V11" s="453">
        <v>9.3</v>
      </c>
      <c r="W11" s="423">
        <v>9.0</v>
      </c>
      <c r="X11" s="423">
        <v>6.0</v>
      </c>
      <c r="Y11" s="454">
        <v>8.1</v>
      </c>
    </row>
    <row r="12">
      <c r="A12" s="240">
        <v>11.0</v>
      </c>
      <c r="B12" s="239" t="s">
        <v>537</v>
      </c>
      <c r="C12" s="445">
        <v>24.0</v>
      </c>
      <c r="D12" s="446">
        <v>2.0</v>
      </c>
      <c r="E12" s="447">
        <v>1.0</v>
      </c>
      <c r="F12" s="448">
        <v>0.0</v>
      </c>
      <c r="G12" s="448">
        <v>1.0</v>
      </c>
      <c r="H12" s="448">
        <v>0.0</v>
      </c>
      <c r="I12" s="448">
        <v>0.0</v>
      </c>
      <c r="J12" s="448">
        <v>0.0</v>
      </c>
      <c r="K12" s="449">
        <v>4.0</v>
      </c>
      <c r="L12" s="450">
        <v>6.0</v>
      </c>
      <c r="M12" s="451">
        <v>5.0</v>
      </c>
      <c r="N12" s="451">
        <v>38.89</v>
      </c>
      <c r="O12" s="451">
        <v>19.44</v>
      </c>
      <c r="P12" s="451">
        <v>97.5</v>
      </c>
      <c r="Q12" s="451">
        <v>92.5</v>
      </c>
      <c r="R12" s="451">
        <v>0.63</v>
      </c>
      <c r="S12" s="451">
        <v>-0.25</v>
      </c>
      <c r="T12" s="452">
        <v>8.0</v>
      </c>
      <c r="U12" s="453">
        <v>3.0</v>
      </c>
      <c r="V12" s="453">
        <v>6.5</v>
      </c>
      <c r="W12" s="423">
        <v>8.0</v>
      </c>
      <c r="X12" s="423">
        <v>10.0</v>
      </c>
      <c r="Y12" s="454">
        <v>8.6</v>
      </c>
    </row>
    <row r="13">
      <c r="A13" s="455">
        <v>12.0</v>
      </c>
      <c r="B13" s="418" t="s">
        <v>524</v>
      </c>
      <c r="C13" s="445">
        <v>42.0</v>
      </c>
      <c r="D13" s="446">
        <v>1.0</v>
      </c>
      <c r="E13" s="447">
        <v>1.0</v>
      </c>
      <c r="F13" s="448">
        <v>0.0</v>
      </c>
      <c r="G13" s="448">
        <v>0.0</v>
      </c>
      <c r="H13" s="448">
        <v>1.0</v>
      </c>
      <c r="I13" s="448">
        <v>0.0</v>
      </c>
      <c r="J13" s="448">
        <v>0.0</v>
      </c>
      <c r="K13" s="449">
        <v>3.5</v>
      </c>
      <c r="L13" s="450">
        <v>6.0</v>
      </c>
      <c r="M13" s="451">
        <v>5.0</v>
      </c>
      <c r="N13" s="451">
        <v>25.0</v>
      </c>
      <c r="O13" s="451">
        <v>22.22</v>
      </c>
      <c r="P13" s="451">
        <v>90.0</v>
      </c>
      <c r="Q13" s="451">
        <v>90.0</v>
      </c>
      <c r="R13" s="451">
        <v>1.25</v>
      </c>
      <c r="S13" s="451">
        <v>1.25</v>
      </c>
      <c r="T13" s="452">
        <v>10.0</v>
      </c>
      <c r="U13" s="453">
        <v>10.0</v>
      </c>
      <c r="V13" s="453">
        <v>10.0</v>
      </c>
      <c r="W13" s="423">
        <v>10.0</v>
      </c>
      <c r="X13" s="423">
        <v>10.0</v>
      </c>
      <c r="Y13" s="454">
        <v>10.0</v>
      </c>
    </row>
    <row r="14">
      <c r="A14" s="240">
        <v>13.0</v>
      </c>
      <c r="B14" s="239" t="s">
        <v>510</v>
      </c>
      <c r="C14" s="445">
        <v>26.0</v>
      </c>
      <c r="D14" s="446">
        <v>1.0</v>
      </c>
      <c r="E14" s="447">
        <v>1.0</v>
      </c>
      <c r="F14" s="448">
        <v>0.0</v>
      </c>
      <c r="G14" s="448">
        <v>1.0</v>
      </c>
      <c r="H14" s="448">
        <v>0.0</v>
      </c>
      <c r="I14" s="448">
        <v>0.0</v>
      </c>
      <c r="J14" s="448">
        <v>0.0</v>
      </c>
      <c r="K14" s="449">
        <v>4.25</v>
      </c>
      <c r="L14" s="450">
        <v>6.0</v>
      </c>
      <c r="M14" s="451">
        <v>4.0</v>
      </c>
      <c r="N14" s="451">
        <v>30.56</v>
      </c>
      <c r="O14" s="451">
        <v>38.89</v>
      </c>
      <c r="P14" s="451">
        <v>95.0</v>
      </c>
      <c r="Q14" s="451">
        <v>95.0</v>
      </c>
      <c r="R14" s="451">
        <v>2.25</v>
      </c>
      <c r="S14" s="451">
        <v>2.25</v>
      </c>
      <c r="T14" s="452">
        <v>10.0</v>
      </c>
      <c r="U14" s="453">
        <v>10.0</v>
      </c>
      <c r="V14" s="453">
        <v>10.0</v>
      </c>
      <c r="W14" s="423">
        <v>10.0</v>
      </c>
      <c r="X14" s="423">
        <v>10.0</v>
      </c>
      <c r="Y14" s="454">
        <v>10.0</v>
      </c>
    </row>
    <row r="15">
      <c r="A15" s="240">
        <v>14.0</v>
      </c>
      <c r="B15" s="239" t="s">
        <v>517</v>
      </c>
      <c r="C15" s="445">
        <v>25.0</v>
      </c>
      <c r="D15" s="446">
        <v>1.0</v>
      </c>
      <c r="E15" s="447">
        <v>2.0</v>
      </c>
      <c r="F15" s="448">
        <v>0.0</v>
      </c>
      <c r="G15" s="448">
        <v>0.0</v>
      </c>
      <c r="H15" s="448">
        <v>1.0</v>
      </c>
      <c r="I15" s="448">
        <v>0.0</v>
      </c>
      <c r="J15" s="448">
        <v>0.0</v>
      </c>
      <c r="K15" s="449">
        <v>4.0</v>
      </c>
      <c r="L15" s="450">
        <v>4.0</v>
      </c>
      <c r="M15" s="451">
        <v>4.0</v>
      </c>
      <c r="N15" s="451">
        <v>44.44</v>
      </c>
      <c r="O15" s="451">
        <v>52.78</v>
      </c>
      <c r="P15" s="451">
        <v>35.0</v>
      </c>
      <c r="Q15" s="451">
        <v>57.5</v>
      </c>
      <c r="R15" s="451">
        <v>0.38</v>
      </c>
      <c r="S15" s="451">
        <v>1.0</v>
      </c>
      <c r="T15" s="452">
        <v>6.0</v>
      </c>
      <c r="U15" s="453">
        <v>5.0</v>
      </c>
      <c r="V15" s="453">
        <v>5.7</v>
      </c>
      <c r="W15" s="423">
        <v>8.0</v>
      </c>
      <c r="X15" s="423">
        <v>5.0</v>
      </c>
      <c r="Y15" s="454">
        <v>7.1</v>
      </c>
    </row>
    <row r="16">
      <c r="A16" s="240">
        <v>15.0</v>
      </c>
      <c r="B16" s="239" t="s">
        <v>537</v>
      </c>
      <c r="C16" s="445">
        <v>25.0</v>
      </c>
      <c r="D16" s="446">
        <v>1.0</v>
      </c>
      <c r="E16" s="447">
        <v>1.0</v>
      </c>
      <c r="F16" s="448">
        <v>0.0</v>
      </c>
      <c r="G16" s="448">
        <v>0.0</v>
      </c>
      <c r="H16" s="448">
        <v>0.0</v>
      </c>
      <c r="I16" s="448">
        <v>1.0</v>
      </c>
      <c r="J16" s="448">
        <v>0.0</v>
      </c>
      <c r="K16" s="449">
        <v>4.75</v>
      </c>
      <c r="L16" s="450">
        <v>6.0</v>
      </c>
      <c r="M16" s="451">
        <v>7.0</v>
      </c>
      <c r="N16" s="451">
        <v>25.0</v>
      </c>
      <c r="O16" s="451">
        <v>22.22</v>
      </c>
      <c r="P16" s="451">
        <v>97.5</v>
      </c>
      <c r="Q16" s="451">
        <v>95.0</v>
      </c>
      <c r="R16" s="451">
        <v>1.88</v>
      </c>
      <c r="S16" s="451">
        <v>1.63</v>
      </c>
      <c r="T16" s="452">
        <v>9.0</v>
      </c>
      <c r="U16" s="453">
        <v>10.0</v>
      </c>
      <c r="V16" s="453">
        <v>9.3</v>
      </c>
      <c r="W16" s="423">
        <v>8.0</v>
      </c>
      <c r="X16" s="423">
        <v>6.0</v>
      </c>
      <c r="Y16" s="454">
        <v>7.4</v>
      </c>
    </row>
    <row r="17">
      <c r="A17" s="240">
        <v>16.0</v>
      </c>
      <c r="B17" s="239" t="s">
        <v>524</v>
      </c>
      <c r="C17" s="445">
        <v>23.0</v>
      </c>
      <c r="D17" s="446">
        <v>1.0</v>
      </c>
      <c r="E17" s="447">
        <v>1.0</v>
      </c>
      <c r="F17" s="448">
        <v>0.0</v>
      </c>
      <c r="G17" s="448">
        <v>0.0</v>
      </c>
      <c r="H17" s="448">
        <v>0.0</v>
      </c>
      <c r="I17" s="448">
        <v>1.0</v>
      </c>
      <c r="J17" s="448">
        <v>0.0</v>
      </c>
      <c r="K17" s="449">
        <v>3.5</v>
      </c>
      <c r="L17" s="450">
        <v>5.0</v>
      </c>
      <c r="M17" s="451">
        <v>6.0</v>
      </c>
      <c r="N17" s="451">
        <v>22.22</v>
      </c>
      <c r="O17" s="451">
        <v>25.0</v>
      </c>
      <c r="P17" s="451">
        <v>80.0</v>
      </c>
      <c r="Q17" s="451">
        <v>87.5</v>
      </c>
      <c r="R17" s="451">
        <v>0.63</v>
      </c>
      <c r="S17" s="451">
        <v>0.75</v>
      </c>
      <c r="T17" s="452">
        <v>8.0</v>
      </c>
      <c r="U17" s="453">
        <v>6.0</v>
      </c>
      <c r="V17" s="453">
        <v>7.4</v>
      </c>
      <c r="W17" s="423">
        <v>9.0</v>
      </c>
      <c r="X17" s="423">
        <v>6.0</v>
      </c>
      <c r="Y17" s="454">
        <v>8.1</v>
      </c>
    </row>
    <row r="18">
      <c r="A18" s="240">
        <v>17.0</v>
      </c>
      <c r="B18" s="239" t="s">
        <v>510</v>
      </c>
      <c r="C18" s="445">
        <v>35.0</v>
      </c>
      <c r="D18" s="446">
        <v>1.0</v>
      </c>
      <c r="E18" s="447">
        <v>3.0</v>
      </c>
      <c r="F18" s="448">
        <v>0.0</v>
      </c>
      <c r="G18" s="448">
        <v>1.0</v>
      </c>
      <c r="H18" s="448">
        <v>1.0</v>
      </c>
      <c r="I18" s="448">
        <v>0.0</v>
      </c>
      <c r="J18" s="448">
        <v>0.0</v>
      </c>
      <c r="K18" s="449">
        <v>4.75</v>
      </c>
      <c r="L18" s="450">
        <v>6.0</v>
      </c>
      <c r="M18" s="451">
        <v>5.0</v>
      </c>
      <c r="N18" s="451">
        <v>36.11</v>
      </c>
      <c r="O18" s="451">
        <v>50.0</v>
      </c>
      <c r="P18" s="451">
        <v>82.5</v>
      </c>
      <c r="Q18" s="451">
        <v>65.0</v>
      </c>
      <c r="R18" s="451">
        <v>0.63</v>
      </c>
      <c r="S18" s="451">
        <v>-0.38</v>
      </c>
      <c r="T18" s="452">
        <v>9.0</v>
      </c>
      <c r="U18" s="453">
        <v>10.0</v>
      </c>
      <c r="V18" s="453">
        <v>9.3</v>
      </c>
      <c r="W18" s="423">
        <v>10.0</v>
      </c>
      <c r="X18" s="423">
        <v>10.0</v>
      </c>
      <c r="Y18" s="454">
        <v>10.0</v>
      </c>
    </row>
    <row r="19">
      <c r="A19" s="240">
        <v>18.0</v>
      </c>
      <c r="B19" s="239" t="s">
        <v>517</v>
      </c>
      <c r="C19" s="445">
        <v>24.0</v>
      </c>
      <c r="D19" s="446">
        <v>2.0</v>
      </c>
      <c r="E19" s="447">
        <v>2.0</v>
      </c>
      <c r="F19" s="448">
        <v>0.0</v>
      </c>
      <c r="G19" s="448">
        <v>0.0</v>
      </c>
      <c r="H19" s="448">
        <v>0.0</v>
      </c>
      <c r="I19" s="448">
        <v>1.0</v>
      </c>
      <c r="J19" s="448">
        <v>0.0</v>
      </c>
      <c r="K19" s="449">
        <v>3.5</v>
      </c>
      <c r="L19" s="450">
        <v>4.0</v>
      </c>
      <c r="M19" s="451">
        <v>5.0</v>
      </c>
      <c r="N19" s="451">
        <v>41.67</v>
      </c>
      <c r="O19" s="451">
        <v>38.89</v>
      </c>
      <c r="P19" s="451">
        <v>72.5</v>
      </c>
      <c r="Q19" s="451">
        <v>60.0</v>
      </c>
      <c r="R19" s="451">
        <v>1.0</v>
      </c>
      <c r="S19" s="451">
        <v>1.25</v>
      </c>
      <c r="T19" s="452">
        <v>7.0</v>
      </c>
      <c r="U19" s="453">
        <v>6.0</v>
      </c>
      <c r="V19" s="453">
        <v>6.7</v>
      </c>
      <c r="W19" s="423">
        <v>9.0</v>
      </c>
      <c r="X19" s="423">
        <v>6.0</v>
      </c>
      <c r="Y19" s="454">
        <v>8.1</v>
      </c>
    </row>
    <row r="20">
      <c r="A20" s="240">
        <v>19.0</v>
      </c>
      <c r="B20" s="239" t="s">
        <v>537</v>
      </c>
      <c r="C20" s="445">
        <v>26.0</v>
      </c>
      <c r="D20" s="446">
        <v>2.0</v>
      </c>
      <c r="E20" s="447">
        <v>1.0</v>
      </c>
      <c r="F20" s="448">
        <v>0.0</v>
      </c>
      <c r="G20" s="448">
        <v>1.0</v>
      </c>
      <c r="H20" s="448">
        <v>0.0</v>
      </c>
      <c r="I20" s="448">
        <v>0.0</v>
      </c>
      <c r="J20" s="448">
        <v>0.0</v>
      </c>
      <c r="K20" s="449">
        <v>3.75</v>
      </c>
      <c r="L20" s="450">
        <v>5.0</v>
      </c>
      <c r="M20" s="451">
        <v>7.0</v>
      </c>
      <c r="N20" s="451">
        <v>50.0</v>
      </c>
      <c r="O20" s="451">
        <v>36.11</v>
      </c>
      <c r="P20" s="451">
        <v>67.5</v>
      </c>
      <c r="Q20" s="451">
        <v>77.5</v>
      </c>
      <c r="R20" s="451">
        <v>1.63</v>
      </c>
      <c r="S20" s="451">
        <v>2.13</v>
      </c>
      <c r="T20" s="452">
        <v>9.0</v>
      </c>
      <c r="U20" s="453">
        <v>10.0</v>
      </c>
      <c r="V20" s="453">
        <v>9.3</v>
      </c>
      <c r="W20" s="423">
        <v>9.0</v>
      </c>
      <c r="X20" s="423">
        <v>6.0</v>
      </c>
      <c r="Y20" s="454">
        <v>8.1</v>
      </c>
    </row>
    <row r="21">
      <c r="A21" s="240">
        <v>20.0</v>
      </c>
      <c r="B21" s="239" t="s">
        <v>524</v>
      </c>
      <c r="C21" s="445">
        <v>34.0</v>
      </c>
      <c r="D21" s="446">
        <v>1.0</v>
      </c>
      <c r="E21" s="447">
        <v>2.0</v>
      </c>
      <c r="F21" s="448">
        <v>0.0</v>
      </c>
      <c r="G21" s="448">
        <v>0.0</v>
      </c>
      <c r="H21" s="448">
        <v>0.0</v>
      </c>
      <c r="I21" s="448">
        <v>1.0</v>
      </c>
      <c r="J21" s="448">
        <v>0.0</v>
      </c>
      <c r="K21" s="449">
        <v>4.25</v>
      </c>
      <c r="L21" s="450">
        <v>6.0</v>
      </c>
      <c r="M21" s="451">
        <v>7.0</v>
      </c>
      <c r="N21" s="451">
        <v>50.0</v>
      </c>
      <c r="O21" s="451">
        <v>38.89</v>
      </c>
      <c r="P21" s="451">
        <v>77.5</v>
      </c>
      <c r="Q21" s="451">
        <v>87.5</v>
      </c>
      <c r="R21" s="451">
        <v>1.0</v>
      </c>
      <c r="S21" s="451">
        <v>1.63</v>
      </c>
      <c r="T21" s="452">
        <v>9.0</v>
      </c>
      <c r="U21" s="453">
        <v>6.0</v>
      </c>
      <c r="V21" s="453">
        <v>8.1</v>
      </c>
      <c r="W21" s="423">
        <v>9.0</v>
      </c>
      <c r="X21" s="423">
        <v>6.0</v>
      </c>
      <c r="Y21" s="454">
        <v>8.1</v>
      </c>
    </row>
    <row r="22">
      <c r="A22" s="456">
        <v>21.0</v>
      </c>
      <c r="B22" s="457" t="s">
        <v>537</v>
      </c>
      <c r="C22" s="458">
        <v>29.0</v>
      </c>
      <c r="D22" s="459">
        <v>2.0</v>
      </c>
      <c r="E22" s="460">
        <v>1.0</v>
      </c>
      <c r="F22" s="461">
        <v>0.0</v>
      </c>
      <c r="G22" s="461">
        <v>1.0</v>
      </c>
      <c r="H22" s="461">
        <v>0.0</v>
      </c>
      <c r="I22" s="461">
        <v>0.0</v>
      </c>
      <c r="J22" s="461">
        <v>0.0</v>
      </c>
      <c r="K22" s="462">
        <v>3.0</v>
      </c>
      <c r="L22" s="463">
        <v>6.0</v>
      </c>
      <c r="M22" s="463">
        <v>2.0</v>
      </c>
      <c r="N22" s="463">
        <v>41.67</v>
      </c>
      <c r="O22" s="463">
        <v>52.78</v>
      </c>
      <c r="P22" s="463">
        <v>92.5</v>
      </c>
      <c r="Q22" s="463">
        <v>37.5</v>
      </c>
      <c r="R22" s="463">
        <v>1.25</v>
      </c>
      <c r="S22" s="463">
        <v>-1.0</v>
      </c>
      <c r="T22" s="464">
        <v>9.0</v>
      </c>
      <c r="U22" s="464">
        <v>10.0</v>
      </c>
      <c r="V22" s="464">
        <v>9.3</v>
      </c>
      <c r="W22" s="465">
        <v>10.0</v>
      </c>
      <c r="X22" s="465">
        <v>10.0</v>
      </c>
      <c r="Y22" s="465">
        <v>10.0</v>
      </c>
      <c r="Z22" s="177"/>
    </row>
    <row r="23">
      <c r="A23" s="240">
        <v>22.0</v>
      </c>
      <c r="B23" s="239" t="s">
        <v>574</v>
      </c>
      <c r="C23" s="466">
        <v>31.0</v>
      </c>
      <c r="D23" s="467">
        <v>1.0</v>
      </c>
      <c r="E23" s="468">
        <v>1.0</v>
      </c>
      <c r="F23" s="448">
        <v>1.0</v>
      </c>
      <c r="G23" s="448">
        <v>1.0</v>
      </c>
      <c r="H23" s="448">
        <v>0.0</v>
      </c>
      <c r="I23" s="448">
        <v>0.0</v>
      </c>
      <c r="J23" s="448">
        <v>0.0</v>
      </c>
      <c r="K23" s="449">
        <v>4.25</v>
      </c>
      <c r="L23" s="450">
        <v>6.0</v>
      </c>
      <c r="M23" s="451">
        <v>5.0</v>
      </c>
      <c r="N23" s="451">
        <v>36.11</v>
      </c>
      <c r="O23" s="451">
        <v>36.11</v>
      </c>
      <c r="P23" s="451">
        <v>75.0</v>
      </c>
      <c r="Q23" s="451">
        <v>82.5</v>
      </c>
      <c r="R23" s="451">
        <v>1.0</v>
      </c>
      <c r="S23" s="451">
        <v>1.38</v>
      </c>
      <c r="T23" s="452">
        <v>9.0</v>
      </c>
      <c r="U23" s="453">
        <v>10.0</v>
      </c>
      <c r="V23" s="453">
        <v>9.3</v>
      </c>
      <c r="W23" s="423">
        <v>8.0</v>
      </c>
      <c r="X23" s="423">
        <v>6.0</v>
      </c>
      <c r="Y23" s="454">
        <v>7.4</v>
      </c>
    </row>
    <row r="24">
      <c r="A24" s="240">
        <v>23.0</v>
      </c>
      <c r="B24" s="239" t="s">
        <v>576</v>
      </c>
      <c r="C24" s="466">
        <v>26.0</v>
      </c>
      <c r="D24" s="467">
        <v>1.0</v>
      </c>
      <c r="E24" s="468">
        <v>2.0</v>
      </c>
      <c r="F24" s="448">
        <v>0.0</v>
      </c>
      <c r="G24" s="448">
        <v>0.0</v>
      </c>
      <c r="H24" s="448">
        <v>0.0</v>
      </c>
      <c r="I24" s="448">
        <v>1.0</v>
      </c>
      <c r="J24" s="448">
        <v>0.0</v>
      </c>
      <c r="K24" s="449">
        <v>3.5</v>
      </c>
      <c r="L24" s="450">
        <v>5.0</v>
      </c>
      <c r="M24" s="451">
        <v>6.0</v>
      </c>
      <c r="N24" s="451">
        <v>50.0</v>
      </c>
      <c r="O24" s="451">
        <v>44.44</v>
      </c>
      <c r="P24" s="451">
        <v>77.5</v>
      </c>
      <c r="Q24" s="451">
        <v>85.0</v>
      </c>
      <c r="R24" s="451">
        <v>1.25</v>
      </c>
      <c r="S24" s="451">
        <v>1.13</v>
      </c>
      <c r="T24" s="452">
        <v>9.0</v>
      </c>
      <c r="U24" s="453">
        <v>10.0</v>
      </c>
      <c r="V24" s="453">
        <v>9.3</v>
      </c>
      <c r="W24" s="423">
        <v>8.0</v>
      </c>
      <c r="X24" s="423">
        <v>10.0</v>
      </c>
      <c r="Y24" s="454">
        <v>8.6</v>
      </c>
    </row>
    <row r="25">
      <c r="A25" s="240">
        <v>24.0</v>
      </c>
      <c r="B25" s="239" t="s">
        <v>574</v>
      </c>
      <c r="C25" s="466">
        <v>27.0</v>
      </c>
      <c r="D25" s="467">
        <v>1.0</v>
      </c>
      <c r="E25" s="468">
        <v>1.0</v>
      </c>
      <c r="F25" s="448">
        <v>0.0</v>
      </c>
      <c r="G25" s="448">
        <v>0.0</v>
      </c>
      <c r="H25" s="448">
        <v>0.0</v>
      </c>
      <c r="I25" s="448">
        <v>1.0</v>
      </c>
      <c r="J25" s="448">
        <v>0.0</v>
      </c>
      <c r="K25" s="449">
        <v>4.0</v>
      </c>
      <c r="L25" s="450">
        <v>5.0</v>
      </c>
      <c r="M25" s="451">
        <v>5.0</v>
      </c>
      <c r="N25" s="451">
        <v>41.67</v>
      </c>
      <c r="O25" s="451">
        <v>58.33</v>
      </c>
      <c r="P25" s="451">
        <v>75.0</v>
      </c>
      <c r="Q25" s="451">
        <v>62.5</v>
      </c>
      <c r="R25" s="451">
        <v>1.88</v>
      </c>
      <c r="S25" s="451">
        <v>1.63</v>
      </c>
      <c r="T25" s="452">
        <v>10.0</v>
      </c>
      <c r="U25" s="453">
        <v>10.0</v>
      </c>
      <c r="V25" s="453">
        <v>10.0</v>
      </c>
      <c r="W25" s="423">
        <v>6.0</v>
      </c>
      <c r="X25" s="423">
        <v>6.0</v>
      </c>
      <c r="Y25" s="454">
        <v>6.0</v>
      </c>
    </row>
    <row r="26">
      <c r="A26" s="240">
        <v>25.0</v>
      </c>
      <c r="B26" s="239" t="s">
        <v>576</v>
      </c>
      <c r="C26" s="466">
        <v>27.0</v>
      </c>
      <c r="D26" s="467">
        <v>2.0</v>
      </c>
      <c r="E26" s="468">
        <v>3.0</v>
      </c>
      <c r="F26" s="448">
        <v>0.0</v>
      </c>
      <c r="G26" s="448">
        <v>1.0</v>
      </c>
      <c r="H26" s="448">
        <v>1.0</v>
      </c>
      <c r="I26" s="448">
        <v>0.0</v>
      </c>
      <c r="J26" s="448">
        <v>0.0</v>
      </c>
      <c r="K26" s="449">
        <v>4.25</v>
      </c>
      <c r="L26" s="450">
        <v>6.0</v>
      </c>
      <c r="M26" s="451">
        <v>7.0</v>
      </c>
      <c r="N26" s="451">
        <v>25.0</v>
      </c>
      <c r="O26" s="451">
        <v>22.22</v>
      </c>
      <c r="P26" s="451">
        <v>92.5</v>
      </c>
      <c r="Q26" s="451">
        <v>85.0</v>
      </c>
      <c r="R26" s="451">
        <v>0.88</v>
      </c>
      <c r="S26" s="451">
        <v>0.88</v>
      </c>
      <c r="T26" s="452">
        <v>9.0</v>
      </c>
      <c r="U26" s="453">
        <v>10.0</v>
      </c>
      <c r="V26" s="453">
        <v>9.3</v>
      </c>
      <c r="W26" s="423">
        <v>9.0</v>
      </c>
      <c r="X26" s="423">
        <v>10.0</v>
      </c>
      <c r="Y26" s="454">
        <v>9.3</v>
      </c>
    </row>
    <row r="27">
      <c r="A27" s="240">
        <v>26.0</v>
      </c>
      <c r="B27" s="239" t="s">
        <v>574</v>
      </c>
      <c r="C27" s="466">
        <v>27.0</v>
      </c>
      <c r="D27" s="467">
        <v>1.0</v>
      </c>
      <c r="E27" s="468">
        <v>1.0</v>
      </c>
      <c r="F27" s="448">
        <v>0.0</v>
      </c>
      <c r="G27" s="448">
        <v>0.0</v>
      </c>
      <c r="H27" s="448">
        <v>1.0</v>
      </c>
      <c r="I27" s="448">
        <v>0.0</v>
      </c>
      <c r="J27" s="448">
        <v>1.0</v>
      </c>
      <c r="K27" s="449">
        <v>4.75</v>
      </c>
      <c r="L27" s="450">
        <v>5.0</v>
      </c>
      <c r="M27" s="451">
        <v>5.0</v>
      </c>
      <c r="N27" s="451">
        <v>58.33</v>
      </c>
      <c r="O27" s="451">
        <v>41.67</v>
      </c>
      <c r="P27" s="451">
        <v>67.5</v>
      </c>
      <c r="Q27" s="451">
        <v>80.0</v>
      </c>
      <c r="R27" s="451">
        <v>1.5</v>
      </c>
      <c r="S27" s="451">
        <v>1.13</v>
      </c>
      <c r="T27" s="452">
        <v>9.0</v>
      </c>
      <c r="U27" s="453">
        <v>10.0</v>
      </c>
      <c r="V27" s="453">
        <v>9.3</v>
      </c>
      <c r="W27" s="423">
        <v>10.0</v>
      </c>
      <c r="X27" s="423">
        <v>10.0</v>
      </c>
      <c r="Y27" s="454">
        <v>10.0</v>
      </c>
    </row>
    <row r="28">
      <c r="A28" s="240">
        <v>27.0</v>
      </c>
      <c r="B28" s="239" t="s">
        <v>576</v>
      </c>
      <c r="C28" s="466">
        <v>25.0</v>
      </c>
      <c r="D28" s="467">
        <v>2.0</v>
      </c>
      <c r="E28" s="468">
        <v>1.0</v>
      </c>
      <c r="F28" s="448">
        <v>0.0</v>
      </c>
      <c r="G28" s="448">
        <v>0.0</v>
      </c>
      <c r="H28" s="448">
        <v>0.0</v>
      </c>
      <c r="I28" s="448">
        <v>1.0</v>
      </c>
      <c r="J28" s="448">
        <v>0.0</v>
      </c>
      <c r="K28" s="449">
        <v>5.0</v>
      </c>
      <c r="L28" s="450">
        <v>5.0</v>
      </c>
      <c r="M28" s="451">
        <v>4.0</v>
      </c>
      <c r="N28" s="451">
        <v>36.11</v>
      </c>
      <c r="O28" s="451">
        <v>52.78</v>
      </c>
      <c r="P28" s="451">
        <v>80.0</v>
      </c>
      <c r="Q28" s="451">
        <v>67.5</v>
      </c>
      <c r="R28" s="451">
        <v>2.88</v>
      </c>
      <c r="S28" s="451">
        <v>2.63</v>
      </c>
      <c r="T28" s="452">
        <v>9.0</v>
      </c>
      <c r="U28" s="453">
        <v>10.0</v>
      </c>
      <c r="V28" s="453">
        <v>9.3</v>
      </c>
      <c r="W28" s="423">
        <v>8.0</v>
      </c>
      <c r="X28" s="423">
        <v>10.0</v>
      </c>
      <c r="Y28" s="454">
        <v>8.6</v>
      </c>
    </row>
    <row r="29">
      <c r="A29" s="240">
        <v>28.0</v>
      </c>
      <c r="B29" s="239" t="s">
        <v>574</v>
      </c>
      <c r="C29" s="466">
        <v>33.0</v>
      </c>
      <c r="D29" s="467">
        <v>3.0</v>
      </c>
      <c r="E29" s="468">
        <v>1.0</v>
      </c>
      <c r="F29" s="448">
        <v>0.0</v>
      </c>
      <c r="G29" s="448">
        <v>0.0</v>
      </c>
      <c r="H29" s="448">
        <v>0.0</v>
      </c>
      <c r="I29" s="448">
        <v>1.0</v>
      </c>
      <c r="J29" s="448">
        <v>0.0</v>
      </c>
      <c r="K29" s="449">
        <v>5.0</v>
      </c>
      <c r="L29" s="450">
        <v>6.0</v>
      </c>
      <c r="M29" s="451">
        <v>3.0</v>
      </c>
      <c r="N29" s="451">
        <v>27.78</v>
      </c>
      <c r="O29" s="451">
        <v>66.67</v>
      </c>
      <c r="P29" s="451">
        <v>85.0</v>
      </c>
      <c r="Q29" s="451">
        <v>77.5</v>
      </c>
      <c r="R29" s="451">
        <v>1.75</v>
      </c>
      <c r="S29" s="451">
        <v>1.13</v>
      </c>
      <c r="T29" s="452">
        <v>8.0</v>
      </c>
      <c r="U29" s="453">
        <v>6.0</v>
      </c>
      <c r="V29" s="453">
        <v>7.4</v>
      </c>
      <c r="W29" s="423">
        <v>8.0</v>
      </c>
      <c r="X29" s="423">
        <v>10.0</v>
      </c>
      <c r="Y29" s="454">
        <v>8.6</v>
      </c>
    </row>
    <row r="30">
      <c r="A30" s="240">
        <v>29.0</v>
      </c>
      <c r="B30" s="239" t="s">
        <v>576</v>
      </c>
      <c r="C30" s="466">
        <v>33.0</v>
      </c>
      <c r="D30" s="467">
        <v>1.0</v>
      </c>
      <c r="E30" s="468">
        <v>2.0</v>
      </c>
      <c r="F30" s="448">
        <v>0.0</v>
      </c>
      <c r="G30" s="448">
        <v>0.0</v>
      </c>
      <c r="H30" s="448">
        <v>0.0</v>
      </c>
      <c r="I30" s="448">
        <v>1.0</v>
      </c>
      <c r="J30" s="448">
        <v>0.0</v>
      </c>
      <c r="K30" s="449">
        <v>4.25</v>
      </c>
      <c r="L30" s="450">
        <v>5.0</v>
      </c>
      <c r="M30" s="451">
        <v>3.0</v>
      </c>
      <c r="N30" s="451">
        <v>36.11</v>
      </c>
      <c r="O30" s="451">
        <v>41.67</v>
      </c>
      <c r="P30" s="451">
        <v>85.0</v>
      </c>
      <c r="Q30" s="451">
        <v>77.5</v>
      </c>
      <c r="R30" s="451">
        <v>0.75</v>
      </c>
      <c r="S30" s="451">
        <v>0.13</v>
      </c>
      <c r="T30" s="452">
        <v>8.0</v>
      </c>
      <c r="U30" s="453">
        <v>6.0</v>
      </c>
      <c r="V30" s="453">
        <v>7.4</v>
      </c>
      <c r="W30" s="423">
        <v>7.0</v>
      </c>
      <c r="X30" s="423">
        <v>10.0</v>
      </c>
      <c r="Y30" s="454">
        <v>7.9</v>
      </c>
    </row>
    <row r="31">
      <c r="A31" s="240">
        <v>31.0</v>
      </c>
      <c r="B31" s="239" t="s">
        <v>576</v>
      </c>
      <c r="C31" s="466">
        <v>27.0</v>
      </c>
      <c r="D31" s="467">
        <v>1.0</v>
      </c>
      <c r="E31" s="468">
        <v>1.0</v>
      </c>
      <c r="F31" s="448">
        <v>0.0</v>
      </c>
      <c r="G31" s="448">
        <v>1.0</v>
      </c>
      <c r="H31" s="448">
        <v>0.0</v>
      </c>
      <c r="I31" s="448">
        <v>0.0</v>
      </c>
      <c r="J31" s="448">
        <v>0.0</v>
      </c>
      <c r="K31" s="449">
        <v>5.0</v>
      </c>
      <c r="L31" s="450">
        <v>6.0</v>
      </c>
      <c r="M31" s="451">
        <v>2.0</v>
      </c>
      <c r="N31" s="451">
        <v>38.89</v>
      </c>
      <c r="O31" s="451">
        <v>41.67</v>
      </c>
      <c r="P31" s="451">
        <v>85.0</v>
      </c>
      <c r="Q31" s="451">
        <v>40.0</v>
      </c>
      <c r="R31" s="451">
        <v>0.63</v>
      </c>
      <c r="S31" s="451">
        <v>-1.25</v>
      </c>
      <c r="T31" s="452">
        <v>8.0</v>
      </c>
      <c r="U31" s="453">
        <v>6.0</v>
      </c>
      <c r="V31" s="453">
        <v>7.4</v>
      </c>
      <c r="W31" s="423">
        <v>9.0</v>
      </c>
      <c r="X31" s="423">
        <v>10.0</v>
      </c>
      <c r="Y31" s="454">
        <v>9.3</v>
      </c>
    </row>
    <row r="32">
      <c r="A32" s="240">
        <v>32.0</v>
      </c>
      <c r="B32" s="239" t="s">
        <v>574</v>
      </c>
      <c r="C32" s="469">
        <v>39.0</v>
      </c>
      <c r="D32" s="470">
        <v>1.0</v>
      </c>
      <c r="E32" s="471">
        <v>1.0</v>
      </c>
      <c r="F32" s="461">
        <v>1.0</v>
      </c>
      <c r="G32" s="461">
        <v>1.0</v>
      </c>
      <c r="H32" s="461">
        <v>0.0</v>
      </c>
      <c r="I32" s="461">
        <v>0.0</v>
      </c>
      <c r="J32" s="461">
        <v>0.0</v>
      </c>
      <c r="K32" s="472">
        <v>4.25</v>
      </c>
      <c r="L32" s="473">
        <v>5.0</v>
      </c>
      <c r="M32" s="463">
        <v>5.0</v>
      </c>
      <c r="N32" s="463">
        <v>30.56</v>
      </c>
      <c r="O32" s="463">
        <v>25.0</v>
      </c>
      <c r="P32" s="463">
        <v>82.5</v>
      </c>
      <c r="Q32" s="463">
        <v>85.0</v>
      </c>
      <c r="R32" s="463">
        <v>0.63</v>
      </c>
      <c r="S32" s="463">
        <v>1.38</v>
      </c>
      <c r="T32" s="474">
        <v>9.0</v>
      </c>
      <c r="U32" s="464">
        <v>6.0</v>
      </c>
      <c r="V32" s="464">
        <v>8.1</v>
      </c>
      <c r="W32" s="465">
        <v>10.0</v>
      </c>
      <c r="X32" s="465">
        <v>10.0</v>
      </c>
      <c r="Y32" s="475">
        <v>10.0</v>
      </c>
    </row>
    <row r="33">
      <c r="A33" s="80"/>
      <c r="C33" s="80"/>
    </row>
    <row r="34">
      <c r="A34" s="80"/>
      <c r="C34" s="80"/>
    </row>
    <row r="35">
      <c r="A35" s="80"/>
      <c r="C35" s="80"/>
    </row>
    <row r="36">
      <c r="A36" s="80"/>
      <c r="C36" s="80"/>
    </row>
    <row r="37">
      <c r="A37" s="80"/>
      <c r="C37" s="80"/>
    </row>
    <row r="38">
      <c r="A38" s="80"/>
      <c r="C38" s="80"/>
    </row>
    <row r="39">
      <c r="A39" s="80"/>
      <c r="C39" s="80"/>
    </row>
    <row r="40">
      <c r="A40" s="80"/>
      <c r="C40" s="80"/>
    </row>
    <row r="41">
      <c r="A41" s="80"/>
      <c r="C41" s="80"/>
    </row>
    <row r="42">
      <c r="A42" s="80"/>
      <c r="C42" s="80"/>
    </row>
    <row r="43">
      <c r="A43" s="80"/>
      <c r="C43" s="80"/>
    </row>
    <row r="44">
      <c r="A44" s="80"/>
      <c r="C44" s="80"/>
    </row>
    <row r="45">
      <c r="A45" s="80"/>
      <c r="C45" s="80"/>
    </row>
    <row r="46">
      <c r="A46" s="80"/>
      <c r="C46" s="80"/>
    </row>
    <row r="47">
      <c r="A47" s="80"/>
      <c r="C47" s="80"/>
    </row>
    <row r="48">
      <c r="A48" s="80"/>
      <c r="C48" s="80"/>
    </row>
    <row r="49">
      <c r="A49" s="80"/>
      <c r="C49" s="80"/>
    </row>
    <row r="50">
      <c r="A50" s="80"/>
      <c r="C50" s="80"/>
    </row>
    <row r="51">
      <c r="A51" s="80"/>
      <c r="C51" s="80"/>
    </row>
    <row r="52">
      <c r="A52" s="80"/>
      <c r="C52" s="80"/>
    </row>
    <row r="53">
      <c r="A53" s="80"/>
      <c r="C53" s="80"/>
    </row>
    <row r="54">
      <c r="A54" s="80"/>
      <c r="C54" s="80"/>
    </row>
    <row r="55">
      <c r="A55" s="80"/>
      <c r="C55" s="80"/>
    </row>
    <row r="56">
      <c r="A56" s="80"/>
      <c r="C56" s="80"/>
    </row>
    <row r="57">
      <c r="A57" s="80"/>
      <c r="C57" s="80"/>
    </row>
    <row r="58">
      <c r="A58" s="80"/>
      <c r="C58" s="80"/>
    </row>
    <row r="59">
      <c r="A59" s="80"/>
      <c r="C59" s="80"/>
    </row>
    <row r="60">
      <c r="A60" s="80"/>
      <c r="C60" s="80"/>
    </row>
    <row r="61">
      <c r="A61" s="80"/>
      <c r="C61" s="80"/>
    </row>
    <row r="62">
      <c r="A62" s="80"/>
      <c r="C62" s="80"/>
    </row>
    <row r="63">
      <c r="A63" s="80"/>
      <c r="C63" s="80"/>
    </row>
    <row r="64">
      <c r="A64" s="80"/>
      <c r="C64" s="80"/>
    </row>
    <row r="65">
      <c r="A65" s="80"/>
      <c r="C65" s="80"/>
    </row>
    <row r="66">
      <c r="A66" s="80"/>
      <c r="C66" s="80"/>
    </row>
    <row r="67">
      <c r="A67" s="80"/>
      <c r="C67" s="80"/>
    </row>
    <row r="68">
      <c r="A68" s="80"/>
      <c r="C68" s="80"/>
    </row>
    <row r="69">
      <c r="A69" s="80"/>
      <c r="C69" s="80"/>
    </row>
    <row r="70">
      <c r="A70" s="80"/>
      <c r="C70" s="80"/>
    </row>
    <row r="71">
      <c r="A71" s="80"/>
      <c r="C71" s="80"/>
    </row>
    <row r="72">
      <c r="A72" s="80"/>
      <c r="C72" s="80"/>
    </row>
    <row r="73">
      <c r="A73" s="80"/>
      <c r="C73" s="80"/>
    </row>
    <row r="74">
      <c r="A74" s="80"/>
      <c r="C74" s="80"/>
    </row>
    <row r="75">
      <c r="A75" s="80"/>
      <c r="C75" s="80"/>
    </row>
    <row r="76">
      <c r="A76" s="80"/>
      <c r="C76" s="80"/>
    </row>
    <row r="77">
      <c r="A77" s="80"/>
      <c r="C77" s="80"/>
    </row>
    <row r="78">
      <c r="A78" s="80"/>
      <c r="C78" s="80"/>
    </row>
    <row r="79">
      <c r="A79" s="80"/>
      <c r="C79" s="80"/>
    </row>
    <row r="80">
      <c r="A80" s="80"/>
      <c r="C80" s="80"/>
    </row>
    <row r="81">
      <c r="A81" s="80"/>
      <c r="C81" s="80"/>
    </row>
    <row r="82">
      <c r="A82" s="80"/>
      <c r="C82" s="80"/>
    </row>
    <row r="83">
      <c r="A83" s="80"/>
      <c r="C83" s="80"/>
    </row>
    <row r="84">
      <c r="A84" s="80"/>
      <c r="C84" s="80"/>
    </row>
    <row r="85">
      <c r="A85" s="80"/>
      <c r="C85" s="80"/>
    </row>
    <row r="86">
      <c r="A86" s="80"/>
      <c r="C86" s="80"/>
    </row>
    <row r="87">
      <c r="A87" s="80"/>
      <c r="C87" s="80"/>
    </row>
    <row r="88">
      <c r="A88" s="80"/>
      <c r="C88" s="80"/>
    </row>
    <row r="89">
      <c r="A89" s="80"/>
      <c r="C89" s="80"/>
    </row>
    <row r="90">
      <c r="A90" s="80"/>
      <c r="C90" s="80"/>
    </row>
    <row r="91">
      <c r="A91" s="80"/>
      <c r="C91" s="80"/>
    </row>
    <row r="92">
      <c r="A92" s="80"/>
      <c r="C92" s="80"/>
    </row>
    <row r="93">
      <c r="A93" s="80"/>
      <c r="C93" s="80"/>
    </row>
    <row r="94">
      <c r="A94" s="80"/>
      <c r="C94" s="80"/>
    </row>
    <row r="95">
      <c r="A95" s="80"/>
      <c r="C95" s="80"/>
    </row>
    <row r="96">
      <c r="A96" s="80"/>
      <c r="C96" s="80"/>
    </row>
    <row r="97">
      <c r="A97" s="80"/>
      <c r="C97" s="80"/>
    </row>
    <row r="98">
      <c r="A98" s="80"/>
      <c r="C98" s="80"/>
    </row>
    <row r="99">
      <c r="A99" s="80"/>
      <c r="C99" s="80"/>
    </row>
    <row r="100">
      <c r="A100" s="80"/>
      <c r="C100" s="80"/>
    </row>
    <row r="101">
      <c r="A101" s="80"/>
      <c r="C101" s="80"/>
    </row>
    <row r="102">
      <c r="A102" s="80"/>
      <c r="C102" s="80"/>
    </row>
    <row r="103">
      <c r="A103" s="80"/>
      <c r="C103" s="80"/>
    </row>
    <row r="104">
      <c r="A104" s="80"/>
      <c r="C104" s="80"/>
    </row>
    <row r="105">
      <c r="A105" s="80"/>
      <c r="C105" s="80"/>
    </row>
    <row r="106">
      <c r="A106" s="80"/>
      <c r="C106" s="80"/>
    </row>
    <row r="107">
      <c r="A107" s="80"/>
      <c r="C107" s="80"/>
    </row>
    <row r="108">
      <c r="A108" s="80"/>
      <c r="C108" s="80"/>
    </row>
    <row r="109">
      <c r="A109" s="80"/>
      <c r="C109" s="80"/>
    </row>
    <row r="110">
      <c r="A110" s="80"/>
      <c r="C110" s="80"/>
    </row>
    <row r="111">
      <c r="A111" s="80"/>
      <c r="C111" s="80"/>
    </row>
    <row r="112">
      <c r="A112" s="80"/>
      <c r="C112" s="80"/>
    </row>
    <row r="113">
      <c r="A113" s="80"/>
      <c r="C113" s="80"/>
    </row>
    <row r="114">
      <c r="A114" s="80"/>
      <c r="C114" s="80"/>
    </row>
    <row r="115">
      <c r="A115" s="80"/>
      <c r="C115" s="80"/>
    </row>
    <row r="116">
      <c r="A116" s="80"/>
      <c r="C116" s="80"/>
    </row>
    <row r="117">
      <c r="A117" s="80"/>
      <c r="C117" s="80"/>
    </row>
    <row r="118">
      <c r="A118" s="80"/>
      <c r="C118" s="80"/>
    </row>
    <row r="119">
      <c r="A119" s="80"/>
      <c r="C119" s="80"/>
    </row>
    <row r="120">
      <c r="A120" s="80"/>
      <c r="C120" s="80"/>
    </row>
    <row r="121">
      <c r="A121" s="80"/>
      <c r="C121" s="80"/>
    </row>
    <row r="122">
      <c r="A122" s="80"/>
      <c r="C122" s="80"/>
    </row>
    <row r="123">
      <c r="A123" s="80"/>
      <c r="C123" s="80"/>
    </row>
    <row r="124">
      <c r="A124" s="80"/>
      <c r="C124" s="80"/>
    </row>
    <row r="125">
      <c r="A125" s="80"/>
      <c r="C125" s="80"/>
    </row>
    <row r="126">
      <c r="A126" s="80"/>
      <c r="C126" s="80"/>
    </row>
    <row r="127">
      <c r="A127" s="80"/>
      <c r="C127" s="80"/>
    </row>
    <row r="128">
      <c r="A128" s="80"/>
      <c r="C128" s="80"/>
    </row>
    <row r="129">
      <c r="A129" s="80"/>
      <c r="C129" s="80"/>
    </row>
    <row r="130">
      <c r="A130" s="80"/>
      <c r="C130" s="80"/>
    </row>
    <row r="131">
      <c r="A131" s="80"/>
      <c r="C131" s="80"/>
    </row>
    <row r="132">
      <c r="A132" s="80"/>
      <c r="C132" s="80"/>
    </row>
    <row r="133">
      <c r="A133" s="80"/>
      <c r="C133" s="80"/>
    </row>
    <row r="134">
      <c r="A134" s="80"/>
      <c r="C134" s="80"/>
    </row>
    <row r="135">
      <c r="A135" s="80"/>
      <c r="C135" s="80"/>
    </row>
    <row r="136">
      <c r="A136" s="80"/>
      <c r="C136" s="80"/>
    </row>
    <row r="137">
      <c r="A137" s="80"/>
      <c r="C137" s="80"/>
    </row>
    <row r="138">
      <c r="A138" s="80"/>
      <c r="C138" s="80"/>
    </row>
    <row r="139">
      <c r="A139" s="80"/>
      <c r="C139" s="80"/>
    </row>
    <row r="140">
      <c r="A140" s="80"/>
      <c r="C140" s="80"/>
    </row>
    <row r="141">
      <c r="A141" s="80"/>
      <c r="C141" s="80"/>
    </row>
    <row r="142">
      <c r="A142" s="80"/>
      <c r="C142" s="80"/>
    </row>
    <row r="143">
      <c r="A143" s="80"/>
      <c r="C143" s="80"/>
    </row>
    <row r="144">
      <c r="A144" s="80"/>
      <c r="C144" s="80"/>
    </row>
    <row r="145">
      <c r="A145" s="80"/>
      <c r="C145" s="80"/>
    </row>
    <row r="146">
      <c r="A146" s="80"/>
      <c r="C146" s="80"/>
    </row>
    <row r="147">
      <c r="A147" s="80"/>
      <c r="C147" s="80"/>
    </row>
    <row r="148">
      <c r="A148" s="80"/>
      <c r="C148" s="80"/>
    </row>
    <row r="149">
      <c r="A149" s="80"/>
      <c r="C149" s="80"/>
    </row>
    <row r="150">
      <c r="A150" s="80"/>
      <c r="C150" s="80"/>
    </row>
    <row r="151">
      <c r="A151" s="80"/>
      <c r="C151" s="80"/>
    </row>
    <row r="152">
      <c r="A152" s="80"/>
      <c r="C152" s="80"/>
    </row>
    <row r="153">
      <c r="A153" s="80"/>
      <c r="C153" s="80"/>
    </row>
    <row r="154">
      <c r="A154" s="80"/>
      <c r="C154" s="80"/>
    </row>
    <row r="155">
      <c r="A155" s="80"/>
      <c r="C155" s="80"/>
    </row>
    <row r="156">
      <c r="A156" s="80"/>
      <c r="C156" s="80"/>
    </row>
    <row r="157">
      <c r="A157" s="80"/>
      <c r="C157" s="80"/>
    </row>
    <row r="158">
      <c r="A158" s="80"/>
      <c r="C158" s="80"/>
    </row>
    <row r="159">
      <c r="A159" s="80"/>
      <c r="C159" s="80"/>
    </row>
    <row r="160">
      <c r="A160" s="80"/>
      <c r="C160" s="80"/>
    </row>
    <row r="161">
      <c r="A161" s="80"/>
      <c r="C161" s="80"/>
    </row>
    <row r="162">
      <c r="A162" s="80"/>
      <c r="C162" s="80"/>
    </row>
    <row r="163">
      <c r="A163" s="80"/>
      <c r="C163" s="80"/>
    </row>
    <row r="164">
      <c r="A164" s="80"/>
      <c r="C164" s="80"/>
    </row>
    <row r="165">
      <c r="A165" s="80"/>
      <c r="C165" s="80"/>
    </row>
    <row r="166">
      <c r="A166" s="80"/>
      <c r="C166" s="80"/>
    </row>
    <row r="167">
      <c r="A167" s="80"/>
      <c r="C167" s="80"/>
    </row>
    <row r="168">
      <c r="A168" s="80"/>
      <c r="C168" s="80"/>
    </row>
    <row r="169">
      <c r="A169" s="80"/>
      <c r="C169" s="80"/>
    </row>
    <row r="170">
      <c r="A170" s="80"/>
      <c r="C170" s="80"/>
    </row>
    <row r="171">
      <c r="A171" s="80"/>
      <c r="C171" s="80"/>
    </row>
    <row r="172">
      <c r="A172" s="80"/>
      <c r="C172" s="80"/>
    </row>
    <row r="173">
      <c r="A173" s="80"/>
      <c r="C173" s="80"/>
    </row>
    <row r="174">
      <c r="A174" s="80"/>
      <c r="C174" s="80"/>
    </row>
    <row r="175">
      <c r="A175" s="80"/>
      <c r="C175" s="80"/>
    </row>
    <row r="176">
      <c r="A176" s="80"/>
      <c r="C176" s="80"/>
    </row>
    <row r="177">
      <c r="A177" s="80"/>
      <c r="C177" s="80"/>
    </row>
    <row r="178">
      <c r="A178" s="80"/>
      <c r="C178" s="80"/>
    </row>
    <row r="179">
      <c r="A179" s="80"/>
      <c r="C179" s="80"/>
    </row>
    <row r="180">
      <c r="A180" s="80"/>
      <c r="C180" s="80"/>
    </row>
    <row r="181">
      <c r="A181" s="80"/>
      <c r="C181" s="80"/>
    </row>
    <row r="182">
      <c r="A182" s="80"/>
      <c r="C182" s="80"/>
    </row>
    <row r="183">
      <c r="A183" s="80"/>
      <c r="C183" s="80"/>
    </row>
    <row r="184">
      <c r="A184" s="80"/>
      <c r="C184" s="80"/>
    </row>
    <row r="185">
      <c r="A185" s="80"/>
      <c r="C185" s="80"/>
    </row>
    <row r="186">
      <c r="A186" s="80"/>
      <c r="C186" s="80"/>
    </row>
    <row r="187">
      <c r="A187" s="80"/>
      <c r="C187" s="80"/>
    </row>
    <row r="188">
      <c r="A188" s="80"/>
      <c r="C188" s="80"/>
    </row>
    <row r="189">
      <c r="A189" s="80"/>
      <c r="C189" s="80"/>
    </row>
    <row r="190">
      <c r="A190" s="80"/>
      <c r="C190" s="80"/>
    </row>
    <row r="191">
      <c r="A191" s="80"/>
      <c r="C191" s="80"/>
    </row>
    <row r="192">
      <c r="A192" s="80"/>
      <c r="C192" s="80"/>
    </row>
    <row r="193">
      <c r="A193" s="80"/>
      <c r="C193" s="80"/>
    </row>
    <row r="194">
      <c r="A194" s="80"/>
      <c r="C194" s="80"/>
    </row>
    <row r="195">
      <c r="A195" s="80"/>
      <c r="C195" s="80"/>
    </row>
    <row r="196">
      <c r="A196" s="80"/>
      <c r="C196" s="80"/>
    </row>
    <row r="197">
      <c r="A197" s="80"/>
      <c r="C197" s="80"/>
    </row>
    <row r="198">
      <c r="A198" s="80"/>
      <c r="C198" s="80"/>
    </row>
    <row r="199">
      <c r="A199" s="80"/>
      <c r="C199" s="80"/>
    </row>
    <row r="200">
      <c r="A200" s="80"/>
      <c r="C200" s="80"/>
    </row>
    <row r="201">
      <c r="A201" s="80"/>
      <c r="C201" s="80"/>
    </row>
    <row r="202">
      <c r="A202" s="80"/>
      <c r="C202" s="80"/>
    </row>
    <row r="203">
      <c r="A203" s="80"/>
      <c r="C203" s="80"/>
    </row>
    <row r="204">
      <c r="A204" s="80"/>
      <c r="C204" s="80"/>
    </row>
    <row r="205">
      <c r="A205" s="80"/>
      <c r="C205" s="80"/>
    </row>
    <row r="206">
      <c r="A206" s="80"/>
      <c r="C206" s="80"/>
    </row>
    <row r="207">
      <c r="A207" s="80"/>
      <c r="C207" s="80"/>
    </row>
    <row r="208">
      <c r="A208" s="80"/>
      <c r="C208" s="80"/>
    </row>
    <row r="209">
      <c r="A209" s="80"/>
      <c r="C209" s="80"/>
    </row>
    <row r="210">
      <c r="A210" s="80"/>
      <c r="C210" s="80"/>
    </row>
    <row r="211">
      <c r="A211" s="80"/>
      <c r="C211" s="80"/>
    </row>
    <row r="212">
      <c r="A212" s="80"/>
      <c r="C212" s="80"/>
    </row>
    <row r="213">
      <c r="A213" s="80"/>
      <c r="C213" s="80"/>
    </row>
    <row r="214">
      <c r="A214" s="80"/>
      <c r="C214" s="80"/>
    </row>
    <row r="215">
      <c r="A215" s="80"/>
      <c r="C215" s="80"/>
    </row>
    <row r="216">
      <c r="A216" s="80"/>
      <c r="C216" s="80"/>
    </row>
    <row r="217">
      <c r="A217" s="80"/>
      <c r="C217" s="80"/>
    </row>
    <row r="218">
      <c r="A218" s="80"/>
      <c r="C218" s="80"/>
    </row>
    <row r="219">
      <c r="A219" s="80"/>
      <c r="C219" s="80"/>
    </row>
    <row r="220">
      <c r="A220" s="80"/>
      <c r="C220" s="80"/>
    </row>
    <row r="221">
      <c r="A221" s="80"/>
      <c r="C221" s="80"/>
    </row>
    <row r="222">
      <c r="A222" s="80"/>
      <c r="C222" s="80"/>
    </row>
    <row r="223">
      <c r="A223" s="80"/>
      <c r="C223" s="80"/>
    </row>
    <row r="224">
      <c r="A224" s="80"/>
      <c r="C224" s="80"/>
    </row>
    <row r="225">
      <c r="A225" s="80"/>
      <c r="C225" s="80"/>
    </row>
    <row r="226">
      <c r="A226" s="80"/>
      <c r="C226" s="80"/>
    </row>
    <row r="227">
      <c r="A227" s="80"/>
      <c r="C227" s="80"/>
    </row>
    <row r="228">
      <c r="A228" s="80"/>
      <c r="C228" s="80"/>
    </row>
    <row r="229">
      <c r="A229" s="80"/>
      <c r="C229" s="80"/>
    </row>
    <row r="230">
      <c r="A230" s="80"/>
      <c r="C230" s="80"/>
    </row>
    <row r="231">
      <c r="A231" s="80"/>
      <c r="C231" s="80"/>
    </row>
    <row r="232">
      <c r="A232" s="80"/>
      <c r="C232" s="80"/>
    </row>
    <row r="233">
      <c r="A233" s="80"/>
      <c r="C233" s="80"/>
    </row>
    <row r="234">
      <c r="A234" s="80"/>
      <c r="C234" s="80"/>
    </row>
    <row r="235">
      <c r="A235" s="80"/>
      <c r="C235" s="80"/>
    </row>
    <row r="236">
      <c r="A236" s="80"/>
      <c r="C236" s="80"/>
    </row>
    <row r="237">
      <c r="A237" s="80"/>
      <c r="C237" s="80"/>
    </row>
    <row r="238">
      <c r="A238" s="80"/>
      <c r="C238" s="80"/>
    </row>
    <row r="239">
      <c r="A239" s="80"/>
      <c r="C239" s="80"/>
    </row>
    <row r="240">
      <c r="A240" s="80"/>
      <c r="C240" s="80"/>
    </row>
    <row r="241">
      <c r="A241" s="80"/>
      <c r="C241" s="80"/>
    </row>
    <row r="242">
      <c r="A242" s="80"/>
      <c r="C242" s="80"/>
    </row>
    <row r="243">
      <c r="A243" s="80"/>
      <c r="C243" s="80"/>
    </row>
    <row r="244">
      <c r="A244" s="80"/>
      <c r="C244" s="80"/>
    </row>
    <row r="245">
      <c r="A245" s="80"/>
      <c r="C245" s="80"/>
    </row>
    <row r="246">
      <c r="A246" s="80"/>
      <c r="C246" s="80"/>
    </row>
    <row r="247">
      <c r="A247" s="80"/>
      <c r="C247" s="80"/>
    </row>
    <row r="248">
      <c r="A248" s="80"/>
      <c r="C248" s="80"/>
    </row>
    <row r="249">
      <c r="A249" s="80"/>
      <c r="C249" s="80"/>
    </row>
    <row r="250">
      <c r="A250" s="80"/>
      <c r="C250" s="80"/>
    </row>
    <row r="251">
      <c r="A251" s="80"/>
      <c r="C251" s="80"/>
    </row>
    <row r="252">
      <c r="A252" s="80"/>
      <c r="C252" s="80"/>
    </row>
    <row r="253">
      <c r="A253" s="80"/>
      <c r="C253" s="80"/>
    </row>
    <row r="254">
      <c r="A254" s="80"/>
      <c r="C254" s="80"/>
    </row>
    <row r="255">
      <c r="A255" s="80"/>
      <c r="C255" s="80"/>
    </row>
    <row r="256">
      <c r="A256" s="80"/>
      <c r="C256" s="80"/>
    </row>
    <row r="257">
      <c r="A257" s="80"/>
      <c r="C257" s="80"/>
    </row>
    <row r="258">
      <c r="A258" s="80"/>
      <c r="C258" s="80"/>
    </row>
    <row r="259">
      <c r="A259" s="80"/>
      <c r="C259" s="80"/>
    </row>
    <row r="260">
      <c r="A260" s="80"/>
      <c r="C260" s="80"/>
    </row>
    <row r="261">
      <c r="A261" s="80"/>
      <c r="C261" s="80"/>
    </row>
    <row r="262">
      <c r="A262" s="80"/>
      <c r="C262" s="80"/>
    </row>
    <row r="263">
      <c r="A263" s="80"/>
      <c r="C263" s="80"/>
    </row>
    <row r="264">
      <c r="A264" s="80"/>
      <c r="C264" s="80"/>
    </row>
    <row r="265">
      <c r="A265" s="80"/>
      <c r="C265" s="80"/>
    </row>
    <row r="266">
      <c r="A266" s="80"/>
      <c r="C266" s="80"/>
    </row>
    <row r="267">
      <c r="A267" s="80"/>
      <c r="C267" s="80"/>
    </row>
    <row r="268">
      <c r="A268" s="80"/>
      <c r="C268" s="80"/>
    </row>
    <row r="269">
      <c r="A269" s="80"/>
      <c r="C269" s="80"/>
    </row>
    <row r="270">
      <c r="A270" s="80"/>
      <c r="C270" s="80"/>
    </row>
    <row r="271">
      <c r="A271" s="80"/>
      <c r="C271" s="80"/>
    </row>
    <row r="272">
      <c r="A272" s="80"/>
      <c r="C272" s="80"/>
    </row>
    <row r="273">
      <c r="A273" s="80"/>
      <c r="C273" s="80"/>
    </row>
    <row r="274">
      <c r="A274" s="80"/>
      <c r="C274" s="80"/>
    </row>
    <row r="275">
      <c r="A275" s="80"/>
      <c r="C275" s="80"/>
    </row>
    <row r="276">
      <c r="A276" s="80"/>
      <c r="C276" s="80"/>
    </row>
    <row r="277">
      <c r="A277" s="80"/>
      <c r="C277" s="80"/>
    </row>
    <row r="278">
      <c r="A278" s="80"/>
      <c r="C278" s="80"/>
    </row>
    <row r="279">
      <c r="A279" s="80"/>
      <c r="C279" s="80"/>
    </row>
    <row r="280">
      <c r="A280" s="80"/>
      <c r="C280" s="80"/>
    </row>
    <row r="281">
      <c r="A281" s="80"/>
      <c r="C281" s="80"/>
    </row>
    <row r="282">
      <c r="A282" s="80"/>
      <c r="C282" s="80"/>
    </row>
    <row r="283">
      <c r="A283" s="80"/>
      <c r="C283" s="80"/>
    </row>
    <row r="284">
      <c r="A284" s="80"/>
      <c r="C284" s="80"/>
    </row>
    <row r="285">
      <c r="A285" s="80"/>
      <c r="C285" s="80"/>
    </row>
    <row r="286">
      <c r="A286" s="80"/>
      <c r="C286" s="80"/>
    </row>
    <row r="287">
      <c r="A287" s="80"/>
      <c r="C287" s="80"/>
    </row>
    <row r="288">
      <c r="A288" s="80"/>
      <c r="C288" s="80"/>
    </row>
    <row r="289">
      <c r="A289" s="80"/>
      <c r="C289" s="80"/>
    </row>
    <row r="290">
      <c r="A290" s="80"/>
      <c r="C290" s="80"/>
    </row>
    <row r="291">
      <c r="A291" s="80"/>
      <c r="C291" s="80"/>
    </row>
    <row r="292">
      <c r="A292" s="80"/>
      <c r="C292" s="80"/>
    </row>
    <row r="293">
      <c r="A293" s="80"/>
      <c r="C293" s="80"/>
    </row>
    <row r="294">
      <c r="A294" s="80"/>
      <c r="C294" s="80"/>
    </row>
    <row r="295">
      <c r="A295" s="80"/>
      <c r="C295" s="80"/>
    </row>
    <row r="296">
      <c r="A296" s="80"/>
      <c r="C296" s="80"/>
    </row>
    <row r="297">
      <c r="A297" s="80"/>
      <c r="C297" s="80"/>
    </row>
    <row r="298">
      <c r="A298" s="80"/>
      <c r="C298" s="80"/>
    </row>
    <row r="299">
      <c r="A299" s="80"/>
      <c r="C299" s="80"/>
    </row>
    <row r="300">
      <c r="A300" s="80"/>
      <c r="C300" s="80"/>
    </row>
    <row r="301">
      <c r="A301" s="80"/>
      <c r="C301" s="80"/>
    </row>
    <row r="302">
      <c r="A302" s="80"/>
      <c r="C302" s="80"/>
    </row>
    <row r="303">
      <c r="A303" s="80"/>
      <c r="C303" s="80"/>
    </row>
    <row r="304">
      <c r="A304" s="80"/>
      <c r="C304" s="80"/>
    </row>
    <row r="305">
      <c r="A305" s="80"/>
      <c r="C305" s="80"/>
    </row>
    <row r="306">
      <c r="A306" s="80"/>
      <c r="C306" s="80"/>
    </row>
    <row r="307">
      <c r="A307" s="80"/>
      <c r="C307" s="80"/>
    </row>
    <row r="308">
      <c r="A308" s="80"/>
      <c r="C308" s="80"/>
    </row>
    <row r="309">
      <c r="A309" s="80"/>
      <c r="C309" s="80"/>
    </row>
    <row r="310">
      <c r="A310" s="80"/>
      <c r="C310" s="80"/>
    </row>
    <row r="311">
      <c r="A311" s="80"/>
      <c r="C311" s="80"/>
    </row>
    <row r="312">
      <c r="A312" s="80"/>
      <c r="C312" s="80"/>
    </row>
    <row r="313">
      <c r="A313" s="80"/>
      <c r="C313" s="80"/>
    </row>
    <row r="314">
      <c r="A314" s="80"/>
      <c r="C314" s="80"/>
    </row>
    <row r="315">
      <c r="A315" s="80"/>
      <c r="C315" s="80"/>
    </row>
    <row r="316">
      <c r="A316" s="80"/>
      <c r="C316" s="80"/>
    </row>
    <row r="317">
      <c r="A317" s="80"/>
      <c r="C317" s="80"/>
    </row>
    <row r="318">
      <c r="A318" s="80"/>
      <c r="C318" s="80"/>
    </row>
    <row r="319">
      <c r="A319" s="80"/>
      <c r="C319" s="80"/>
    </row>
    <row r="320">
      <c r="A320" s="80"/>
      <c r="C320" s="80"/>
    </row>
    <row r="321">
      <c r="A321" s="80"/>
      <c r="C321" s="80"/>
    </row>
    <row r="322">
      <c r="A322" s="80"/>
      <c r="C322" s="80"/>
    </row>
    <row r="323">
      <c r="A323" s="80"/>
      <c r="C323" s="80"/>
    </row>
    <row r="324">
      <c r="A324" s="80"/>
      <c r="C324" s="80"/>
    </row>
    <row r="325">
      <c r="A325" s="80"/>
      <c r="C325" s="80"/>
    </row>
    <row r="326">
      <c r="A326" s="80"/>
      <c r="C326" s="80"/>
    </row>
    <row r="327">
      <c r="A327" s="80"/>
      <c r="C327" s="80"/>
    </row>
    <row r="328">
      <c r="A328" s="80"/>
      <c r="C328" s="80"/>
    </row>
    <row r="329">
      <c r="A329" s="80"/>
      <c r="C329" s="80"/>
    </row>
    <row r="330">
      <c r="A330" s="80"/>
      <c r="C330" s="80"/>
    </row>
    <row r="331">
      <c r="A331" s="80"/>
      <c r="C331" s="80"/>
    </row>
    <row r="332">
      <c r="A332" s="80"/>
      <c r="C332" s="80"/>
    </row>
    <row r="333">
      <c r="A333" s="80"/>
      <c r="C333" s="80"/>
    </row>
    <row r="334">
      <c r="A334" s="80"/>
      <c r="C334" s="80"/>
    </row>
    <row r="335">
      <c r="A335" s="80"/>
      <c r="C335" s="80"/>
    </row>
    <row r="336">
      <c r="A336" s="80"/>
      <c r="C336" s="80"/>
    </row>
    <row r="337">
      <c r="A337" s="80"/>
      <c r="C337" s="80"/>
    </row>
    <row r="338">
      <c r="A338" s="80"/>
      <c r="C338" s="80"/>
    </row>
    <row r="339">
      <c r="A339" s="80"/>
      <c r="C339" s="80"/>
    </row>
    <row r="340">
      <c r="A340" s="80"/>
      <c r="C340" s="80"/>
    </row>
    <row r="341">
      <c r="A341" s="80"/>
      <c r="C341" s="80"/>
    </row>
    <row r="342">
      <c r="A342" s="80"/>
      <c r="C342" s="80"/>
    </row>
    <row r="343">
      <c r="A343" s="80"/>
      <c r="C343" s="80"/>
    </row>
    <row r="344">
      <c r="A344" s="80"/>
      <c r="C344" s="80"/>
    </row>
    <row r="345">
      <c r="A345" s="80"/>
      <c r="C345" s="80"/>
    </row>
    <row r="346">
      <c r="A346" s="80"/>
      <c r="C346" s="80"/>
    </row>
    <row r="347">
      <c r="A347" s="80"/>
      <c r="C347" s="80"/>
    </row>
    <row r="348">
      <c r="A348" s="80"/>
      <c r="C348" s="80"/>
    </row>
    <row r="349">
      <c r="A349" s="80"/>
      <c r="C349" s="80"/>
    </row>
    <row r="350">
      <c r="A350" s="80"/>
      <c r="C350" s="80"/>
    </row>
    <row r="351">
      <c r="A351" s="80"/>
      <c r="C351" s="80"/>
    </row>
    <row r="352">
      <c r="A352" s="80"/>
      <c r="C352" s="80"/>
    </row>
    <row r="353">
      <c r="A353" s="80"/>
      <c r="C353" s="80"/>
    </row>
    <row r="354">
      <c r="A354" s="80"/>
      <c r="C354" s="80"/>
    </row>
    <row r="355">
      <c r="A355" s="80"/>
      <c r="C355" s="80"/>
    </row>
    <row r="356">
      <c r="A356" s="80"/>
      <c r="C356" s="80"/>
    </row>
    <row r="357">
      <c r="A357" s="80"/>
      <c r="C357" s="80"/>
    </row>
    <row r="358">
      <c r="A358" s="80"/>
      <c r="C358" s="80"/>
    </row>
    <row r="359">
      <c r="A359" s="80"/>
      <c r="C359" s="80"/>
    </row>
    <row r="360">
      <c r="A360" s="80"/>
      <c r="C360" s="80"/>
    </row>
    <row r="361">
      <c r="A361" s="80"/>
      <c r="C361" s="80"/>
    </row>
    <row r="362">
      <c r="A362" s="80"/>
      <c r="C362" s="80"/>
    </row>
    <row r="363">
      <c r="A363" s="80"/>
      <c r="C363" s="80"/>
    </row>
    <row r="364">
      <c r="A364" s="80"/>
      <c r="C364" s="80"/>
    </row>
    <row r="365">
      <c r="A365" s="80"/>
      <c r="C365" s="80"/>
    </row>
    <row r="366">
      <c r="A366" s="80"/>
      <c r="C366" s="80"/>
    </row>
    <row r="367">
      <c r="A367" s="80"/>
      <c r="C367" s="80"/>
    </row>
    <row r="368">
      <c r="A368" s="80"/>
      <c r="C368" s="80"/>
    </row>
    <row r="369">
      <c r="A369" s="80"/>
      <c r="C369" s="80"/>
    </row>
    <row r="370">
      <c r="A370" s="80"/>
      <c r="C370" s="80"/>
    </row>
    <row r="371">
      <c r="A371" s="80"/>
      <c r="C371" s="80"/>
    </row>
    <row r="372">
      <c r="A372" s="80"/>
      <c r="C372" s="80"/>
    </row>
    <row r="373">
      <c r="A373" s="80"/>
      <c r="C373" s="80"/>
    </row>
    <row r="374">
      <c r="A374" s="80"/>
      <c r="C374" s="80"/>
    </row>
    <row r="375">
      <c r="A375" s="80"/>
      <c r="C375" s="80"/>
    </row>
    <row r="376">
      <c r="A376" s="80"/>
      <c r="C376" s="80"/>
    </row>
    <row r="377">
      <c r="A377" s="80"/>
      <c r="C377" s="80"/>
    </row>
    <row r="378">
      <c r="A378" s="80"/>
      <c r="C378" s="80"/>
    </row>
    <row r="379">
      <c r="A379" s="80"/>
      <c r="C379" s="80"/>
    </row>
    <row r="380">
      <c r="A380" s="80"/>
      <c r="C380" s="80"/>
    </row>
    <row r="381">
      <c r="A381" s="80"/>
      <c r="C381" s="80"/>
    </row>
    <row r="382">
      <c r="A382" s="80"/>
      <c r="C382" s="80"/>
    </row>
    <row r="383">
      <c r="A383" s="80"/>
      <c r="C383" s="80"/>
    </row>
    <row r="384">
      <c r="A384" s="80"/>
      <c r="C384" s="80"/>
    </row>
    <row r="385">
      <c r="A385" s="80"/>
      <c r="C385" s="80"/>
    </row>
    <row r="386">
      <c r="A386" s="80"/>
      <c r="C386" s="80"/>
    </row>
    <row r="387">
      <c r="A387" s="80"/>
      <c r="C387" s="80"/>
    </row>
    <row r="388">
      <c r="A388" s="80"/>
      <c r="C388" s="80"/>
    </row>
    <row r="389">
      <c r="A389" s="80"/>
      <c r="C389" s="80"/>
    </row>
    <row r="390">
      <c r="A390" s="80"/>
      <c r="C390" s="80"/>
    </row>
    <row r="391">
      <c r="A391" s="80"/>
      <c r="C391" s="80"/>
    </row>
    <row r="392">
      <c r="A392" s="80"/>
      <c r="C392" s="80"/>
    </row>
    <row r="393">
      <c r="A393" s="80"/>
      <c r="C393" s="80"/>
    </row>
    <row r="394">
      <c r="A394" s="80"/>
      <c r="C394" s="80"/>
    </row>
    <row r="395">
      <c r="A395" s="80"/>
      <c r="C395" s="80"/>
    </row>
    <row r="396">
      <c r="A396" s="80"/>
      <c r="C396" s="80"/>
    </row>
    <row r="397">
      <c r="A397" s="80"/>
      <c r="C397" s="80"/>
    </row>
    <row r="398">
      <c r="A398" s="80"/>
      <c r="C398" s="80"/>
    </row>
    <row r="399">
      <c r="A399" s="80"/>
      <c r="C399" s="80"/>
    </row>
    <row r="400">
      <c r="A400" s="80"/>
      <c r="C400" s="80"/>
    </row>
    <row r="401">
      <c r="A401" s="80"/>
      <c r="C401" s="80"/>
    </row>
    <row r="402">
      <c r="A402" s="80"/>
      <c r="C402" s="80"/>
    </row>
    <row r="403">
      <c r="A403" s="80"/>
      <c r="C403" s="80"/>
    </row>
    <row r="404">
      <c r="A404" s="80"/>
      <c r="C404" s="80"/>
    </row>
    <row r="405">
      <c r="A405" s="80"/>
      <c r="C405" s="80"/>
    </row>
    <row r="406">
      <c r="A406" s="80"/>
      <c r="C406" s="80"/>
    </row>
    <row r="407">
      <c r="A407" s="80"/>
      <c r="C407" s="80"/>
    </row>
    <row r="408">
      <c r="A408" s="80"/>
      <c r="C408" s="80"/>
    </row>
    <row r="409">
      <c r="A409" s="80"/>
      <c r="C409" s="80"/>
    </row>
    <row r="410">
      <c r="A410" s="80"/>
      <c r="C410" s="80"/>
    </row>
    <row r="411">
      <c r="A411" s="80"/>
      <c r="C411" s="80"/>
    </row>
    <row r="412">
      <c r="A412" s="80"/>
      <c r="C412" s="80"/>
    </row>
    <row r="413">
      <c r="A413" s="80"/>
      <c r="C413" s="80"/>
    </row>
    <row r="414">
      <c r="A414" s="80"/>
      <c r="C414" s="80"/>
    </row>
    <row r="415">
      <c r="A415" s="80"/>
      <c r="C415" s="80"/>
    </row>
    <row r="416">
      <c r="A416" s="80"/>
      <c r="C416" s="80"/>
    </row>
    <row r="417">
      <c r="A417" s="80"/>
      <c r="C417" s="80"/>
    </row>
    <row r="418">
      <c r="A418" s="80"/>
      <c r="C418" s="80"/>
    </row>
    <row r="419">
      <c r="A419" s="80"/>
      <c r="C419" s="80"/>
    </row>
    <row r="420">
      <c r="A420" s="80"/>
      <c r="C420" s="80"/>
    </row>
    <row r="421">
      <c r="A421" s="80"/>
      <c r="C421" s="80"/>
    </row>
    <row r="422">
      <c r="A422" s="80"/>
      <c r="C422" s="80"/>
    </row>
    <row r="423">
      <c r="A423" s="80"/>
      <c r="C423" s="80"/>
    </row>
    <row r="424">
      <c r="A424" s="80"/>
      <c r="C424" s="80"/>
    </row>
    <row r="425">
      <c r="A425" s="80"/>
      <c r="C425" s="80"/>
    </row>
    <row r="426">
      <c r="A426" s="80"/>
      <c r="C426" s="80"/>
    </row>
    <row r="427">
      <c r="A427" s="80"/>
      <c r="C427" s="80"/>
    </row>
    <row r="428">
      <c r="A428" s="80"/>
      <c r="C428" s="80"/>
    </row>
    <row r="429">
      <c r="A429" s="80"/>
      <c r="C429" s="80"/>
    </row>
    <row r="430">
      <c r="A430" s="80"/>
      <c r="C430" s="80"/>
    </row>
    <row r="431">
      <c r="A431" s="80"/>
      <c r="C431" s="80"/>
    </row>
    <row r="432">
      <c r="A432" s="80"/>
      <c r="C432" s="80"/>
    </row>
    <row r="433">
      <c r="A433" s="80"/>
      <c r="C433" s="80"/>
    </row>
    <row r="434">
      <c r="A434" s="80"/>
      <c r="C434" s="80"/>
    </row>
    <row r="435">
      <c r="A435" s="80"/>
      <c r="C435" s="80"/>
    </row>
    <row r="436">
      <c r="A436" s="80"/>
      <c r="C436" s="80"/>
    </row>
    <row r="437">
      <c r="A437" s="80"/>
      <c r="C437" s="80"/>
    </row>
    <row r="438">
      <c r="A438" s="80"/>
      <c r="C438" s="80"/>
    </row>
    <row r="439">
      <c r="A439" s="80"/>
      <c r="C439" s="80"/>
    </row>
    <row r="440">
      <c r="A440" s="80"/>
      <c r="C440" s="80"/>
    </row>
    <row r="441">
      <c r="A441" s="80"/>
      <c r="C441" s="80"/>
    </row>
    <row r="442">
      <c r="A442" s="80"/>
      <c r="C442" s="80"/>
    </row>
    <row r="443">
      <c r="A443" s="80"/>
      <c r="C443" s="80"/>
    </row>
    <row r="444">
      <c r="A444" s="80"/>
      <c r="C444" s="80"/>
    </row>
    <row r="445">
      <c r="A445" s="80"/>
      <c r="C445" s="80"/>
    </row>
    <row r="446">
      <c r="A446" s="80"/>
      <c r="C446" s="80"/>
    </row>
    <row r="447">
      <c r="A447" s="80"/>
      <c r="C447" s="80"/>
    </row>
    <row r="448">
      <c r="A448" s="80"/>
      <c r="C448" s="80"/>
    </row>
    <row r="449">
      <c r="A449" s="80"/>
      <c r="C449" s="80"/>
    </row>
    <row r="450">
      <c r="A450" s="80"/>
      <c r="C450" s="80"/>
    </row>
    <row r="451">
      <c r="A451" s="80"/>
      <c r="C451" s="80"/>
    </row>
    <row r="452">
      <c r="A452" s="80"/>
      <c r="C452" s="80"/>
    </row>
    <row r="453">
      <c r="A453" s="80"/>
      <c r="C453" s="80"/>
    </row>
    <row r="454">
      <c r="A454" s="80"/>
      <c r="C454" s="80"/>
    </row>
    <row r="455">
      <c r="A455" s="80"/>
      <c r="C455" s="80"/>
    </row>
    <row r="456">
      <c r="A456" s="80"/>
      <c r="C456" s="80"/>
    </row>
    <row r="457">
      <c r="A457" s="80"/>
      <c r="C457" s="80"/>
    </row>
    <row r="458">
      <c r="A458" s="80"/>
      <c r="C458" s="80"/>
    </row>
    <row r="459">
      <c r="A459" s="80"/>
      <c r="C459" s="80"/>
    </row>
    <row r="460">
      <c r="A460" s="80"/>
      <c r="C460" s="80"/>
    </row>
    <row r="461">
      <c r="A461" s="80"/>
      <c r="C461" s="80"/>
    </row>
    <row r="462">
      <c r="A462" s="80"/>
      <c r="C462" s="80"/>
    </row>
    <row r="463">
      <c r="A463" s="80"/>
      <c r="C463" s="80"/>
    </row>
    <row r="464">
      <c r="A464" s="80"/>
      <c r="C464" s="80"/>
    </row>
    <row r="465">
      <c r="A465" s="80"/>
      <c r="C465" s="80"/>
    </row>
    <row r="466">
      <c r="A466" s="80"/>
      <c r="C466" s="80"/>
    </row>
    <row r="467">
      <c r="A467" s="80"/>
      <c r="C467" s="80"/>
    </row>
    <row r="468">
      <c r="A468" s="80"/>
      <c r="C468" s="80"/>
    </row>
    <row r="469">
      <c r="A469" s="80"/>
      <c r="C469" s="80"/>
    </row>
    <row r="470">
      <c r="A470" s="80"/>
      <c r="C470" s="80"/>
    </row>
    <row r="471">
      <c r="A471" s="80"/>
      <c r="C471" s="80"/>
    </row>
    <row r="472">
      <c r="A472" s="80"/>
      <c r="C472" s="80"/>
    </row>
    <row r="473">
      <c r="A473" s="80"/>
      <c r="C473" s="80"/>
    </row>
    <row r="474">
      <c r="A474" s="80"/>
      <c r="C474" s="80"/>
    </row>
    <row r="475">
      <c r="A475" s="80"/>
      <c r="C475" s="80"/>
    </row>
    <row r="476">
      <c r="A476" s="80"/>
      <c r="C476" s="80"/>
    </row>
    <row r="477">
      <c r="A477" s="80"/>
      <c r="C477" s="80"/>
    </row>
    <row r="478">
      <c r="A478" s="80"/>
      <c r="C478" s="80"/>
    </row>
    <row r="479">
      <c r="A479" s="80"/>
      <c r="C479" s="80"/>
    </row>
    <row r="480">
      <c r="A480" s="80"/>
      <c r="C480" s="80"/>
    </row>
    <row r="481">
      <c r="A481" s="80"/>
      <c r="C481" s="80"/>
    </row>
    <row r="482">
      <c r="A482" s="80"/>
      <c r="C482" s="80"/>
    </row>
    <row r="483">
      <c r="A483" s="80"/>
      <c r="C483" s="80"/>
    </row>
    <row r="484">
      <c r="A484" s="80"/>
      <c r="C484" s="80"/>
    </row>
    <row r="485">
      <c r="A485" s="80"/>
      <c r="C485" s="80"/>
    </row>
    <row r="486">
      <c r="A486" s="80"/>
      <c r="C486" s="80"/>
    </row>
    <row r="487">
      <c r="A487" s="80"/>
      <c r="C487" s="80"/>
    </row>
    <row r="488">
      <c r="A488" s="80"/>
      <c r="C488" s="80"/>
    </row>
    <row r="489">
      <c r="A489" s="80"/>
      <c r="C489" s="80"/>
    </row>
    <row r="490">
      <c r="A490" s="80"/>
      <c r="C490" s="80"/>
    </row>
    <row r="491">
      <c r="A491" s="80"/>
      <c r="C491" s="80"/>
    </row>
    <row r="492">
      <c r="A492" s="80"/>
      <c r="C492" s="80"/>
    </row>
    <row r="493">
      <c r="A493" s="80"/>
      <c r="C493" s="80"/>
    </row>
    <row r="494">
      <c r="A494" s="80"/>
      <c r="C494" s="80"/>
    </row>
    <row r="495">
      <c r="A495" s="80"/>
      <c r="C495" s="80"/>
    </row>
    <row r="496">
      <c r="A496" s="80"/>
      <c r="C496" s="80"/>
    </row>
    <row r="497">
      <c r="A497" s="80"/>
      <c r="C497" s="80"/>
    </row>
    <row r="498">
      <c r="A498" s="80"/>
      <c r="C498" s="80"/>
    </row>
    <row r="499">
      <c r="A499" s="80"/>
      <c r="C499" s="80"/>
    </row>
    <row r="500">
      <c r="A500" s="80"/>
      <c r="C500" s="80"/>
    </row>
    <row r="501">
      <c r="A501" s="80"/>
      <c r="C501" s="80"/>
    </row>
    <row r="502">
      <c r="A502" s="80"/>
      <c r="C502" s="80"/>
    </row>
    <row r="503">
      <c r="A503" s="80"/>
      <c r="C503" s="80"/>
    </row>
    <row r="504">
      <c r="A504" s="80"/>
      <c r="C504" s="80"/>
    </row>
    <row r="505">
      <c r="A505" s="80"/>
      <c r="C505" s="80"/>
    </row>
    <row r="506">
      <c r="A506" s="80"/>
      <c r="C506" s="80"/>
    </row>
    <row r="507">
      <c r="A507" s="80"/>
      <c r="C507" s="80"/>
    </row>
    <row r="508">
      <c r="A508" s="80"/>
      <c r="C508" s="80"/>
    </row>
    <row r="509">
      <c r="A509" s="80"/>
      <c r="C509" s="80"/>
    </row>
    <row r="510">
      <c r="A510" s="80"/>
      <c r="C510" s="80"/>
    </row>
    <row r="511">
      <c r="A511" s="80"/>
      <c r="C511" s="80"/>
    </row>
    <row r="512">
      <c r="A512" s="80"/>
      <c r="C512" s="80"/>
    </row>
    <row r="513">
      <c r="A513" s="80"/>
      <c r="C513" s="80"/>
    </row>
    <row r="514">
      <c r="A514" s="80"/>
      <c r="C514" s="80"/>
    </row>
    <row r="515">
      <c r="A515" s="80"/>
      <c r="C515" s="80"/>
    </row>
    <row r="516">
      <c r="A516" s="80"/>
      <c r="C516" s="80"/>
    </row>
    <row r="517">
      <c r="A517" s="80"/>
      <c r="C517" s="80"/>
    </row>
    <row r="518">
      <c r="A518" s="80"/>
      <c r="C518" s="80"/>
    </row>
    <row r="519">
      <c r="A519" s="80"/>
      <c r="C519" s="80"/>
    </row>
    <row r="520">
      <c r="A520" s="80"/>
      <c r="C520" s="80"/>
    </row>
    <row r="521">
      <c r="A521" s="80"/>
      <c r="C521" s="80"/>
    </row>
    <row r="522">
      <c r="A522" s="80"/>
      <c r="C522" s="80"/>
    </row>
    <row r="523">
      <c r="A523" s="80"/>
      <c r="C523" s="80"/>
    </row>
    <row r="524">
      <c r="A524" s="80"/>
      <c r="C524" s="80"/>
    </row>
    <row r="525">
      <c r="A525" s="80"/>
      <c r="C525" s="80"/>
    </row>
    <row r="526">
      <c r="A526" s="80"/>
      <c r="C526" s="80"/>
    </row>
    <row r="527">
      <c r="A527" s="80"/>
      <c r="C527" s="80"/>
    </row>
    <row r="528">
      <c r="A528" s="80"/>
      <c r="C528" s="80"/>
    </row>
    <row r="529">
      <c r="A529" s="80"/>
      <c r="C529" s="80"/>
    </row>
    <row r="530">
      <c r="A530" s="80"/>
      <c r="C530" s="80"/>
    </row>
    <row r="531">
      <c r="A531" s="80"/>
      <c r="C531" s="80"/>
    </row>
    <row r="532">
      <c r="A532" s="80"/>
      <c r="C532" s="80"/>
    </row>
    <row r="533">
      <c r="A533" s="80"/>
      <c r="C533" s="80"/>
    </row>
    <row r="534">
      <c r="A534" s="80"/>
      <c r="C534" s="80"/>
    </row>
    <row r="535">
      <c r="A535" s="80"/>
      <c r="C535" s="80"/>
    </row>
    <row r="536">
      <c r="A536" s="80"/>
      <c r="C536" s="80"/>
    </row>
    <row r="537">
      <c r="A537" s="80"/>
      <c r="C537" s="80"/>
    </row>
    <row r="538">
      <c r="A538" s="80"/>
      <c r="C538" s="80"/>
    </row>
    <row r="539">
      <c r="A539" s="80"/>
      <c r="C539" s="80"/>
    </row>
    <row r="540">
      <c r="A540" s="80"/>
      <c r="C540" s="80"/>
    </row>
    <row r="541">
      <c r="A541" s="80"/>
      <c r="C541" s="80"/>
    </row>
    <row r="542">
      <c r="A542" s="80"/>
      <c r="C542" s="80"/>
    </row>
    <row r="543">
      <c r="A543" s="80"/>
      <c r="C543" s="80"/>
    </row>
    <row r="544">
      <c r="A544" s="80"/>
      <c r="C544" s="80"/>
    </row>
    <row r="545">
      <c r="A545" s="80"/>
      <c r="C545" s="80"/>
    </row>
    <row r="546">
      <c r="A546" s="80"/>
      <c r="C546" s="80"/>
    </row>
    <row r="547">
      <c r="A547" s="80"/>
      <c r="C547" s="80"/>
    </row>
    <row r="548">
      <c r="A548" s="80"/>
      <c r="C548" s="80"/>
    </row>
    <row r="549">
      <c r="A549" s="80"/>
      <c r="C549" s="80"/>
    </row>
    <row r="550">
      <c r="A550" s="80"/>
      <c r="C550" s="80"/>
    </row>
    <row r="551">
      <c r="A551" s="80"/>
      <c r="C551" s="80"/>
    </row>
    <row r="552">
      <c r="A552" s="80"/>
      <c r="C552" s="80"/>
    </row>
    <row r="553">
      <c r="A553" s="80"/>
      <c r="C553" s="80"/>
    </row>
    <row r="554">
      <c r="A554" s="80"/>
      <c r="C554" s="80"/>
    </row>
    <row r="555">
      <c r="A555" s="80"/>
      <c r="C555" s="80"/>
    </row>
    <row r="556">
      <c r="A556" s="80"/>
      <c r="C556" s="80"/>
    </row>
    <row r="557">
      <c r="A557" s="80"/>
      <c r="C557" s="80"/>
    </row>
    <row r="558">
      <c r="A558" s="80"/>
      <c r="C558" s="80"/>
    </row>
    <row r="559">
      <c r="A559" s="80"/>
      <c r="C559" s="80"/>
    </row>
    <row r="560">
      <c r="A560" s="80"/>
      <c r="C560" s="80"/>
    </row>
    <row r="561">
      <c r="A561" s="80"/>
      <c r="C561" s="80"/>
    </row>
    <row r="562">
      <c r="A562" s="80"/>
      <c r="C562" s="80"/>
    </row>
    <row r="563">
      <c r="A563" s="80"/>
      <c r="C563" s="80"/>
    </row>
    <row r="564">
      <c r="A564" s="80"/>
      <c r="C564" s="80"/>
    </row>
    <row r="565">
      <c r="A565" s="80"/>
      <c r="C565" s="80"/>
    </row>
    <row r="566">
      <c r="A566" s="80"/>
      <c r="C566" s="80"/>
    </row>
    <row r="567">
      <c r="A567" s="80"/>
      <c r="C567" s="80"/>
    </row>
    <row r="568">
      <c r="A568" s="80"/>
      <c r="C568" s="80"/>
    </row>
    <row r="569">
      <c r="A569" s="80"/>
      <c r="C569" s="80"/>
    </row>
    <row r="570">
      <c r="A570" s="80"/>
      <c r="C570" s="80"/>
    </row>
    <row r="571">
      <c r="A571" s="80"/>
      <c r="C571" s="80"/>
    </row>
    <row r="572">
      <c r="A572" s="80"/>
      <c r="C572" s="80"/>
    </row>
    <row r="573">
      <c r="A573" s="80"/>
      <c r="C573" s="80"/>
    </row>
    <row r="574">
      <c r="A574" s="80"/>
      <c r="C574" s="80"/>
    </row>
    <row r="575">
      <c r="A575" s="80"/>
      <c r="C575" s="80"/>
    </row>
    <row r="576">
      <c r="A576" s="80"/>
      <c r="C576" s="80"/>
    </row>
    <row r="577">
      <c r="A577" s="80"/>
      <c r="C577" s="80"/>
    </row>
    <row r="578">
      <c r="A578" s="80"/>
      <c r="C578" s="80"/>
    </row>
    <row r="579">
      <c r="A579" s="80"/>
      <c r="C579" s="80"/>
    </row>
    <row r="580">
      <c r="A580" s="80"/>
      <c r="C580" s="80"/>
    </row>
    <row r="581">
      <c r="A581" s="80"/>
      <c r="C581" s="80"/>
    </row>
    <row r="582">
      <c r="A582" s="80"/>
      <c r="C582" s="80"/>
    </row>
    <row r="583">
      <c r="A583" s="80"/>
      <c r="C583" s="80"/>
    </row>
    <row r="584">
      <c r="A584" s="80"/>
      <c r="C584" s="80"/>
    </row>
    <row r="585">
      <c r="A585" s="80"/>
      <c r="C585" s="80"/>
    </row>
    <row r="586">
      <c r="A586" s="80"/>
      <c r="C586" s="80"/>
    </row>
    <row r="587">
      <c r="A587" s="80"/>
      <c r="C587" s="80"/>
    </row>
    <row r="588">
      <c r="A588" s="80"/>
      <c r="C588" s="80"/>
    </row>
    <row r="589">
      <c r="A589" s="80"/>
      <c r="C589" s="80"/>
    </row>
    <row r="590">
      <c r="A590" s="80"/>
      <c r="C590" s="80"/>
    </row>
    <row r="591">
      <c r="A591" s="80"/>
      <c r="C591" s="80"/>
    </row>
    <row r="592">
      <c r="A592" s="80"/>
      <c r="C592" s="80"/>
    </row>
    <row r="593">
      <c r="A593" s="80"/>
      <c r="C593" s="80"/>
    </row>
    <row r="594">
      <c r="A594" s="80"/>
      <c r="C594" s="80"/>
    </row>
    <row r="595">
      <c r="A595" s="80"/>
      <c r="C595" s="80"/>
    </row>
    <row r="596">
      <c r="A596" s="80"/>
      <c r="C596" s="80"/>
    </row>
    <row r="597">
      <c r="A597" s="80"/>
      <c r="C597" s="80"/>
    </row>
    <row r="598">
      <c r="A598" s="80"/>
      <c r="C598" s="80"/>
    </row>
    <row r="599">
      <c r="A599" s="80"/>
      <c r="C599" s="80"/>
    </row>
    <row r="600">
      <c r="A600" s="80"/>
      <c r="C600" s="80"/>
    </row>
    <row r="601">
      <c r="A601" s="80"/>
      <c r="C601" s="80"/>
    </row>
    <row r="602">
      <c r="A602" s="80"/>
      <c r="C602" s="80"/>
    </row>
    <row r="603">
      <c r="A603" s="80"/>
      <c r="C603" s="80"/>
    </row>
    <row r="604">
      <c r="A604" s="80"/>
      <c r="C604" s="80"/>
    </row>
    <row r="605">
      <c r="A605" s="80"/>
      <c r="C605" s="80"/>
    </row>
    <row r="606">
      <c r="A606" s="80"/>
      <c r="C606" s="80"/>
    </row>
    <row r="607">
      <c r="A607" s="80"/>
      <c r="C607" s="80"/>
    </row>
    <row r="608">
      <c r="A608" s="80"/>
      <c r="C608" s="80"/>
    </row>
    <row r="609">
      <c r="A609" s="80"/>
      <c r="C609" s="80"/>
    </row>
    <row r="610">
      <c r="A610" s="80"/>
      <c r="C610" s="80"/>
    </row>
    <row r="611">
      <c r="A611" s="80"/>
      <c r="C611" s="80"/>
    </row>
    <row r="612">
      <c r="A612" s="80"/>
      <c r="C612" s="80"/>
    </row>
    <row r="613">
      <c r="A613" s="80"/>
      <c r="C613" s="80"/>
    </row>
    <row r="614">
      <c r="A614" s="80"/>
      <c r="C614" s="80"/>
    </row>
    <row r="615">
      <c r="A615" s="80"/>
      <c r="C615" s="80"/>
    </row>
    <row r="616">
      <c r="A616" s="80"/>
      <c r="C616" s="80"/>
    </row>
    <row r="617">
      <c r="A617" s="80"/>
      <c r="C617" s="80"/>
    </row>
    <row r="618">
      <c r="A618" s="80"/>
      <c r="C618" s="80"/>
    </row>
    <row r="619">
      <c r="A619" s="80"/>
      <c r="C619" s="80"/>
    </row>
    <row r="620">
      <c r="A620" s="80"/>
      <c r="C620" s="80"/>
    </row>
    <row r="621">
      <c r="A621" s="80"/>
      <c r="C621" s="80"/>
    </row>
    <row r="622">
      <c r="A622" s="80"/>
      <c r="C622" s="80"/>
    </row>
    <row r="623">
      <c r="A623" s="80"/>
      <c r="C623" s="80"/>
    </row>
    <row r="624">
      <c r="A624" s="80"/>
      <c r="C624" s="80"/>
    </row>
    <row r="625">
      <c r="A625" s="80"/>
      <c r="C625" s="80"/>
    </row>
    <row r="626">
      <c r="A626" s="80"/>
      <c r="C626" s="80"/>
    </row>
    <row r="627">
      <c r="A627" s="80"/>
      <c r="C627" s="80"/>
    </row>
    <row r="628">
      <c r="A628" s="80"/>
      <c r="C628" s="80"/>
    </row>
    <row r="629">
      <c r="A629" s="80"/>
      <c r="C629" s="80"/>
    </row>
    <row r="630">
      <c r="A630" s="80"/>
      <c r="C630" s="80"/>
    </row>
    <row r="631">
      <c r="A631" s="80"/>
      <c r="C631" s="80"/>
    </row>
    <row r="632">
      <c r="A632" s="80"/>
      <c r="C632" s="80"/>
    </row>
    <row r="633">
      <c r="A633" s="80"/>
      <c r="C633" s="80"/>
    </row>
    <row r="634">
      <c r="A634" s="80"/>
      <c r="C634" s="80"/>
    </row>
    <row r="635">
      <c r="A635" s="80"/>
      <c r="C635" s="80"/>
    </row>
    <row r="636">
      <c r="A636" s="80"/>
      <c r="C636" s="80"/>
    </row>
    <row r="637">
      <c r="A637" s="80"/>
      <c r="C637" s="80"/>
    </row>
    <row r="638">
      <c r="A638" s="80"/>
      <c r="C638" s="80"/>
    </row>
    <row r="639">
      <c r="A639" s="80"/>
      <c r="C639" s="80"/>
    </row>
    <row r="640">
      <c r="A640" s="80"/>
      <c r="C640" s="80"/>
    </row>
    <row r="641">
      <c r="A641" s="80"/>
      <c r="C641" s="80"/>
    </row>
    <row r="642">
      <c r="A642" s="80"/>
      <c r="C642" s="80"/>
    </row>
    <row r="643">
      <c r="A643" s="80"/>
      <c r="C643" s="80"/>
    </row>
    <row r="644">
      <c r="A644" s="80"/>
      <c r="C644" s="80"/>
    </row>
    <row r="645">
      <c r="A645" s="80"/>
      <c r="C645" s="80"/>
    </row>
    <row r="646">
      <c r="A646" s="80"/>
      <c r="C646" s="80"/>
    </row>
    <row r="647">
      <c r="A647" s="80"/>
      <c r="C647" s="80"/>
    </row>
    <row r="648">
      <c r="A648" s="80"/>
      <c r="C648" s="80"/>
    </row>
    <row r="649">
      <c r="A649" s="80"/>
      <c r="C649" s="80"/>
    </row>
    <row r="650">
      <c r="A650" s="80"/>
      <c r="C650" s="80"/>
    </row>
    <row r="651">
      <c r="A651" s="80"/>
      <c r="C651" s="80"/>
    </row>
    <row r="652">
      <c r="A652" s="80"/>
      <c r="C652" s="80"/>
    </row>
    <row r="653">
      <c r="A653" s="80"/>
      <c r="C653" s="80"/>
    </row>
    <row r="654">
      <c r="A654" s="80"/>
      <c r="C654" s="80"/>
    </row>
    <row r="655">
      <c r="A655" s="80"/>
      <c r="C655" s="80"/>
    </row>
    <row r="656">
      <c r="A656" s="80"/>
      <c r="C656" s="80"/>
    </row>
    <row r="657">
      <c r="A657" s="80"/>
      <c r="C657" s="80"/>
    </row>
    <row r="658">
      <c r="A658" s="80"/>
      <c r="C658" s="80"/>
    </row>
    <row r="659">
      <c r="A659" s="80"/>
      <c r="C659" s="80"/>
    </row>
    <row r="660">
      <c r="A660" s="80"/>
      <c r="C660" s="80"/>
    </row>
    <row r="661">
      <c r="A661" s="80"/>
      <c r="C661" s="80"/>
    </row>
    <row r="662">
      <c r="A662" s="80"/>
      <c r="C662" s="80"/>
    </row>
    <row r="663">
      <c r="A663" s="80"/>
      <c r="C663" s="80"/>
    </row>
    <row r="664">
      <c r="A664" s="80"/>
      <c r="C664" s="80"/>
    </row>
    <row r="665">
      <c r="A665" s="80"/>
      <c r="C665" s="80"/>
    </row>
    <row r="666">
      <c r="A666" s="80"/>
      <c r="C666" s="80"/>
    </row>
    <row r="667">
      <c r="A667" s="80"/>
      <c r="C667" s="80"/>
    </row>
    <row r="668">
      <c r="A668" s="80"/>
      <c r="C668" s="80"/>
    </row>
    <row r="669">
      <c r="A669" s="80"/>
      <c r="C669" s="80"/>
    </row>
    <row r="670">
      <c r="A670" s="80"/>
      <c r="C670" s="80"/>
    </row>
    <row r="671">
      <c r="A671" s="80"/>
      <c r="C671" s="80"/>
    </row>
    <row r="672">
      <c r="A672" s="80"/>
      <c r="C672" s="80"/>
    </row>
    <row r="673">
      <c r="A673" s="80"/>
      <c r="C673" s="80"/>
    </row>
    <row r="674">
      <c r="A674" s="80"/>
      <c r="C674" s="80"/>
    </row>
    <row r="675">
      <c r="A675" s="80"/>
      <c r="C675" s="80"/>
    </row>
    <row r="676">
      <c r="A676" s="80"/>
      <c r="C676" s="80"/>
    </row>
    <row r="677">
      <c r="A677" s="80"/>
      <c r="C677" s="80"/>
    </row>
    <row r="678">
      <c r="A678" s="80"/>
      <c r="C678" s="80"/>
    </row>
    <row r="679">
      <c r="A679" s="80"/>
      <c r="C679" s="80"/>
    </row>
    <row r="680">
      <c r="A680" s="80"/>
      <c r="C680" s="80"/>
    </row>
    <row r="681">
      <c r="A681" s="80"/>
      <c r="C681" s="80"/>
    </row>
    <row r="682">
      <c r="A682" s="80"/>
      <c r="C682" s="80"/>
    </row>
    <row r="683">
      <c r="A683" s="80"/>
      <c r="C683" s="80"/>
    </row>
    <row r="684">
      <c r="A684" s="80"/>
      <c r="C684" s="80"/>
    </row>
    <row r="685">
      <c r="A685" s="80"/>
      <c r="C685" s="80"/>
    </row>
    <row r="686">
      <c r="A686" s="80"/>
      <c r="C686" s="80"/>
    </row>
    <row r="687">
      <c r="A687" s="80"/>
      <c r="C687" s="80"/>
    </row>
    <row r="688">
      <c r="A688" s="80"/>
      <c r="C688" s="80"/>
    </row>
    <row r="689">
      <c r="A689" s="80"/>
      <c r="C689" s="80"/>
    </row>
    <row r="690">
      <c r="A690" s="80"/>
      <c r="C690" s="80"/>
    </row>
    <row r="691">
      <c r="A691" s="80"/>
      <c r="C691" s="80"/>
    </row>
    <row r="692">
      <c r="A692" s="80"/>
      <c r="C692" s="80"/>
    </row>
    <row r="693">
      <c r="A693" s="80"/>
      <c r="C693" s="80"/>
    </row>
    <row r="694">
      <c r="A694" s="80"/>
      <c r="C694" s="80"/>
    </row>
    <row r="695">
      <c r="A695" s="80"/>
      <c r="C695" s="80"/>
    </row>
    <row r="696">
      <c r="A696" s="80"/>
      <c r="C696" s="80"/>
    </row>
    <row r="697">
      <c r="A697" s="80"/>
      <c r="C697" s="80"/>
    </row>
    <row r="698">
      <c r="A698" s="80"/>
      <c r="C698" s="80"/>
    </row>
    <row r="699">
      <c r="A699" s="80"/>
      <c r="C699" s="80"/>
    </row>
    <row r="700">
      <c r="A700" s="80"/>
      <c r="C700" s="80"/>
    </row>
    <row r="701">
      <c r="A701" s="80"/>
      <c r="C701" s="80"/>
    </row>
    <row r="702">
      <c r="A702" s="80"/>
      <c r="C702" s="80"/>
    </row>
    <row r="703">
      <c r="A703" s="80"/>
      <c r="C703" s="80"/>
    </row>
    <row r="704">
      <c r="A704" s="80"/>
      <c r="C704" s="80"/>
    </row>
    <row r="705">
      <c r="A705" s="80"/>
      <c r="C705" s="80"/>
    </row>
    <row r="706">
      <c r="A706" s="80"/>
      <c r="C706" s="80"/>
    </row>
    <row r="707">
      <c r="A707" s="80"/>
      <c r="C707" s="80"/>
    </row>
    <row r="708">
      <c r="A708" s="80"/>
      <c r="C708" s="80"/>
    </row>
    <row r="709">
      <c r="A709" s="80"/>
      <c r="C709" s="80"/>
    </row>
    <row r="710">
      <c r="A710" s="80"/>
      <c r="C710" s="80"/>
    </row>
    <row r="711">
      <c r="A711" s="80"/>
      <c r="C711" s="80"/>
    </row>
    <row r="712">
      <c r="A712" s="80"/>
      <c r="C712" s="80"/>
    </row>
    <row r="713">
      <c r="A713" s="80"/>
      <c r="C713" s="80"/>
    </row>
    <row r="714">
      <c r="A714" s="80"/>
      <c r="C714" s="80"/>
    </row>
    <row r="715">
      <c r="A715" s="80"/>
      <c r="C715" s="80"/>
    </row>
    <row r="716">
      <c r="A716" s="80"/>
      <c r="C716" s="80"/>
    </row>
    <row r="717">
      <c r="A717" s="80"/>
      <c r="C717" s="80"/>
    </row>
    <row r="718">
      <c r="A718" s="80"/>
      <c r="C718" s="80"/>
    </row>
    <row r="719">
      <c r="A719" s="80"/>
      <c r="C719" s="80"/>
    </row>
    <row r="720">
      <c r="A720" s="80"/>
      <c r="C720" s="80"/>
    </row>
    <row r="721">
      <c r="A721" s="80"/>
      <c r="C721" s="80"/>
    </row>
    <row r="722">
      <c r="A722" s="80"/>
      <c r="C722" s="80"/>
    </row>
    <row r="723">
      <c r="A723" s="80"/>
      <c r="C723" s="80"/>
    </row>
    <row r="724">
      <c r="A724" s="80"/>
      <c r="C724" s="80"/>
    </row>
    <row r="725">
      <c r="A725" s="80"/>
      <c r="C725" s="80"/>
    </row>
    <row r="726">
      <c r="A726" s="80"/>
      <c r="C726" s="80"/>
    </row>
    <row r="727">
      <c r="A727" s="80"/>
      <c r="C727" s="80"/>
    </row>
    <row r="728">
      <c r="A728" s="80"/>
      <c r="C728" s="80"/>
    </row>
    <row r="729">
      <c r="A729" s="80"/>
      <c r="C729" s="80"/>
    </row>
    <row r="730">
      <c r="A730" s="80"/>
      <c r="C730" s="80"/>
    </row>
    <row r="731">
      <c r="A731" s="80"/>
      <c r="C731" s="80"/>
    </row>
    <row r="732">
      <c r="A732" s="80"/>
      <c r="C732" s="80"/>
    </row>
    <row r="733">
      <c r="A733" s="80"/>
      <c r="C733" s="80"/>
    </row>
    <row r="734">
      <c r="A734" s="80"/>
      <c r="C734" s="80"/>
    </row>
    <row r="735">
      <c r="A735" s="80"/>
      <c r="C735" s="80"/>
    </row>
    <row r="736">
      <c r="A736" s="80"/>
      <c r="C736" s="80"/>
    </row>
    <row r="737">
      <c r="A737" s="80"/>
      <c r="C737" s="80"/>
    </row>
    <row r="738">
      <c r="A738" s="80"/>
      <c r="C738" s="80"/>
    </row>
    <row r="739">
      <c r="A739" s="80"/>
      <c r="C739" s="80"/>
    </row>
    <row r="740">
      <c r="A740" s="80"/>
      <c r="C740" s="80"/>
    </row>
    <row r="741">
      <c r="A741" s="80"/>
      <c r="C741" s="80"/>
    </row>
    <row r="742">
      <c r="A742" s="80"/>
      <c r="C742" s="80"/>
    </row>
    <row r="743">
      <c r="A743" s="80"/>
      <c r="C743" s="80"/>
    </row>
    <row r="744">
      <c r="A744" s="80"/>
      <c r="C744" s="80"/>
    </row>
    <row r="745">
      <c r="A745" s="80"/>
      <c r="C745" s="80"/>
    </row>
    <row r="746">
      <c r="A746" s="80"/>
      <c r="C746" s="80"/>
    </row>
    <row r="747">
      <c r="A747" s="80"/>
      <c r="C747" s="80"/>
    </row>
    <row r="748">
      <c r="A748" s="80"/>
      <c r="C748" s="80"/>
    </row>
    <row r="749">
      <c r="A749" s="80"/>
      <c r="C749" s="80"/>
    </row>
    <row r="750">
      <c r="A750" s="80"/>
      <c r="C750" s="80"/>
    </row>
    <row r="751">
      <c r="A751" s="80"/>
      <c r="C751" s="80"/>
    </row>
    <row r="752">
      <c r="A752" s="80"/>
      <c r="C752" s="80"/>
    </row>
    <row r="753">
      <c r="A753" s="80"/>
      <c r="C753" s="80"/>
    </row>
    <row r="754">
      <c r="A754" s="80"/>
      <c r="C754" s="80"/>
    </row>
    <row r="755">
      <c r="A755" s="80"/>
      <c r="C755" s="80"/>
    </row>
    <row r="756">
      <c r="A756" s="80"/>
      <c r="C756" s="80"/>
    </row>
    <row r="757">
      <c r="A757" s="80"/>
      <c r="C757" s="80"/>
    </row>
    <row r="758">
      <c r="A758" s="80"/>
      <c r="C758" s="80"/>
    </row>
    <row r="759">
      <c r="A759" s="80"/>
      <c r="C759" s="80"/>
    </row>
    <row r="760">
      <c r="A760" s="80"/>
      <c r="C760" s="80"/>
    </row>
    <row r="761">
      <c r="A761" s="80"/>
      <c r="C761" s="80"/>
    </row>
    <row r="762">
      <c r="A762" s="80"/>
      <c r="C762" s="80"/>
    </row>
    <row r="763">
      <c r="A763" s="80"/>
      <c r="C763" s="80"/>
    </row>
    <row r="764">
      <c r="A764" s="80"/>
      <c r="C764" s="80"/>
    </row>
    <row r="765">
      <c r="A765" s="80"/>
      <c r="C765" s="80"/>
    </row>
    <row r="766">
      <c r="A766" s="80"/>
      <c r="C766" s="80"/>
    </row>
    <row r="767">
      <c r="A767" s="80"/>
      <c r="C767" s="80"/>
    </row>
    <row r="768">
      <c r="A768" s="80"/>
      <c r="C768" s="80"/>
    </row>
    <row r="769">
      <c r="A769" s="80"/>
      <c r="C769" s="80"/>
    </row>
    <row r="770">
      <c r="A770" s="80"/>
      <c r="C770" s="80"/>
    </row>
    <row r="771">
      <c r="A771" s="80"/>
      <c r="C771" s="80"/>
    </row>
    <row r="772">
      <c r="A772" s="80"/>
      <c r="C772" s="80"/>
    </row>
    <row r="773">
      <c r="A773" s="80"/>
      <c r="C773" s="80"/>
    </row>
    <row r="774">
      <c r="A774" s="80"/>
      <c r="C774" s="80"/>
    </row>
    <row r="775">
      <c r="A775" s="80"/>
      <c r="C775" s="80"/>
    </row>
    <row r="776">
      <c r="A776" s="80"/>
      <c r="C776" s="80"/>
    </row>
    <row r="777">
      <c r="A777" s="80"/>
      <c r="C777" s="80"/>
    </row>
    <row r="778">
      <c r="A778" s="80"/>
      <c r="C778" s="80"/>
    </row>
    <row r="779">
      <c r="A779" s="80"/>
      <c r="C779" s="80"/>
    </row>
    <row r="780">
      <c r="A780" s="80"/>
      <c r="C780" s="80"/>
    </row>
    <row r="781">
      <c r="A781" s="80"/>
      <c r="C781" s="80"/>
    </row>
    <row r="782">
      <c r="A782" s="80"/>
      <c r="C782" s="80"/>
    </row>
    <row r="783">
      <c r="A783" s="80"/>
      <c r="C783" s="80"/>
    </row>
    <row r="784">
      <c r="A784" s="80"/>
      <c r="C784" s="80"/>
    </row>
    <row r="785">
      <c r="A785" s="80"/>
      <c r="C785" s="80"/>
    </row>
    <row r="786">
      <c r="A786" s="80"/>
      <c r="C786" s="80"/>
    </row>
    <row r="787">
      <c r="A787" s="80"/>
      <c r="C787" s="80"/>
    </row>
    <row r="788">
      <c r="A788" s="80"/>
      <c r="C788" s="80"/>
    </row>
    <row r="789">
      <c r="A789" s="80"/>
      <c r="C789" s="80"/>
    </row>
    <row r="790">
      <c r="A790" s="80"/>
      <c r="C790" s="80"/>
    </row>
    <row r="791">
      <c r="A791" s="80"/>
      <c r="C791" s="80"/>
    </row>
    <row r="792">
      <c r="A792" s="80"/>
      <c r="C792" s="80"/>
    </row>
    <row r="793">
      <c r="A793" s="80"/>
      <c r="C793" s="80"/>
    </row>
    <row r="794">
      <c r="A794" s="80"/>
      <c r="C794" s="80"/>
    </row>
    <row r="795">
      <c r="A795" s="80"/>
      <c r="C795" s="80"/>
    </row>
    <row r="796">
      <c r="A796" s="80"/>
      <c r="C796" s="80"/>
    </row>
    <row r="797">
      <c r="A797" s="80"/>
      <c r="C797" s="80"/>
    </row>
    <row r="798">
      <c r="A798" s="80"/>
      <c r="C798" s="80"/>
    </row>
    <row r="799">
      <c r="A799" s="80"/>
      <c r="C799" s="80"/>
    </row>
    <row r="800">
      <c r="A800" s="80"/>
      <c r="C800" s="80"/>
    </row>
    <row r="801">
      <c r="A801" s="80"/>
      <c r="C801" s="80"/>
    </row>
    <row r="802">
      <c r="A802" s="80"/>
      <c r="C802" s="80"/>
    </row>
    <row r="803">
      <c r="A803" s="80"/>
      <c r="C803" s="80"/>
    </row>
    <row r="804">
      <c r="A804" s="80"/>
      <c r="C804" s="80"/>
    </row>
    <row r="805">
      <c r="A805" s="80"/>
      <c r="C805" s="80"/>
    </row>
    <row r="806">
      <c r="A806" s="80"/>
      <c r="C806" s="80"/>
    </row>
    <row r="807">
      <c r="A807" s="80"/>
      <c r="C807" s="80"/>
    </row>
    <row r="808">
      <c r="A808" s="80"/>
      <c r="C808" s="80"/>
    </row>
    <row r="809">
      <c r="A809" s="80"/>
      <c r="C809" s="80"/>
    </row>
    <row r="810">
      <c r="A810" s="80"/>
      <c r="C810" s="80"/>
    </row>
    <row r="811">
      <c r="A811" s="80"/>
      <c r="C811" s="80"/>
    </row>
    <row r="812">
      <c r="A812" s="80"/>
      <c r="C812" s="80"/>
    </row>
    <row r="813">
      <c r="A813" s="80"/>
      <c r="C813" s="80"/>
    </row>
    <row r="814">
      <c r="A814" s="80"/>
      <c r="C814" s="80"/>
    </row>
    <row r="815">
      <c r="A815" s="80"/>
      <c r="C815" s="80"/>
    </row>
    <row r="816">
      <c r="A816" s="80"/>
      <c r="C816" s="80"/>
    </row>
    <row r="817">
      <c r="A817" s="80"/>
      <c r="C817" s="80"/>
    </row>
    <row r="818">
      <c r="A818" s="80"/>
      <c r="C818" s="80"/>
    </row>
    <row r="819">
      <c r="A819" s="80"/>
      <c r="C819" s="80"/>
    </row>
    <row r="820">
      <c r="A820" s="80"/>
      <c r="C820" s="80"/>
    </row>
    <row r="821">
      <c r="A821" s="80"/>
      <c r="C821" s="80"/>
    </row>
    <row r="822">
      <c r="A822" s="80"/>
      <c r="C822" s="80"/>
    </row>
    <row r="823">
      <c r="A823" s="80"/>
      <c r="C823" s="80"/>
    </row>
    <row r="824">
      <c r="A824" s="80"/>
      <c r="C824" s="80"/>
    </row>
    <row r="825">
      <c r="A825" s="80"/>
      <c r="C825" s="80"/>
    </row>
    <row r="826">
      <c r="A826" s="80"/>
      <c r="C826" s="80"/>
    </row>
    <row r="827">
      <c r="A827" s="80"/>
      <c r="C827" s="80"/>
    </row>
    <row r="828">
      <c r="A828" s="80"/>
      <c r="C828" s="80"/>
    </row>
    <row r="829">
      <c r="A829" s="80"/>
      <c r="C829" s="80"/>
    </row>
    <row r="830">
      <c r="A830" s="80"/>
      <c r="C830" s="80"/>
    </row>
    <row r="831">
      <c r="A831" s="80"/>
      <c r="C831" s="80"/>
    </row>
    <row r="832">
      <c r="A832" s="80"/>
      <c r="C832" s="80"/>
    </row>
    <row r="833">
      <c r="A833" s="80"/>
      <c r="C833" s="80"/>
    </row>
    <row r="834">
      <c r="A834" s="80"/>
      <c r="C834" s="80"/>
    </row>
    <row r="835">
      <c r="A835" s="80"/>
      <c r="C835" s="80"/>
    </row>
    <row r="836">
      <c r="A836" s="80"/>
      <c r="C836" s="80"/>
    </row>
    <row r="837">
      <c r="A837" s="80"/>
      <c r="C837" s="80"/>
    </row>
    <row r="838">
      <c r="A838" s="80"/>
      <c r="C838" s="80"/>
    </row>
    <row r="839">
      <c r="A839" s="80"/>
      <c r="C839" s="80"/>
    </row>
    <row r="840">
      <c r="A840" s="80"/>
      <c r="C840" s="80"/>
    </row>
    <row r="841">
      <c r="A841" s="80"/>
      <c r="C841" s="80"/>
    </row>
    <row r="842">
      <c r="A842" s="80"/>
      <c r="C842" s="80"/>
    </row>
    <row r="843">
      <c r="A843" s="80"/>
      <c r="C843" s="80"/>
    </row>
    <row r="844">
      <c r="A844" s="80"/>
      <c r="C844" s="80"/>
    </row>
    <row r="845">
      <c r="A845" s="80"/>
      <c r="C845" s="80"/>
    </row>
    <row r="846">
      <c r="A846" s="80"/>
      <c r="C846" s="80"/>
    </row>
    <row r="847">
      <c r="A847" s="80"/>
      <c r="C847" s="80"/>
    </row>
    <row r="848">
      <c r="A848" s="80"/>
      <c r="C848" s="80"/>
    </row>
    <row r="849">
      <c r="A849" s="80"/>
      <c r="C849" s="80"/>
    </row>
    <row r="850">
      <c r="A850" s="80"/>
      <c r="C850" s="80"/>
    </row>
    <row r="851">
      <c r="A851" s="80"/>
      <c r="C851" s="80"/>
    </row>
    <row r="852">
      <c r="A852" s="80"/>
      <c r="C852" s="80"/>
    </row>
    <row r="853">
      <c r="A853" s="80"/>
      <c r="C853" s="80"/>
    </row>
    <row r="854">
      <c r="A854" s="80"/>
      <c r="C854" s="80"/>
    </row>
    <row r="855">
      <c r="A855" s="80"/>
      <c r="C855" s="80"/>
    </row>
    <row r="856">
      <c r="A856" s="80"/>
      <c r="C856" s="80"/>
    </row>
    <row r="857">
      <c r="A857" s="80"/>
      <c r="C857" s="80"/>
    </row>
    <row r="858">
      <c r="A858" s="80"/>
      <c r="C858" s="80"/>
    </row>
    <row r="859">
      <c r="A859" s="80"/>
      <c r="C859" s="80"/>
    </row>
    <row r="860">
      <c r="A860" s="80"/>
      <c r="C860" s="80"/>
    </row>
    <row r="861">
      <c r="A861" s="80"/>
      <c r="C861" s="80"/>
    </row>
    <row r="862">
      <c r="A862" s="80"/>
      <c r="C862" s="80"/>
    </row>
    <row r="863">
      <c r="A863" s="80"/>
      <c r="C863" s="80"/>
    </row>
    <row r="864">
      <c r="A864" s="80"/>
      <c r="C864" s="80"/>
    </row>
    <row r="865">
      <c r="A865" s="80"/>
      <c r="C865" s="80"/>
    </row>
    <row r="866">
      <c r="A866" s="80"/>
      <c r="C866" s="80"/>
    </row>
    <row r="867">
      <c r="A867" s="80"/>
      <c r="C867" s="80"/>
    </row>
    <row r="868">
      <c r="A868" s="80"/>
      <c r="C868" s="80"/>
    </row>
    <row r="869">
      <c r="A869" s="80"/>
      <c r="C869" s="80"/>
    </row>
    <row r="870">
      <c r="A870" s="80"/>
      <c r="C870" s="80"/>
    </row>
    <row r="871">
      <c r="A871" s="80"/>
      <c r="C871" s="80"/>
    </row>
    <row r="872">
      <c r="A872" s="80"/>
      <c r="C872" s="80"/>
    </row>
    <row r="873">
      <c r="A873" s="80"/>
      <c r="C873" s="80"/>
    </row>
    <row r="874">
      <c r="A874" s="80"/>
      <c r="C874" s="80"/>
    </row>
    <row r="875">
      <c r="A875" s="80"/>
      <c r="C875" s="80"/>
    </row>
    <row r="876">
      <c r="A876" s="80"/>
      <c r="C876" s="80"/>
    </row>
    <row r="877">
      <c r="A877" s="80"/>
      <c r="C877" s="80"/>
    </row>
    <row r="878">
      <c r="A878" s="80"/>
      <c r="C878" s="80"/>
    </row>
    <row r="879">
      <c r="A879" s="80"/>
      <c r="C879" s="80"/>
    </row>
    <row r="880">
      <c r="A880" s="80"/>
      <c r="C880" s="80"/>
    </row>
    <row r="881">
      <c r="A881" s="80"/>
      <c r="C881" s="80"/>
    </row>
    <row r="882">
      <c r="A882" s="80"/>
      <c r="C882" s="80"/>
    </row>
    <row r="883">
      <c r="A883" s="80"/>
      <c r="C883" s="80"/>
    </row>
    <row r="884">
      <c r="A884" s="80"/>
      <c r="C884" s="80"/>
    </row>
    <row r="885">
      <c r="A885" s="80"/>
      <c r="C885" s="80"/>
    </row>
    <row r="886">
      <c r="A886" s="80"/>
      <c r="C886" s="80"/>
    </row>
    <row r="887">
      <c r="A887" s="80"/>
      <c r="C887" s="80"/>
    </row>
    <row r="888">
      <c r="A888" s="80"/>
      <c r="C888" s="80"/>
    </row>
    <row r="889">
      <c r="A889" s="80"/>
      <c r="C889" s="80"/>
    </row>
    <row r="890">
      <c r="A890" s="80"/>
      <c r="C890" s="80"/>
    </row>
    <row r="891">
      <c r="A891" s="80"/>
      <c r="C891" s="80"/>
    </row>
    <row r="892">
      <c r="A892" s="80"/>
      <c r="C892" s="80"/>
    </row>
    <row r="893">
      <c r="A893" s="80"/>
      <c r="C893" s="80"/>
    </row>
    <row r="894">
      <c r="A894" s="80"/>
      <c r="C894" s="80"/>
    </row>
    <row r="895">
      <c r="A895" s="80"/>
      <c r="C895" s="80"/>
    </row>
    <row r="896">
      <c r="A896" s="80"/>
      <c r="C896" s="80"/>
    </row>
    <row r="897">
      <c r="A897" s="80"/>
      <c r="C897" s="80"/>
    </row>
    <row r="898">
      <c r="A898" s="80"/>
      <c r="C898" s="80"/>
    </row>
    <row r="899">
      <c r="A899" s="80"/>
      <c r="C899" s="80"/>
    </row>
    <row r="900">
      <c r="A900" s="80"/>
      <c r="C900" s="80"/>
    </row>
    <row r="901">
      <c r="A901" s="80"/>
      <c r="C901" s="80"/>
    </row>
    <row r="902">
      <c r="A902" s="80"/>
      <c r="C902" s="80"/>
    </row>
    <row r="903">
      <c r="A903" s="80"/>
      <c r="C903" s="80"/>
    </row>
    <row r="904">
      <c r="A904" s="80"/>
      <c r="C904" s="80"/>
    </row>
    <row r="905">
      <c r="A905" s="80"/>
      <c r="C905" s="80"/>
    </row>
    <row r="906">
      <c r="A906" s="80"/>
      <c r="C906" s="80"/>
    </row>
    <row r="907">
      <c r="A907" s="80"/>
      <c r="C907" s="80"/>
    </row>
    <row r="908">
      <c r="A908" s="80"/>
      <c r="C908" s="80"/>
    </row>
    <row r="909">
      <c r="A909" s="80"/>
      <c r="C909" s="80"/>
    </row>
    <row r="910">
      <c r="A910" s="80"/>
      <c r="C910" s="80"/>
    </row>
    <row r="911">
      <c r="A911" s="80"/>
      <c r="C911" s="80"/>
    </row>
    <row r="912">
      <c r="A912" s="80"/>
      <c r="C912" s="80"/>
    </row>
    <row r="913">
      <c r="A913" s="80"/>
      <c r="C913" s="80"/>
    </row>
    <row r="914">
      <c r="A914" s="80"/>
      <c r="C914" s="80"/>
    </row>
    <row r="915">
      <c r="A915" s="80"/>
      <c r="C915" s="80"/>
    </row>
    <row r="916">
      <c r="A916" s="80"/>
      <c r="C916" s="80"/>
    </row>
    <row r="917">
      <c r="A917" s="80"/>
      <c r="C917" s="80"/>
    </row>
    <row r="918">
      <c r="A918" s="80"/>
      <c r="C918" s="80"/>
    </row>
    <row r="919">
      <c r="A919" s="80"/>
      <c r="C919" s="80"/>
    </row>
    <row r="920">
      <c r="A920" s="80"/>
      <c r="C920" s="80"/>
    </row>
    <row r="921">
      <c r="A921" s="80"/>
      <c r="C921" s="80"/>
    </row>
    <row r="922">
      <c r="A922" s="80"/>
      <c r="C922" s="80"/>
    </row>
    <row r="923">
      <c r="A923" s="80"/>
      <c r="C923" s="80"/>
    </row>
    <row r="924">
      <c r="A924" s="80"/>
      <c r="C924" s="80"/>
    </row>
    <row r="925">
      <c r="A925" s="80"/>
      <c r="C925" s="80"/>
    </row>
    <row r="926">
      <c r="A926" s="80"/>
      <c r="C926" s="80"/>
    </row>
    <row r="927">
      <c r="A927" s="80"/>
      <c r="C927" s="80"/>
    </row>
    <row r="928">
      <c r="A928" s="80"/>
      <c r="C928" s="80"/>
    </row>
    <row r="929">
      <c r="A929" s="80"/>
      <c r="C929" s="80"/>
    </row>
    <row r="930">
      <c r="A930" s="80"/>
      <c r="C930" s="80"/>
    </row>
    <row r="931">
      <c r="A931" s="80"/>
      <c r="C931" s="80"/>
    </row>
    <row r="932">
      <c r="A932" s="80"/>
      <c r="C932" s="80"/>
    </row>
    <row r="933">
      <c r="A933" s="80"/>
      <c r="C933" s="80"/>
    </row>
    <row r="934">
      <c r="A934" s="80"/>
      <c r="C934" s="80"/>
    </row>
    <row r="935">
      <c r="A935" s="80"/>
      <c r="C935" s="80"/>
    </row>
    <row r="936">
      <c r="A936" s="80"/>
      <c r="C936" s="80"/>
    </row>
    <row r="937">
      <c r="A937" s="80"/>
      <c r="C937" s="80"/>
    </row>
    <row r="938">
      <c r="A938" s="80"/>
      <c r="C938" s="80"/>
    </row>
    <row r="939">
      <c r="A939" s="80"/>
      <c r="C939" s="80"/>
    </row>
    <row r="940">
      <c r="A940" s="80"/>
      <c r="C940" s="80"/>
    </row>
    <row r="941">
      <c r="A941" s="80"/>
      <c r="C941" s="80"/>
    </row>
    <row r="942">
      <c r="A942" s="80"/>
      <c r="C942" s="80"/>
    </row>
    <row r="943">
      <c r="A943" s="80"/>
      <c r="C943" s="80"/>
    </row>
    <row r="944">
      <c r="A944" s="80"/>
      <c r="C944" s="80"/>
    </row>
    <row r="945">
      <c r="A945" s="80"/>
      <c r="C945" s="80"/>
    </row>
    <row r="946">
      <c r="A946" s="80"/>
      <c r="C946" s="80"/>
    </row>
    <row r="947">
      <c r="A947" s="80"/>
      <c r="C947" s="80"/>
    </row>
    <row r="948">
      <c r="A948" s="80"/>
      <c r="C948" s="80"/>
    </row>
    <row r="949">
      <c r="A949" s="80"/>
      <c r="C949" s="80"/>
    </row>
    <row r="950">
      <c r="A950" s="80"/>
      <c r="C950" s="80"/>
    </row>
    <row r="951">
      <c r="A951" s="80"/>
      <c r="C951" s="80"/>
    </row>
    <row r="952">
      <c r="A952" s="80"/>
      <c r="C952" s="80"/>
    </row>
    <row r="953">
      <c r="A953" s="80"/>
      <c r="C953" s="80"/>
    </row>
    <row r="954">
      <c r="A954" s="80"/>
      <c r="C954" s="80"/>
    </row>
    <row r="955">
      <c r="A955" s="80"/>
      <c r="C955" s="80"/>
    </row>
    <row r="956">
      <c r="A956" s="80"/>
      <c r="C956" s="80"/>
    </row>
    <row r="957">
      <c r="A957" s="80"/>
      <c r="C957" s="80"/>
    </row>
    <row r="958">
      <c r="A958" s="80"/>
      <c r="C958" s="80"/>
    </row>
    <row r="959">
      <c r="A959" s="80"/>
      <c r="C959" s="80"/>
    </row>
    <row r="960">
      <c r="A960" s="80"/>
      <c r="C960" s="80"/>
    </row>
    <row r="961">
      <c r="A961" s="80"/>
      <c r="C961" s="80"/>
    </row>
    <row r="962">
      <c r="A962" s="80"/>
      <c r="C962" s="80"/>
    </row>
    <row r="963">
      <c r="A963" s="80"/>
      <c r="C963" s="80"/>
    </row>
    <row r="964">
      <c r="A964" s="80"/>
      <c r="C964" s="80"/>
    </row>
    <row r="965">
      <c r="A965" s="80"/>
      <c r="C965" s="80"/>
    </row>
    <row r="966">
      <c r="A966" s="80"/>
      <c r="C966" s="80"/>
    </row>
    <row r="967">
      <c r="A967" s="80"/>
      <c r="C967" s="80"/>
    </row>
    <row r="968">
      <c r="A968" s="80"/>
      <c r="C968" s="80"/>
    </row>
    <row r="969">
      <c r="A969" s="80"/>
      <c r="C969" s="80"/>
    </row>
    <row r="970">
      <c r="A970" s="80"/>
      <c r="C970" s="80"/>
    </row>
    <row r="971">
      <c r="A971" s="80"/>
      <c r="C971" s="80"/>
    </row>
    <row r="972">
      <c r="A972" s="80"/>
      <c r="C972" s="80"/>
    </row>
    <row r="973">
      <c r="A973" s="80"/>
      <c r="C973" s="80"/>
    </row>
    <row r="974">
      <c r="A974" s="80"/>
      <c r="C974" s="80"/>
    </row>
    <row r="975">
      <c r="A975" s="80"/>
      <c r="C975" s="80"/>
    </row>
    <row r="976">
      <c r="A976" s="80"/>
      <c r="C976" s="80"/>
    </row>
    <row r="977">
      <c r="A977" s="80"/>
      <c r="C977" s="80"/>
    </row>
    <row r="978">
      <c r="A978" s="80"/>
      <c r="C978" s="80"/>
    </row>
    <row r="979">
      <c r="A979" s="80"/>
      <c r="C979" s="80"/>
    </row>
    <row r="980">
      <c r="A980" s="80"/>
      <c r="C980" s="80"/>
    </row>
    <row r="981">
      <c r="A981" s="80"/>
      <c r="C981" s="80"/>
    </row>
    <row r="982">
      <c r="A982" s="80"/>
      <c r="C982" s="80"/>
    </row>
    <row r="983">
      <c r="A983" s="80"/>
      <c r="C983" s="80"/>
    </row>
    <row r="984">
      <c r="A984" s="80"/>
      <c r="C984" s="80"/>
    </row>
    <row r="985">
      <c r="A985" s="80"/>
      <c r="C985" s="80"/>
    </row>
    <row r="986">
      <c r="A986" s="80"/>
      <c r="C986" s="80"/>
    </row>
    <row r="987">
      <c r="A987" s="80"/>
      <c r="C987" s="80"/>
    </row>
    <row r="988">
      <c r="A988" s="80"/>
      <c r="C988" s="80"/>
    </row>
    <row r="989">
      <c r="A989" s="80"/>
      <c r="C989" s="80"/>
    </row>
    <row r="990">
      <c r="A990" s="80"/>
      <c r="C990" s="80"/>
    </row>
    <row r="991">
      <c r="A991" s="80"/>
      <c r="C991" s="80"/>
    </row>
    <row r="992">
      <c r="A992" s="80"/>
      <c r="C992" s="80"/>
    </row>
    <row r="993">
      <c r="A993" s="80"/>
      <c r="C993" s="80"/>
    </row>
    <row r="994">
      <c r="A994" s="80"/>
      <c r="C994" s="80"/>
    </row>
    <row r="995">
      <c r="A995" s="80"/>
      <c r="C995" s="80"/>
    </row>
    <row r="996">
      <c r="A996" s="80"/>
      <c r="C996" s="80"/>
    </row>
    <row r="997">
      <c r="A997" s="80"/>
      <c r="C997" s="80"/>
    </row>
    <row r="998">
      <c r="A998" s="80"/>
      <c r="C998" s="80"/>
    </row>
    <row r="999">
      <c r="A999" s="80"/>
      <c r="C999" s="80"/>
    </row>
    <row r="1000">
      <c r="A1000" s="80"/>
      <c r="C1000" s="80"/>
    </row>
    <row r="1001">
      <c r="A1001" s="80"/>
      <c r="C1001" s="80"/>
    </row>
  </sheetData>
  <mergeCells count="3">
    <mergeCell ref="C1:K1"/>
    <mergeCell ref="L1:S1"/>
    <mergeCell ref="T1:Y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8" width="17.38"/>
    <col customWidth="1" min="13" max="13" width="12.13"/>
    <col customWidth="1" min="14" max="14" width="13.38"/>
    <col customWidth="1" min="16" max="16" width="16.13"/>
    <col customWidth="1" min="17" max="17" width="15.13"/>
  </cols>
  <sheetData>
    <row r="1">
      <c r="A1" s="476"/>
      <c r="B1" s="477" t="s">
        <v>2</v>
      </c>
      <c r="C1" s="478" t="s">
        <v>658</v>
      </c>
      <c r="D1" s="477" t="s">
        <v>659</v>
      </c>
      <c r="E1" s="478" t="s">
        <v>660</v>
      </c>
      <c r="F1" s="478" t="s">
        <v>661</v>
      </c>
      <c r="G1" s="478" t="s">
        <v>662</v>
      </c>
      <c r="H1" s="478" t="s">
        <v>663</v>
      </c>
      <c r="I1" s="130" t="s">
        <v>664</v>
      </c>
      <c r="J1" s="130" t="s">
        <v>148</v>
      </c>
      <c r="K1" s="130" t="s">
        <v>149</v>
      </c>
      <c r="L1" s="130" t="s">
        <v>150</v>
      </c>
      <c r="M1" s="130" t="s">
        <v>665</v>
      </c>
      <c r="N1" s="130" t="s">
        <v>666</v>
      </c>
      <c r="O1" s="130" t="s">
        <v>667</v>
      </c>
      <c r="P1" s="130" t="s">
        <v>668</v>
      </c>
      <c r="Q1" s="130" t="s">
        <v>669</v>
      </c>
      <c r="R1" s="130" t="s">
        <v>670</v>
      </c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</row>
    <row r="2">
      <c r="A2" s="479" t="s">
        <v>671</v>
      </c>
      <c r="B2" s="51">
        <v>1.0</v>
      </c>
      <c r="C2" s="59" t="s">
        <v>40</v>
      </c>
      <c r="D2" s="480">
        <v>0.0</v>
      </c>
      <c r="E2" s="481" t="str">
        <f t="shared" ref="E2:E61" si="1">RIGHT(C2,LEN(C2) - (FIND(" ",C2)))</f>
        <v>Dynamic</v>
      </c>
      <c r="F2" s="481">
        <v>2.0</v>
      </c>
      <c r="G2" s="481" t="str">
        <f t="shared" ref="G2:G61" si="2">LEFT(C2,FIND(" ",C2) - 1)</f>
        <v>BionicBack</v>
      </c>
      <c r="H2" s="481">
        <v>0.0</v>
      </c>
      <c r="I2" s="451">
        <v>5.0</v>
      </c>
      <c r="J2" s="451">
        <v>38.89</v>
      </c>
      <c r="K2" s="451">
        <v>72.5</v>
      </c>
      <c r="L2" s="451">
        <v>-0.38</v>
      </c>
      <c r="M2" s="57">
        <v>238.84</v>
      </c>
      <c r="N2" s="57">
        <v>218.58</v>
      </c>
      <c r="O2" s="57">
        <v>32.24</v>
      </c>
      <c r="P2" s="423">
        <v>9.0</v>
      </c>
      <c r="Q2" s="423">
        <v>10.0</v>
      </c>
      <c r="R2" s="423">
        <v>9.3</v>
      </c>
    </row>
    <row r="3">
      <c r="A3" s="482"/>
      <c r="B3" s="71" t="s">
        <v>121</v>
      </c>
      <c r="C3" s="59" t="s">
        <v>37</v>
      </c>
      <c r="D3" s="480">
        <v>0.0</v>
      </c>
      <c r="E3" s="481" t="str">
        <f t="shared" si="1"/>
        <v>Static</v>
      </c>
      <c r="F3" s="481">
        <v>1.0</v>
      </c>
      <c r="G3" s="481" t="str">
        <f t="shared" si="2"/>
        <v>BionicBack</v>
      </c>
      <c r="H3" s="481">
        <v>0.0</v>
      </c>
      <c r="I3" s="451">
        <v>5.0</v>
      </c>
      <c r="J3" s="451">
        <v>41.67</v>
      </c>
      <c r="K3" s="451">
        <v>90.0</v>
      </c>
      <c r="L3" s="451">
        <v>1.5</v>
      </c>
      <c r="M3" s="57">
        <v>469.63</v>
      </c>
      <c r="N3" s="57">
        <v>430.14</v>
      </c>
      <c r="O3" s="57">
        <v>142.26</v>
      </c>
      <c r="P3" s="423">
        <v>6.0</v>
      </c>
      <c r="Q3" s="423">
        <v>3.0</v>
      </c>
      <c r="R3" s="423">
        <v>5.1</v>
      </c>
    </row>
    <row r="4">
      <c r="A4" s="482"/>
      <c r="B4" s="71" t="s">
        <v>122</v>
      </c>
      <c r="C4" s="59" t="s">
        <v>41</v>
      </c>
      <c r="D4" s="480">
        <v>0.0</v>
      </c>
      <c r="E4" s="481" t="str">
        <f t="shared" si="1"/>
        <v>Static</v>
      </c>
      <c r="F4" s="481">
        <v>1.0</v>
      </c>
      <c r="G4" s="481" t="str">
        <f t="shared" si="2"/>
        <v>Apogee</v>
      </c>
      <c r="H4" s="481">
        <v>1.0</v>
      </c>
      <c r="I4" s="451">
        <v>3.0</v>
      </c>
      <c r="J4" s="451">
        <v>58.33</v>
      </c>
      <c r="K4" s="451">
        <v>75.0</v>
      </c>
      <c r="L4" s="451">
        <v>0.5</v>
      </c>
      <c r="M4" s="57">
        <v>682.44</v>
      </c>
      <c r="N4" s="57">
        <v>381.03</v>
      </c>
      <c r="O4" s="57">
        <v>145.76</v>
      </c>
      <c r="P4" s="423">
        <v>10.0</v>
      </c>
      <c r="Q4" s="423">
        <v>8.0</v>
      </c>
      <c r="R4" s="423">
        <v>9.4</v>
      </c>
    </row>
    <row r="5">
      <c r="A5" s="482"/>
      <c r="B5" s="71" t="s">
        <v>123</v>
      </c>
      <c r="C5" s="59" t="s">
        <v>40</v>
      </c>
      <c r="D5" s="480">
        <v>0.0</v>
      </c>
      <c r="E5" s="481" t="str">
        <f t="shared" si="1"/>
        <v>Dynamic</v>
      </c>
      <c r="F5" s="481">
        <v>2.0</v>
      </c>
      <c r="G5" s="481" t="str">
        <f t="shared" si="2"/>
        <v>BionicBack</v>
      </c>
      <c r="H5" s="481">
        <v>0.0</v>
      </c>
      <c r="I5" s="451">
        <v>5.0</v>
      </c>
      <c r="J5" s="451">
        <v>38.89</v>
      </c>
      <c r="K5" s="451">
        <v>75.0</v>
      </c>
      <c r="L5" s="451">
        <v>-0.25</v>
      </c>
      <c r="M5" s="57">
        <v>485.36</v>
      </c>
      <c r="N5" s="57">
        <v>202.68</v>
      </c>
      <c r="O5" s="57">
        <v>41.1</v>
      </c>
      <c r="P5" s="423">
        <v>9.0</v>
      </c>
      <c r="Q5" s="423">
        <v>6.0</v>
      </c>
      <c r="R5" s="423">
        <v>8.1</v>
      </c>
    </row>
    <row r="6">
      <c r="A6" s="482"/>
      <c r="B6" s="71" t="s">
        <v>124</v>
      </c>
      <c r="C6" s="59" t="s">
        <v>37</v>
      </c>
      <c r="D6" s="480">
        <v>0.0</v>
      </c>
      <c r="E6" s="481" t="str">
        <f t="shared" si="1"/>
        <v>Static</v>
      </c>
      <c r="F6" s="481">
        <v>1.0</v>
      </c>
      <c r="G6" s="481" t="str">
        <f t="shared" si="2"/>
        <v>BionicBack</v>
      </c>
      <c r="H6" s="481">
        <v>0.0</v>
      </c>
      <c r="I6" s="451">
        <v>6.0</v>
      </c>
      <c r="J6" s="451">
        <v>25.0</v>
      </c>
      <c r="K6" s="451">
        <v>97.5</v>
      </c>
      <c r="L6" s="451">
        <v>2.63</v>
      </c>
      <c r="M6" s="57">
        <v>286.25</v>
      </c>
      <c r="N6" s="57">
        <v>162.24</v>
      </c>
      <c r="O6" s="57">
        <v>33.32</v>
      </c>
      <c r="P6" s="423">
        <v>10.0</v>
      </c>
      <c r="Q6" s="423">
        <v>10.0</v>
      </c>
      <c r="R6" s="423">
        <v>10.0</v>
      </c>
    </row>
    <row r="7">
      <c r="A7" s="482"/>
      <c r="B7" s="71" t="s">
        <v>125</v>
      </c>
      <c r="C7" s="59" t="s">
        <v>36</v>
      </c>
      <c r="D7" s="480">
        <v>0.0</v>
      </c>
      <c r="E7" s="481" t="str">
        <f t="shared" si="1"/>
        <v>Dynamic</v>
      </c>
      <c r="F7" s="481">
        <v>2.0</v>
      </c>
      <c r="G7" s="481" t="str">
        <f t="shared" si="2"/>
        <v>Apogee</v>
      </c>
      <c r="H7" s="481">
        <v>1.0</v>
      </c>
      <c r="I7" s="451">
        <v>3.0</v>
      </c>
      <c r="J7" s="451">
        <v>41.67</v>
      </c>
      <c r="K7" s="451">
        <v>72.5</v>
      </c>
      <c r="L7" s="451">
        <v>1.38</v>
      </c>
      <c r="M7" s="57">
        <v>426.99</v>
      </c>
      <c r="N7" s="57">
        <v>370.84</v>
      </c>
      <c r="O7" s="57">
        <v>118.31</v>
      </c>
      <c r="P7" s="423">
        <v>9.0</v>
      </c>
      <c r="Q7" s="423">
        <v>10.0</v>
      </c>
      <c r="R7" s="423">
        <v>9.3</v>
      </c>
    </row>
    <row r="8">
      <c r="A8" s="482"/>
      <c r="B8" s="71" t="s">
        <v>126</v>
      </c>
      <c r="C8" s="59" t="s">
        <v>41</v>
      </c>
      <c r="D8" s="480">
        <v>0.0</v>
      </c>
      <c r="E8" s="481" t="str">
        <f t="shared" si="1"/>
        <v>Static</v>
      </c>
      <c r="F8" s="481">
        <v>1.0</v>
      </c>
      <c r="G8" s="481" t="str">
        <f t="shared" si="2"/>
        <v>Apogee</v>
      </c>
      <c r="H8" s="481">
        <v>1.0</v>
      </c>
      <c r="I8" s="451">
        <v>5.0</v>
      </c>
      <c r="J8" s="451">
        <v>36.11</v>
      </c>
      <c r="K8" s="451">
        <v>97.5</v>
      </c>
      <c r="L8" s="451">
        <v>1.25</v>
      </c>
      <c r="M8" s="57">
        <v>945.36</v>
      </c>
      <c r="N8" s="57">
        <v>522.42</v>
      </c>
      <c r="O8" s="57">
        <v>184.88</v>
      </c>
      <c r="P8" s="423">
        <v>9.0</v>
      </c>
      <c r="Q8" s="423">
        <v>10.0</v>
      </c>
      <c r="R8" s="423">
        <v>9.3</v>
      </c>
    </row>
    <row r="9">
      <c r="A9" s="482"/>
      <c r="B9" s="71" t="s">
        <v>127</v>
      </c>
      <c r="C9" s="59" t="s">
        <v>40</v>
      </c>
      <c r="D9" s="480">
        <v>0.0</v>
      </c>
      <c r="E9" s="481" t="str">
        <f t="shared" si="1"/>
        <v>Dynamic</v>
      </c>
      <c r="F9" s="481">
        <v>2.0</v>
      </c>
      <c r="G9" s="481" t="str">
        <f t="shared" si="2"/>
        <v>BionicBack</v>
      </c>
      <c r="H9" s="481">
        <v>0.0</v>
      </c>
      <c r="I9" s="451">
        <v>6.0</v>
      </c>
      <c r="J9" s="451">
        <v>27.78</v>
      </c>
      <c r="K9" s="451">
        <v>90.0</v>
      </c>
      <c r="L9" s="451">
        <v>0.38</v>
      </c>
      <c r="M9" s="57">
        <v>486.58</v>
      </c>
      <c r="N9" s="57">
        <v>316.55</v>
      </c>
      <c r="O9" s="57">
        <v>38.96</v>
      </c>
      <c r="P9" s="423">
        <v>10.0</v>
      </c>
      <c r="Q9" s="423">
        <v>10.0</v>
      </c>
      <c r="R9" s="423">
        <v>10.0</v>
      </c>
    </row>
    <row r="10">
      <c r="A10" s="482"/>
      <c r="B10" s="51">
        <v>10.0</v>
      </c>
      <c r="C10" s="59" t="s">
        <v>37</v>
      </c>
      <c r="D10" s="480">
        <v>0.0</v>
      </c>
      <c r="E10" s="481" t="str">
        <f t="shared" si="1"/>
        <v>Static</v>
      </c>
      <c r="F10" s="481">
        <v>1.0</v>
      </c>
      <c r="G10" s="481" t="str">
        <f t="shared" si="2"/>
        <v>BionicBack</v>
      </c>
      <c r="H10" s="481">
        <v>0.0</v>
      </c>
      <c r="I10" s="451">
        <v>6.0</v>
      </c>
      <c r="J10" s="451">
        <v>19.44</v>
      </c>
      <c r="K10" s="451">
        <v>82.5</v>
      </c>
      <c r="L10" s="451">
        <v>0.88</v>
      </c>
      <c r="M10" s="57">
        <v>452.18</v>
      </c>
      <c r="N10" s="57">
        <v>244.72</v>
      </c>
      <c r="O10" s="57">
        <v>52.69</v>
      </c>
      <c r="P10" s="423">
        <v>9.0</v>
      </c>
      <c r="Q10" s="423">
        <v>6.0</v>
      </c>
      <c r="R10" s="423">
        <v>8.1</v>
      </c>
    </row>
    <row r="11">
      <c r="A11" s="482"/>
      <c r="B11" s="51">
        <v>11.0</v>
      </c>
      <c r="C11" s="59" t="s">
        <v>36</v>
      </c>
      <c r="D11" s="480">
        <v>0.0</v>
      </c>
      <c r="E11" s="481" t="str">
        <f t="shared" si="1"/>
        <v>Dynamic</v>
      </c>
      <c r="F11" s="481">
        <v>2.0</v>
      </c>
      <c r="G11" s="481" t="str">
        <f t="shared" si="2"/>
        <v>Apogee</v>
      </c>
      <c r="H11" s="481">
        <v>1.0</v>
      </c>
      <c r="I11" s="451">
        <v>6.0</v>
      </c>
      <c r="J11" s="451">
        <v>38.89</v>
      </c>
      <c r="K11" s="451">
        <v>97.5</v>
      </c>
      <c r="L11" s="451">
        <v>0.63</v>
      </c>
      <c r="M11" s="57">
        <v>620.1</v>
      </c>
      <c r="N11" s="57">
        <v>371.15</v>
      </c>
      <c r="O11" s="57">
        <v>145.19</v>
      </c>
      <c r="P11" s="423">
        <v>8.0</v>
      </c>
      <c r="Q11" s="423">
        <v>3.0</v>
      </c>
      <c r="R11" s="423">
        <v>6.5</v>
      </c>
    </row>
    <row r="12">
      <c r="A12" s="482"/>
      <c r="B12" s="51">
        <v>12.0</v>
      </c>
      <c r="C12" s="59" t="s">
        <v>41</v>
      </c>
      <c r="D12" s="480">
        <v>0.0</v>
      </c>
      <c r="E12" s="481" t="str">
        <f t="shared" si="1"/>
        <v>Static</v>
      </c>
      <c r="F12" s="481">
        <v>1.0</v>
      </c>
      <c r="G12" s="481" t="str">
        <f t="shared" si="2"/>
        <v>Apogee</v>
      </c>
      <c r="H12" s="481">
        <v>1.0</v>
      </c>
      <c r="I12" s="451">
        <v>6.0</v>
      </c>
      <c r="J12" s="451">
        <v>25.0</v>
      </c>
      <c r="K12" s="451">
        <v>90.0</v>
      </c>
      <c r="L12" s="451">
        <v>1.25</v>
      </c>
      <c r="M12" s="57">
        <v>498.98</v>
      </c>
      <c r="N12" s="57">
        <v>265.15</v>
      </c>
      <c r="O12" s="57">
        <v>79.85</v>
      </c>
      <c r="P12" s="423">
        <v>10.0</v>
      </c>
      <c r="Q12" s="423">
        <v>10.0</v>
      </c>
      <c r="R12" s="423">
        <v>10.0</v>
      </c>
    </row>
    <row r="13">
      <c r="A13" s="482"/>
      <c r="B13" s="51">
        <v>13.0</v>
      </c>
      <c r="C13" s="59" t="s">
        <v>40</v>
      </c>
      <c r="D13" s="480">
        <v>0.0</v>
      </c>
      <c r="E13" s="481" t="str">
        <f t="shared" si="1"/>
        <v>Dynamic</v>
      </c>
      <c r="F13" s="481">
        <v>2.0</v>
      </c>
      <c r="G13" s="481" t="str">
        <f t="shared" si="2"/>
        <v>BionicBack</v>
      </c>
      <c r="H13" s="481">
        <v>0.0</v>
      </c>
      <c r="I13" s="451">
        <v>6.0</v>
      </c>
      <c r="J13" s="451">
        <v>30.56</v>
      </c>
      <c r="K13" s="451">
        <v>95.0</v>
      </c>
      <c r="L13" s="451">
        <v>2.25</v>
      </c>
      <c r="M13" s="57">
        <v>380.67</v>
      </c>
      <c r="N13" s="57">
        <v>148.5</v>
      </c>
      <c r="O13" s="57">
        <v>31.31</v>
      </c>
      <c r="P13" s="423">
        <v>10.0</v>
      </c>
      <c r="Q13" s="423">
        <v>10.0</v>
      </c>
      <c r="R13" s="423">
        <v>10.0</v>
      </c>
    </row>
    <row r="14">
      <c r="A14" s="482"/>
      <c r="B14" s="51">
        <v>14.0</v>
      </c>
      <c r="C14" s="59" t="s">
        <v>37</v>
      </c>
      <c r="D14" s="480">
        <v>0.0</v>
      </c>
      <c r="E14" s="481" t="str">
        <f t="shared" si="1"/>
        <v>Static</v>
      </c>
      <c r="F14" s="481">
        <v>1.0</v>
      </c>
      <c r="G14" s="481" t="str">
        <f t="shared" si="2"/>
        <v>BionicBack</v>
      </c>
      <c r="H14" s="481">
        <v>0.0</v>
      </c>
      <c r="I14" s="451">
        <v>4.0</v>
      </c>
      <c r="J14" s="451">
        <v>44.44</v>
      </c>
      <c r="K14" s="451">
        <v>35.0</v>
      </c>
      <c r="L14" s="451">
        <v>0.38</v>
      </c>
      <c r="M14" s="57">
        <v>516.16</v>
      </c>
      <c r="N14" s="57">
        <v>260.74</v>
      </c>
      <c r="O14" s="57">
        <v>64.68</v>
      </c>
      <c r="P14" s="423">
        <v>8.0</v>
      </c>
      <c r="Q14" s="423">
        <v>5.0</v>
      </c>
      <c r="R14" s="423">
        <v>7.1</v>
      </c>
    </row>
    <row r="15">
      <c r="A15" s="482"/>
      <c r="B15" s="51">
        <v>15.0</v>
      </c>
      <c r="C15" s="59" t="s">
        <v>36</v>
      </c>
      <c r="D15" s="480">
        <v>0.0</v>
      </c>
      <c r="E15" s="481" t="str">
        <f t="shared" si="1"/>
        <v>Dynamic</v>
      </c>
      <c r="F15" s="481">
        <v>2.0</v>
      </c>
      <c r="G15" s="481" t="str">
        <f t="shared" si="2"/>
        <v>Apogee</v>
      </c>
      <c r="H15" s="481">
        <v>1.0</v>
      </c>
      <c r="I15" s="451">
        <v>6.0</v>
      </c>
      <c r="J15" s="451">
        <v>25.0</v>
      </c>
      <c r="K15" s="451">
        <v>97.5</v>
      </c>
      <c r="L15" s="451">
        <v>1.88</v>
      </c>
      <c r="M15" s="57">
        <v>468.45</v>
      </c>
      <c r="N15" s="57">
        <v>303.66</v>
      </c>
      <c r="O15" s="57">
        <v>99.13</v>
      </c>
      <c r="P15" s="423">
        <v>9.0</v>
      </c>
      <c r="Q15" s="423">
        <v>10.0</v>
      </c>
      <c r="R15" s="423">
        <v>9.3</v>
      </c>
    </row>
    <row r="16">
      <c r="A16" s="482"/>
      <c r="B16" s="51">
        <v>16.0</v>
      </c>
      <c r="C16" s="59" t="s">
        <v>41</v>
      </c>
      <c r="D16" s="480">
        <v>0.0</v>
      </c>
      <c r="E16" s="481" t="str">
        <f t="shared" si="1"/>
        <v>Static</v>
      </c>
      <c r="F16" s="481">
        <v>1.0</v>
      </c>
      <c r="G16" s="481" t="str">
        <f t="shared" si="2"/>
        <v>Apogee</v>
      </c>
      <c r="H16" s="481">
        <v>1.0</v>
      </c>
      <c r="I16" s="451">
        <v>5.0</v>
      </c>
      <c r="J16" s="451">
        <v>22.22</v>
      </c>
      <c r="K16" s="451">
        <v>80.0</v>
      </c>
      <c r="L16" s="451">
        <v>0.63</v>
      </c>
      <c r="M16" s="57">
        <v>732.46</v>
      </c>
      <c r="N16" s="57">
        <v>328.35</v>
      </c>
      <c r="O16" s="57">
        <v>101.72</v>
      </c>
      <c r="P16" s="423">
        <v>8.0</v>
      </c>
      <c r="Q16" s="423">
        <v>6.0</v>
      </c>
      <c r="R16" s="423">
        <v>7.4</v>
      </c>
    </row>
    <row r="17">
      <c r="A17" s="482"/>
      <c r="B17" s="51">
        <v>17.0</v>
      </c>
      <c r="C17" s="59" t="s">
        <v>40</v>
      </c>
      <c r="D17" s="480">
        <v>0.0</v>
      </c>
      <c r="E17" s="481" t="str">
        <f t="shared" si="1"/>
        <v>Dynamic</v>
      </c>
      <c r="F17" s="481">
        <v>2.0</v>
      </c>
      <c r="G17" s="481" t="str">
        <f t="shared" si="2"/>
        <v>BionicBack</v>
      </c>
      <c r="H17" s="481">
        <v>0.0</v>
      </c>
      <c r="I17" s="451">
        <v>6.0</v>
      </c>
      <c r="J17" s="451">
        <v>36.11</v>
      </c>
      <c r="K17" s="451">
        <v>82.5</v>
      </c>
      <c r="L17" s="451">
        <v>0.63</v>
      </c>
      <c r="M17" s="57">
        <v>314.2</v>
      </c>
      <c r="N17" s="57">
        <v>206.67</v>
      </c>
      <c r="O17" s="57">
        <v>34.29</v>
      </c>
      <c r="P17" s="423">
        <v>10.0</v>
      </c>
      <c r="Q17" s="423">
        <v>10.0</v>
      </c>
      <c r="R17" s="423">
        <v>10.0</v>
      </c>
    </row>
    <row r="18">
      <c r="A18" s="482"/>
      <c r="B18" s="51">
        <v>18.0</v>
      </c>
      <c r="C18" s="59" t="s">
        <v>37</v>
      </c>
      <c r="D18" s="480">
        <v>0.0</v>
      </c>
      <c r="E18" s="481" t="str">
        <f t="shared" si="1"/>
        <v>Static</v>
      </c>
      <c r="F18" s="481">
        <v>1.0</v>
      </c>
      <c r="G18" s="481" t="str">
        <f t="shared" si="2"/>
        <v>BionicBack</v>
      </c>
      <c r="H18" s="481">
        <v>0.0</v>
      </c>
      <c r="I18" s="451">
        <v>4.0</v>
      </c>
      <c r="J18" s="451">
        <v>41.67</v>
      </c>
      <c r="K18" s="451">
        <v>72.5</v>
      </c>
      <c r="L18" s="451">
        <v>1.0</v>
      </c>
      <c r="M18" s="57">
        <v>534.06</v>
      </c>
      <c r="N18" s="57">
        <v>192.78</v>
      </c>
      <c r="O18" s="57">
        <v>69.39</v>
      </c>
      <c r="P18" s="423">
        <v>9.0</v>
      </c>
      <c r="Q18" s="423">
        <v>6.0</v>
      </c>
      <c r="R18" s="423">
        <v>8.1</v>
      </c>
    </row>
    <row r="19">
      <c r="A19" s="482"/>
      <c r="B19" s="51">
        <v>19.0</v>
      </c>
      <c r="C19" s="59" t="s">
        <v>36</v>
      </c>
      <c r="D19" s="480">
        <v>0.0</v>
      </c>
      <c r="E19" s="481" t="str">
        <f t="shared" si="1"/>
        <v>Dynamic</v>
      </c>
      <c r="F19" s="481">
        <v>2.0</v>
      </c>
      <c r="G19" s="481" t="str">
        <f t="shared" si="2"/>
        <v>Apogee</v>
      </c>
      <c r="H19" s="481">
        <v>1.0</v>
      </c>
      <c r="I19" s="451">
        <v>5.0</v>
      </c>
      <c r="J19" s="451">
        <v>50.0</v>
      </c>
      <c r="K19" s="451">
        <v>67.5</v>
      </c>
      <c r="L19" s="451">
        <v>1.63</v>
      </c>
      <c r="M19" s="57">
        <v>540.76</v>
      </c>
      <c r="N19" s="57">
        <v>550.3</v>
      </c>
      <c r="O19" s="57">
        <v>122.87</v>
      </c>
      <c r="P19" s="423">
        <v>9.0</v>
      </c>
      <c r="Q19" s="423">
        <v>10.0</v>
      </c>
      <c r="R19" s="423">
        <v>9.3</v>
      </c>
    </row>
    <row r="20">
      <c r="A20" s="482"/>
      <c r="B20" s="51">
        <v>20.0</v>
      </c>
      <c r="C20" s="59" t="s">
        <v>41</v>
      </c>
      <c r="D20" s="480">
        <v>0.0</v>
      </c>
      <c r="E20" s="481" t="str">
        <f t="shared" si="1"/>
        <v>Static</v>
      </c>
      <c r="F20" s="481">
        <v>1.0</v>
      </c>
      <c r="G20" s="481" t="str">
        <f t="shared" si="2"/>
        <v>Apogee</v>
      </c>
      <c r="H20" s="481">
        <v>1.0</v>
      </c>
      <c r="I20" s="451">
        <v>6.0</v>
      </c>
      <c r="J20" s="451">
        <v>50.0</v>
      </c>
      <c r="K20" s="451">
        <v>77.5</v>
      </c>
      <c r="L20" s="451">
        <v>1.0</v>
      </c>
      <c r="M20" s="57">
        <v>895.98</v>
      </c>
      <c r="N20" s="57">
        <v>376.81</v>
      </c>
      <c r="O20" s="57">
        <v>116.05</v>
      </c>
      <c r="P20" s="423">
        <v>9.0</v>
      </c>
      <c r="Q20" s="423">
        <v>6.0</v>
      </c>
      <c r="R20" s="423">
        <v>8.1</v>
      </c>
    </row>
    <row r="21">
      <c r="A21" s="482"/>
      <c r="B21" s="51">
        <v>21.0</v>
      </c>
      <c r="C21" s="59" t="s">
        <v>36</v>
      </c>
      <c r="D21" s="480">
        <v>0.0</v>
      </c>
      <c r="E21" s="481" t="str">
        <f t="shared" si="1"/>
        <v>Dynamic</v>
      </c>
      <c r="F21" s="481">
        <v>2.0</v>
      </c>
      <c r="G21" s="481" t="str">
        <f t="shared" si="2"/>
        <v>Apogee</v>
      </c>
      <c r="H21" s="481">
        <v>1.0</v>
      </c>
      <c r="I21" s="451">
        <v>6.0</v>
      </c>
      <c r="J21" s="451">
        <v>41.67</v>
      </c>
      <c r="K21" s="451">
        <v>92.5</v>
      </c>
      <c r="L21" s="451">
        <v>1.25</v>
      </c>
      <c r="M21" s="57">
        <v>459.67</v>
      </c>
      <c r="N21" s="57">
        <v>341.18</v>
      </c>
      <c r="O21" s="57">
        <v>113.51</v>
      </c>
      <c r="P21" s="423">
        <v>9.0</v>
      </c>
      <c r="Q21" s="423">
        <v>10.0</v>
      </c>
      <c r="R21" s="423">
        <v>9.3</v>
      </c>
    </row>
    <row r="22">
      <c r="A22" s="483" t="s">
        <v>672</v>
      </c>
      <c r="B22" s="484">
        <v>1.0</v>
      </c>
      <c r="C22" s="485" t="s">
        <v>41</v>
      </c>
      <c r="D22" s="486">
        <v>0.0</v>
      </c>
      <c r="E22" s="487" t="str">
        <f t="shared" si="1"/>
        <v>Static</v>
      </c>
      <c r="F22" s="487">
        <v>1.0</v>
      </c>
      <c r="G22" s="487" t="str">
        <f t="shared" si="2"/>
        <v>Apogee</v>
      </c>
      <c r="H22" s="487">
        <v>1.0</v>
      </c>
      <c r="I22" s="488">
        <v>3.0</v>
      </c>
      <c r="J22" s="488">
        <v>41.67</v>
      </c>
      <c r="K22" s="488">
        <v>65.0</v>
      </c>
      <c r="L22" s="488">
        <v>-0.25</v>
      </c>
      <c r="M22" s="489">
        <v>379.87</v>
      </c>
      <c r="N22" s="489">
        <v>237.55</v>
      </c>
      <c r="O22" s="489">
        <v>72.81</v>
      </c>
      <c r="P22" s="490">
        <v>10.0</v>
      </c>
      <c r="Q22" s="490">
        <v>10.0</v>
      </c>
      <c r="R22" s="490">
        <v>10.0</v>
      </c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</row>
    <row r="23">
      <c r="A23" s="482"/>
      <c r="B23" s="71" t="s">
        <v>121</v>
      </c>
      <c r="C23" s="59" t="s">
        <v>36</v>
      </c>
      <c r="D23" s="480">
        <v>0.0</v>
      </c>
      <c r="E23" s="481" t="str">
        <f t="shared" si="1"/>
        <v>Dynamic</v>
      </c>
      <c r="F23" s="481">
        <v>2.0</v>
      </c>
      <c r="G23" s="481" t="str">
        <f t="shared" si="2"/>
        <v>Apogee</v>
      </c>
      <c r="H23" s="481">
        <v>1.0</v>
      </c>
      <c r="I23" s="451">
        <v>3.0</v>
      </c>
      <c r="J23" s="451">
        <v>66.67</v>
      </c>
      <c r="K23" s="451">
        <v>52.5</v>
      </c>
      <c r="L23" s="451">
        <v>1.25</v>
      </c>
      <c r="M23" s="57">
        <v>1431.61</v>
      </c>
      <c r="N23" s="57">
        <v>564.82</v>
      </c>
      <c r="O23" s="57">
        <v>136.3</v>
      </c>
      <c r="P23" s="423">
        <v>8.0</v>
      </c>
      <c r="Q23" s="423">
        <v>6.0</v>
      </c>
      <c r="R23" s="423">
        <v>7.4</v>
      </c>
    </row>
    <row r="24">
      <c r="A24" s="482"/>
      <c r="B24" s="71" t="s">
        <v>122</v>
      </c>
      <c r="C24" s="59" t="s">
        <v>40</v>
      </c>
      <c r="D24" s="480">
        <v>0.0</v>
      </c>
      <c r="E24" s="481" t="str">
        <f t="shared" si="1"/>
        <v>Dynamic</v>
      </c>
      <c r="F24" s="481">
        <v>2.0</v>
      </c>
      <c r="G24" s="481" t="str">
        <f t="shared" si="2"/>
        <v>BionicBack</v>
      </c>
      <c r="H24" s="481">
        <v>0.0</v>
      </c>
      <c r="I24" s="451">
        <v>6.0</v>
      </c>
      <c r="J24" s="451">
        <v>41.67</v>
      </c>
      <c r="K24" s="451">
        <v>80.0</v>
      </c>
      <c r="L24" s="451">
        <v>-0.25</v>
      </c>
      <c r="M24" s="57">
        <v>641.35</v>
      </c>
      <c r="N24" s="57">
        <v>345.04</v>
      </c>
      <c r="O24" s="57">
        <v>62.32</v>
      </c>
      <c r="P24" s="423">
        <v>9.0</v>
      </c>
      <c r="Q24" s="423">
        <v>6.0</v>
      </c>
      <c r="R24" s="423">
        <v>8.1</v>
      </c>
    </row>
    <row r="25">
      <c r="A25" s="482"/>
      <c r="B25" s="71" t="s">
        <v>123</v>
      </c>
      <c r="C25" s="59" t="s">
        <v>41</v>
      </c>
      <c r="D25" s="480">
        <v>0.0</v>
      </c>
      <c r="E25" s="481" t="str">
        <f t="shared" si="1"/>
        <v>Static</v>
      </c>
      <c r="F25" s="481">
        <v>1.0</v>
      </c>
      <c r="G25" s="481" t="str">
        <f t="shared" si="2"/>
        <v>Apogee</v>
      </c>
      <c r="H25" s="481">
        <v>1.0</v>
      </c>
      <c r="I25" s="451">
        <v>3.0</v>
      </c>
      <c r="J25" s="451">
        <v>52.78</v>
      </c>
      <c r="K25" s="451">
        <v>70.0</v>
      </c>
      <c r="L25" s="451">
        <v>0.38</v>
      </c>
      <c r="M25" s="57">
        <v>1251.07</v>
      </c>
      <c r="N25" s="57">
        <v>428.82</v>
      </c>
      <c r="O25" s="57">
        <v>59.74</v>
      </c>
      <c r="P25" s="423">
        <v>7.0</v>
      </c>
      <c r="Q25" s="423">
        <v>5.0</v>
      </c>
      <c r="R25" s="423">
        <v>6.4</v>
      </c>
    </row>
    <row r="26">
      <c r="A26" s="482"/>
      <c r="B26" s="71" t="s">
        <v>124</v>
      </c>
      <c r="C26" s="59" t="s">
        <v>36</v>
      </c>
      <c r="D26" s="480">
        <v>0.0</v>
      </c>
      <c r="E26" s="481" t="str">
        <f t="shared" si="1"/>
        <v>Dynamic</v>
      </c>
      <c r="F26" s="481">
        <v>2.0</v>
      </c>
      <c r="G26" s="481" t="str">
        <f t="shared" si="2"/>
        <v>Apogee</v>
      </c>
      <c r="H26" s="481">
        <v>1.0</v>
      </c>
      <c r="I26" s="451">
        <v>5.0</v>
      </c>
      <c r="J26" s="451">
        <v>30.56</v>
      </c>
      <c r="K26" s="451">
        <v>95.0</v>
      </c>
      <c r="L26" s="451">
        <v>2.63</v>
      </c>
      <c r="M26" s="57">
        <v>428.64</v>
      </c>
      <c r="N26" s="57">
        <v>217.52</v>
      </c>
      <c r="O26" s="57">
        <v>110.93</v>
      </c>
      <c r="P26" s="423">
        <v>10.0</v>
      </c>
      <c r="Q26" s="423">
        <v>10.0</v>
      </c>
      <c r="R26" s="423">
        <v>10.0</v>
      </c>
    </row>
    <row r="27">
      <c r="A27" s="482"/>
      <c r="B27" s="71" t="s">
        <v>125</v>
      </c>
      <c r="C27" s="59" t="s">
        <v>37</v>
      </c>
      <c r="D27" s="480">
        <v>0.0</v>
      </c>
      <c r="E27" s="481" t="str">
        <f t="shared" si="1"/>
        <v>Static</v>
      </c>
      <c r="F27" s="481">
        <v>1.0</v>
      </c>
      <c r="G27" s="481" t="str">
        <f t="shared" si="2"/>
        <v>BionicBack</v>
      </c>
      <c r="H27" s="481">
        <v>0.0</v>
      </c>
      <c r="I27" s="451">
        <v>3.0</v>
      </c>
      <c r="J27" s="451">
        <v>58.33</v>
      </c>
      <c r="K27" s="451">
        <v>47.5</v>
      </c>
      <c r="L27" s="451">
        <v>0.0</v>
      </c>
      <c r="M27" s="57">
        <v>426.56</v>
      </c>
      <c r="N27" s="57">
        <v>242.82</v>
      </c>
      <c r="O27" s="57">
        <v>85.45</v>
      </c>
      <c r="P27" s="423">
        <v>6.0</v>
      </c>
      <c r="Q27" s="423">
        <v>6.0</v>
      </c>
      <c r="R27" s="423">
        <v>6.0</v>
      </c>
    </row>
    <row r="28">
      <c r="A28" s="482"/>
      <c r="B28" s="71" t="s">
        <v>126</v>
      </c>
      <c r="C28" s="59" t="s">
        <v>40</v>
      </c>
      <c r="D28" s="480">
        <v>0.0</v>
      </c>
      <c r="E28" s="481" t="str">
        <f t="shared" si="1"/>
        <v>Dynamic</v>
      </c>
      <c r="F28" s="481">
        <v>2.0</v>
      </c>
      <c r="G28" s="481" t="str">
        <f t="shared" si="2"/>
        <v>BionicBack</v>
      </c>
      <c r="H28" s="481">
        <v>0.0</v>
      </c>
      <c r="I28" s="451">
        <v>7.0</v>
      </c>
      <c r="J28" s="451">
        <v>16.67</v>
      </c>
      <c r="K28" s="451">
        <v>100.0</v>
      </c>
      <c r="L28" s="451">
        <v>1.88</v>
      </c>
      <c r="M28" s="57">
        <v>470.96</v>
      </c>
      <c r="N28" s="57">
        <v>477.24</v>
      </c>
      <c r="O28" s="57">
        <v>52.22</v>
      </c>
      <c r="P28" s="423">
        <v>9.0</v>
      </c>
      <c r="Q28" s="423">
        <v>10.0</v>
      </c>
      <c r="R28" s="423">
        <v>9.3</v>
      </c>
    </row>
    <row r="29">
      <c r="A29" s="482"/>
      <c r="B29" s="71" t="s">
        <v>127</v>
      </c>
      <c r="C29" s="59" t="s">
        <v>41</v>
      </c>
      <c r="D29" s="480">
        <v>0.0</v>
      </c>
      <c r="E29" s="481" t="str">
        <f t="shared" si="1"/>
        <v>Static</v>
      </c>
      <c r="F29" s="481">
        <v>1.0</v>
      </c>
      <c r="G29" s="481" t="str">
        <f t="shared" si="2"/>
        <v>Apogee</v>
      </c>
      <c r="H29" s="481">
        <v>1.0</v>
      </c>
      <c r="I29" s="451">
        <v>4.0</v>
      </c>
      <c r="J29" s="451">
        <v>47.22</v>
      </c>
      <c r="K29" s="451">
        <v>75.0</v>
      </c>
      <c r="L29" s="451">
        <v>-1.25</v>
      </c>
      <c r="M29" s="57">
        <v>752.95</v>
      </c>
      <c r="N29" s="57">
        <v>269.89</v>
      </c>
      <c r="O29" s="57">
        <v>93.9</v>
      </c>
      <c r="P29" s="423">
        <v>9.0</v>
      </c>
      <c r="Q29" s="423">
        <v>10.0</v>
      </c>
      <c r="R29" s="423">
        <v>9.3</v>
      </c>
    </row>
    <row r="30">
      <c r="A30" s="482"/>
      <c r="B30" s="51">
        <v>10.0</v>
      </c>
      <c r="C30" s="59" t="s">
        <v>36</v>
      </c>
      <c r="D30" s="480">
        <v>0.0</v>
      </c>
      <c r="E30" s="481" t="str">
        <f t="shared" si="1"/>
        <v>Dynamic</v>
      </c>
      <c r="F30" s="481">
        <v>2.0</v>
      </c>
      <c r="G30" s="481" t="str">
        <f t="shared" si="2"/>
        <v>Apogee</v>
      </c>
      <c r="H30" s="481">
        <v>1.0</v>
      </c>
      <c r="I30" s="451">
        <v>6.0</v>
      </c>
      <c r="J30" s="451">
        <v>11.11</v>
      </c>
      <c r="K30" s="451">
        <v>90.0</v>
      </c>
      <c r="L30" s="451">
        <v>0.5</v>
      </c>
      <c r="M30" s="57">
        <v>443.71</v>
      </c>
      <c r="N30" s="57">
        <v>234.64</v>
      </c>
      <c r="O30" s="57">
        <v>118.35</v>
      </c>
      <c r="P30" s="423">
        <v>9.0</v>
      </c>
      <c r="Q30" s="423">
        <v>10.0</v>
      </c>
      <c r="R30" s="423">
        <v>9.3</v>
      </c>
    </row>
    <row r="31">
      <c r="A31" s="482"/>
      <c r="B31" s="51">
        <v>11.0</v>
      </c>
      <c r="C31" s="59" t="s">
        <v>37</v>
      </c>
      <c r="D31" s="480">
        <v>0.0</v>
      </c>
      <c r="E31" s="481" t="str">
        <f t="shared" si="1"/>
        <v>Static</v>
      </c>
      <c r="F31" s="481">
        <v>1.0</v>
      </c>
      <c r="G31" s="481" t="str">
        <f t="shared" si="2"/>
        <v>BionicBack</v>
      </c>
      <c r="H31" s="481">
        <v>0.0</v>
      </c>
      <c r="I31" s="451">
        <v>5.0</v>
      </c>
      <c r="J31" s="451">
        <v>19.44</v>
      </c>
      <c r="K31" s="451">
        <v>92.5</v>
      </c>
      <c r="L31" s="451">
        <v>-0.25</v>
      </c>
      <c r="M31" s="57">
        <v>627.38</v>
      </c>
      <c r="N31" s="57">
        <v>218.79</v>
      </c>
      <c r="O31" s="57">
        <v>56.96</v>
      </c>
      <c r="P31" s="423">
        <v>8.0</v>
      </c>
      <c r="Q31" s="423">
        <v>10.0</v>
      </c>
      <c r="R31" s="423">
        <v>8.6</v>
      </c>
    </row>
    <row r="32">
      <c r="A32" s="482"/>
      <c r="B32" s="51">
        <v>12.0</v>
      </c>
      <c r="C32" s="59" t="s">
        <v>40</v>
      </c>
      <c r="D32" s="480">
        <v>0.0</v>
      </c>
      <c r="E32" s="481" t="str">
        <f t="shared" si="1"/>
        <v>Dynamic</v>
      </c>
      <c r="F32" s="481">
        <v>2.0</v>
      </c>
      <c r="G32" s="481" t="str">
        <f t="shared" si="2"/>
        <v>BionicBack</v>
      </c>
      <c r="H32" s="481">
        <v>0.0</v>
      </c>
      <c r="I32" s="451">
        <v>5.0</v>
      </c>
      <c r="J32" s="451">
        <v>22.22</v>
      </c>
      <c r="K32" s="451">
        <v>90.0</v>
      </c>
      <c r="L32" s="451">
        <v>1.25</v>
      </c>
      <c r="M32" s="57">
        <v>365.47</v>
      </c>
      <c r="N32" s="57">
        <v>185.08</v>
      </c>
      <c r="O32" s="57">
        <v>44.41</v>
      </c>
      <c r="P32" s="423">
        <v>10.0</v>
      </c>
      <c r="Q32" s="423">
        <v>10.0</v>
      </c>
      <c r="R32" s="423">
        <v>10.0</v>
      </c>
    </row>
    <row r="33">
      <c r="A33" s="482"/>
      <c r="B33" s="51">
        <v>13.0</v>
      </c>
      <c r="C33" s="59" t="s">
        <v>41</v>
      </c>
      <c r="D33" s="480">
        <v>0.0</v>
      </c>
      <c r="E33" s="481" t="str">
        <f t="shared" si="1"/>
        <v>Static</v>
      </c>
      <c r="F33" s="481">
        <v>1.0</v>
      </c>
      <c r="G33" s="481" t="str">
        <f t="shared" si="2"/>
        <v>Apogee</v>
      </c>
      <c r="H33" s="481">
        <v>1.0</v>
      </c>
      <c r="I33" s="451">
        <v>4.0</v>
      </c>
      <c r="J33" s="451">
        <v>38.89</v>
      </c>
      <c r="K33" s="451">
        <v>95.0</v>
      </c>
      <c r="L33" s="451">
        <v>2.25</v>
      </c>
      <c r="M33" s="57">
        <v>380.9</v>
      </c>
      <c r="N33" s="57">
        <v>224.16</v>
      </c>
      <c r="O33" s="57">
        <v>61.17</v>
      </c>
      <c r="P33" s="423">
        <v>10.0</v>
      </c>
      <c r="Q33" s="423">
        <v>10.0</v>
      </c>
      <c r="R33" s="423">
        <v>10.0</v>
      </c>
    </row>
    <row r="34">
      <c r="A34" s="482"/>
      <c r="B34" s="51">
        <v>14.0</v>
      </c>
      <c r="C34" s="59" t="s">
        <v>36</v>
      </c>
      <c r="D34" s="480">
        <v>0.0</v>
      </c>
      <c r="E34" s="481" t="str">
        <f t="shared" si="1"/>
        <v>Dynamic</v>
      </c>
      <c r="F34" s="481">
        <v>2.0</v>
      </c>
      <c r="G34" s="481" t="str">
        <f t="shared" si="2"/>
        <v>Apogee</v>
      </c>
      <c r="H34" s="481">
        <v>1.0</v>
      </c>
      <c r="I34" s="451">
        <v>4.0</v>
      </c>
      <c r="J34" s="451">
        <v>52.78</v>
      </c>
      <c r="K34" s="451">
        <v>57.5</v>
      </c>
      <c r="L34" s="451">
        <v>1.0</v>
      </c>
      <c r="M34" s="57">
        <v>745.99</v>
      </c>
      <c r="N34" s="57">
        <v>233.99</v>
      </c>
      <c r="O34" s="57">
        <v>156.29</v>
      </c>
      <c r="P34" s="423">
        <v>6.0</v>
      </c>
      <c r="Q34" s="423">
        <v>5.0</v>
      </c>
      <c r="R34" s="423">
        <v>5.7</v>
      </c>
    </row>
    <row r="35">
      <c r="A35" s="482"/>
      <c r="B35" s="51">
        <v>15.0</v>
      </c>
      <c r="C35" s="59" t="s">
        <v>37</v>
      </c>
      <c r="D35" s="480">
        <v>0.0</v>
      </c>
      <c r="E35" s="481" t="str">
        <f t="shared" si="1"/>
        <v>Static</v>
      </c>
      <c r="F35" s="481">
        <v>1.0</v>
      </c>
      <c r="G35" s="481" t="str">
        <f t="shared" si="2"/>
        <v>BionicBack</v>
      </c>
      <c r="H35" s="481">
        <v>0.0</v>
      </c>
      <c r="I35" s="451">
        <v>7.0</v>
      </c>
      <c r="J35" s="451">
        <v>22.22</v>
      </c>
      <c r="K35" s="451">
        <v>95.0</v>
      </c>
      <c r="L35" s="451">
        <v>1.63</v>
      </c>
      <c r="M35" s="57">
        <v>433.74</v>
      </c>
      <c r="N35" s="57">
        <v>464.33</v>
      </c>
      <c r="O35" s="57">
        <v>50.96</v>
      </c>
      <c r="P35" s="423">
        <v>8.0</v>
      </c>
      <c r="Q35" s="423">
        <v>6.0</v>
      </c>
      <c r="R35" s="423">
        <v>7.4</v>
      </c>
    </row>
    <row r="36">
      <c r="A36" s="482"/>
      <c r="B36" s="51">
        <v>16.0</v>
      </c>
      <c r="C36" s="59" t="s">
        <v>40</v>
      </c>
      <c r="D36" s="480">
        <v>0.0</v>
      </c>
      <c r="E36" s="481" t="str">
        <f t="shared" si="1"/>
        <v>Dynamic</v>
      </c>
      <c r="F36" s="481">
        <v>2.0</v>
      </c>
      <c r="G36" s="481" t="str">
        <f t="shared" si="2"/>
        <v>BionicBack</v>
      </c>
      <c r="H36" s="481">
        <v>0.0</v>
      </c>
      <c r="I36" s="451">
        <v>6.0</v>
      </c>
      <c r="J36" s="451">
        <v>25.0</v>
      </c>
      <c r="K36" s="451">
        <v>87.5</v>
      </c>
      <c r="L36" s="451">
        <v>0.75</v>
      </c>
      <c r="M36" s="57">
        <v>458.35</v>
      </c>
      <c r="N36" s="57">
        <v>381.25</v>
      </c>
      <c r="O36" s="57">
        <v>45.02</v>
      </c>
      <c r="P36" s="423">
        <v>9.0</v>
      </c>
      <c r="Q36" s="423">
        <v>6.0</v>
      </c>
      <c r="R36" s="423">
        <v>8.1</v>
      </c>
    </row>
    <row r="37">
      <c r="A37" s="482"/>
      <c r="B37" s="51">
        <v>17.0</v>
      </c>
      <c r="C37" s="59" t="s">
        <v>41</v>
      </c>
      <c r="D37" s="480">
        <v>0.0</v>
      </c>
      <c r="E37" s="481" t="str">
        <f t="shared" si="1"/>
        <v>Static</v>
      </c>
      <c r="F37" s="481">
        <v>1.0</v>
      </c>
      <c r="G37" s="481" t="str">
        <f t="shared" si="2"/>
        <v>Apogee</v>
      </c>
      <c r="H37" s="481">
        <v>1.0</v>
      </c>
      <c r="I37" s="451">
        <v>5.0</v>
      </c>
      <c r="J37" s="451">
        <v>50.0</v>
      </c>
      <c r="K37" s="451">
        <v>65.0</v>
      </c>
      <c r="L37" s="451">
        <v>-0.38</v>
      </c>
      <c r="M37" s="57">
        <v>473.43</v>
      </c>
      <c r="N37" s="57">
        <v>426.1</v>
      </c>
      <c r="O37" s="57">
        <v>106.8</v>
      </c>
      <c r="P37" s="423">
        <v>9.0</v>
      </c>
      <c r="Q37" s="423">
        <v>10.0</v>
      </c>
      <c r="R37" s="423">
        <v>9.3</v>
      </c>
    </row>
    <row r="38">
      <c r="A38" s="482"/>
      <c r="B38" s="51">
        <v>18.0</v>
      </c>
      <c r="C38" s="59" t="s">
        <v>36</v>
      </c>
      <c r="D38" s="480">
        <v>0.0</v>
      </c>
      <c r="E38" s="481" t="str">
        <f t="shared" si="1"/>
        <v>Dynamic</v>
      </c>
      <c r="F38" s="481">
        <v>2.0</v>
      </c>
      <c r="G38" s="481" t="str">
        <f t="shared" si="2"/>
        <v>Apogee</v>
      </c>
      <c r="H38" s="481">
        <v>1.0</v>
      </c>
      <c r="I38" s="451">
        <v>5.0</v>
      </c>
      <c r="J38" s="451">
        <v>38.89</v>
      </c>
      <c r="K38" s="451">
        <v>60.0</v>
      </c>
      <c r="L38" s="451">
        <v>1.25</v>
      </c>
      <c r="M38" s="57">
        <v>703.47</v>
      </c>
      <c r="N38" s="57">
        <v>388.61</v>
      </c>
      <c r="O38" s="57">
        <v>109.76</v>
      </c>
      <c r="P38" s="423">
        <v>7.0</v>
      </c>
      <c r="Q38" s="423">
        <v>6.0</v>
      </c>
      <c r="R38" s="423">
        <v>6.7</v>
      </c>
    </row>
    <row r="39">
      <c r="A39" s="482"/>
      <c r="B39" s="51">
        <v>19.0</v>
      </c>
      <c r="C39" s="59" t="s">
        <v>37</v>
      </c>
      <c r="D39" s="480">
        <v>0.0</v>
      </c>
      <c r="E39" s="481" t="str">
        <f t="shared" si="1"/>
        <v>Static</v>
      </c>
      <c r="F39" s="481">
        <v>1.0</v>
      </c>
      <c r="G39" s="481" t="str">
        <f t="shared" si="2"/>
        <v>BionicBack</v>
      </c>
      <c r="H39" s="481">
        <v>0.0</v>
      </c>
      <c r="I39" s="451">
        <v>7.0</v>
      </c>
      <c r="J39" s="451">
        <v>36.11</v>
      </c>
      <c r="K39" s="451">
        <v>77.5</v>
      </c>
      <c r="L39" s="451">
        <v>2.13</v>
      </c>
      <c r="M39" s="57">
        <v>335.99</v>
      </c>
      <c r="N39" s="57">
        <v>220.24</v>
      </c>
      <c r="O39" s="57">
        <v>52.75</v>
      </c>
      <c r="P39" s="423">
        <v>9.0</v>
      </c>
      <c r="Q39" s="423">
        <v>6.0</v>
      </c>
      <c r="R39" s="423">
        <v>8.1</v>
      </c>
    </row>
    <row r="40">
      <c r="A40" s="482"/>
      <c r="B40" s="51">
        <v>20.0</v>
      </c>
      <c r="C40" s="59" t="s">
        <v>40</v>
      </c>
      <c r="D40" s="480">
        <v>0.0</v>
      </c>
      <c r="E40" s="481" t="str">
        <f t="shared" si="1"/>
        <v>Dynamic</v>
      </c>
      <c r="F40" s="481">
        <v>2.0</v>
      </c>
      <c r="G40" s="481" t="str">
        <f t="shared" si="2"/>
        <v>BionicBack</v>
      </c>
      <c r="H40" s="481">
        <v>0.0</v>
      </c>
      <c r="I40" s="451">
        <v>7.0</v>
      </c>
      <c r="J40" s="451">
        <v>38.89</v>
      </c>
      <c r="K40" s="451">
        <v>87.5</v>
      </c>
      <c r="L40" s="451">
        <v>1.63</v>
      </c>
      <c r="M40" s="57">
        <v>695.96</v>
      </c>
      <c r="N40" s="57">
        <v>440.59</v>
      </c>
      <c r="O40" s="57">
        <v>78.83</v>
      </c>
      <c r="P40" s="423">
        <v>9.0</v>
      </c>
      <c r="Q40" s="423">
        <v>6.0</v>
      </c>
      <c r="R40" s="423">
        <v>8.1</v>
      </c>
    </row>
    <row r="41">
      <c r="A41" s="482"/>
      <c r="B41" s="51">
        <v>21.0</v>
      </c>
      <c r="C41" s="59" t="s">
        <v>37</v>
      </c>
      <c r="D41" s="480">
        <v>0.0</v>
      </c>
      <c r="E41" s="481" t="str">
        <f t="shared" si="1"/>
        <v>Static</v>
      </c>
      <c r="F41" s="481">
        <v>1.0</v>
      </c>
      <c r="G41" s="481" t="str">
        <f t="shared" si="2"/>
        <v>BionicBack</v>
      </c>
      <c r="H41" s="481">
        <v>0.0</v>
      </c>
      <c r="I41" s="451">
        <v>2.0</v>
      </c>
      <c r="J41" s="451">
        <v>52.78</v>
      </c>
      <c r="K41" s="451">
        <v>37.5</v>
      </c>
      <c r="L41" s="451">
        <v>-1.0</v>
      </c>
      <c r="M41" s="57">
        <v>451.59</v>
      </c>
      <c r="N41" s="57">
        <v>220.59</v>
      </c>
      <c r="O41" s="57">
        <v>42.94</v>
      </c>
      <c r="P41" s="423">
        <v>10.0</v>
      </c>
      <c r="Q41" s="423">
        <v>10.0</v>
      </c>
      <c r="R41" s="423">
        <v>10.0</v>
      </c>
    </row>
    <row r="42">
      <c r="A42" s="491" t="s">
        <v>673</v>
      </c>
      <c r="B42" s="492">
        <v>22.0</v>
      </c>
      <c r="C42" s="493" t="s">
        <v>40</v>
      </c>
      <c r="D42" s="494" t="s">
        <v>484</v>
      </c>
      <c r="E42" s="495" t="str">
        <f t="shared" si="1"/>
        <v>Dynamic</v>
      </c>
      <c r="F42" s="496" t="s">
        <v>674</v>
      </c>
      <c r="G42" s="495" t="str">
        <f t="shared" si="2"/>
        <v>BionicBack</v>
      </c>
      <c r="H42" s="496" t="s">
        <v>675</v>
      </c>
      <c r="I42" s="497">
        <v>6.0</v>
      </c>
      <c r="J42" s="497">
        <v>36.11</v>
      </c>
      <c r="K42" s="497">
        <v>75.0</v>
      </c>
      <c r="L42" s="497">
        <v>1.0</v>
      </c>
      <c r="M42" s="498">
        <v>305.94</v>
      </c>
      <c r="N42" s="498">
        <v>305.44</v>
      </c>
      <c r="O42" s="498">
        <v>39.62</v>
      </c>
      <c r="P42" s="499">
        <v>8.0</v>
      </c>
      <c r="Q42" s="499">
        <v>6.0</v>
      </c>
      <c r="R42" s="499">
        <v>7.4</v>
      </c>
      <c r="S42" s="500"/>
      <c r="T42" s="500"/>
      <c r="U42" s="500"/>
      <c r="V42" s="500"/>
      <c r="W42" s="500"/>
      <c r="X42" s="500"/>
      <c r="Y42" s="500"/>
      <c r="Z42" s="500"/>
      <c r="AA42" s="500"/>
      <c r="AB42" s="500"/>
      <c r="AC42" s="500"/>
      <c r="AD42" s="500"/>
      <c r="AE42" s="500"/>
      <c r="AF42" s="500"/>
      <c r="AG42" s="500"/>
    </row>
    <row r="43">
      <c r="A43" s="482"/>
      <c r="B43" s="323">
        <v>23.0</v>
      </c>
      <c r="C43" s="501" t="s">
        <v>36</v>
      </c>
      <c r="D43" s="502" t="s">
        <v>484</v>
      </c>
      <c r="E43" s="503" t="str">
        <f t="shared" si="1"/>
        <v>Dynamic</v>
      </c>
      <c r="F43" s="504" t="s">
        <v>674</v>
      </c>
      <c r="G43" s="503" t="str">
        <f t="shared" si="2"/>
        <v>Apogee</v>
      </c>
      <c r="H43" s="504" t="s">
        <v>484</v>
      </c>
      <c r="I43" s="451">
        <v>5.0</v>
      </c>
      <c r="J43" s="451">
        <v>50.0</v>
      </c>
      <c r="K43" s="451">
        <v>77.5</v>
      </c>
      <c r="L43" s="451">
        <v>1.25</v>
      </c>
      <c r="M43" s="57">
        <v>667.86</v>
      </c>
      <c r="N43" s="57">
        <v>371.11</v>
      </c>
      <c r="O43" s="57">
        <v>109.77</v>
      </c>
      <c r="P43" s="423">
        <v>9.0</v>
      </c>
      <c r="Q43" s="423">
        <v>10.0</v>
      </c>
      <c r="R43" s="423">
        <v>9.3</v>
      </c>
    </row>
    <row r="44">
      <c r="A44" s="482"/>
      <c r="B44" s="323">
        <v>24.0</v>
      </c>
      <c r="C44" s="501" t="s">
        <v>40</v>
      </c>
      <c r="D44" s="502" t="s">
        <v>484</v>
      </c>
      <c r="E44" s="503" t="str">
        <f t="shared" si="1"/>
        <v>Dynamic</v>
      </c>
      <c r="F44" s="504" t="s">
        <v>674</v>
      </c>
      <c r="G44" s="503" t="str">
        <f t="shared" si="2"/>
        <v>BionicBack</v>
      </c>
      <c r="H44" s="504" t="s">
        <v>675</v>
      </c>
      <c r="I44" s="451">
        <v>5.0</v>
      </c>
      <c r="J44" s="451">
        <v>41.67</v>
      </c>
      <c r="K44" s="451">
        <v>75.0</v>
      </c>
      <c r="L44" s="451">
        <v>1.88</v>
      </c>
      <c r="M44" s="57">
        <v>511.56</v>
      </c>
      <c r="N44" s="57">
        <v>273.75</v>
      </c>
      <c r="O44" s="57">
        <v>45.63</v>
      </c>
      <c r="P44" s="423">
        <v>6.0</v>
      </c>
      <c r="Q44" s="423">
        <v>6.0</v>
      </c>
      <c r="R44" s="423">
        <v>6.0</v>
      </c>
    </row>
    <row r="45">
      <c r="A45" s="482"/>
      <c r="B45" s="323">
        <v>25.0</v>
      </c>
      <c r="C45" s="501" t="s">
        <v>36</v>
      </c>
      <c r="D45" s="502" t="s">
        <v>484</v>
      </c>
      <c r="E45" s="503" t="str">
        <f t="shared" si="1"/>
        <v>Dynamic</v>
      </c>
      <c r="F45" s="504" t="s">
        <v>674</v>
      </c>
      <c r="G45" s="503" t="str">
        <f t="shared" si="2"/>
        <v>Apogee</v>
      </c>
      <c r="H45" s="504" t="s">
        <v>484</v>
      </c>
      <c r="I45" s="451">
        <v>6.0</v>
      </c>
      <c r="J45" s="451">
        <v>25.0</v>
      </c>
      <c r="K45" s="451">
        <v>92.5</v>
      </c>
      <c r="L45" s="451">
        <v>0.88</v>
      </c>
      <c r="M45" s="57">
        <v>261.69</v>
      </c>
      <c r="N45" s="57">
        <v>225.85</v>
      </c>
      <c r="O45" s="57">
        <v>109.75</v>
      </c>
      <c r="P45" s="423">
        <v>9.0</v>
      </c>
      <c r="Q45" s="423">
        <v>10.0</v>
      </c>
      <c r="R45" s="423">
        <v>9.3</v>
      </c>
    </row>
    <row r="46">
      <c r="A46" s="482"/>
      <c r="B46" s="323">
        <v>26.0</v>
      </c>
      <c r="C46" s="501" t="s">
        <v>40</v>
      </c>
      <c r="D46" s="502" t="s">
        <v>484</v>
      </c>
      <c r="E46" s="503" t="str">
        <f t="shared" si="1"/>
        <v>Dynamic</v>
      </c>
      <c r="F46" s="504" t="s">
        <v>674</v>
      </c>
      <c r="G46" s="503" t="str">
        <f t="shared" si="2"/>
        <v>BionicBack</v>
      </c>
      <c r="H46" s="504" t="s">
        <v>675</v>
      </c>
      <c r="I46" s="451">
        <v>5.0</v>
      </c>
      <c r="J46" s="451">
        <v>58.33</v>
      </c>
      <c r="K46" s="451">
        <v>67.5</v>
      </c>
      <c r="L46" s="451">
        <v>1.5</v>
      </c>
      <c r="M46" s="57">
        <v>583.02</v>
      </c>
      <c r="N46" s="57">
        <v>347.91</v>
      </c>
      <c r="O46" s="57">
        <v>60.64</v>
      </c>
      <c r="P46" s="423">
        <v>10.0</v>
      </c>
      <c r="Q46" s="423">
        <v>10.0</v>
      </c>
      <c r="R46" s="423">
        <v>10.0</v>
      </c>
    </row>
    <row r="47">
      <c r="A47" s="482"/>
      <c r="B47" s="323">
        <v>27.0</v>
      </c>
      <c r="C47" s="501" t="s">
        <v>36</v>
      </c>
      <c r="D47" s="502" t="s">
        <v>484</v>
      </c>
      <c r="E47" s="503" t="str">
        <f t="shared" si="1"/>
        <v>Dynamic</v>
      </c>
      <c r="F47" s="504" t="s">
        <v>674</v>
      </c>
      <c r="G47" s="503" t="str">
        <f t="shared" si="2"/>
        <v>Apogee</v>
      </c>
      <c r="H47" s="504" t="s">
        <v>484</v>
      </c>
      <c r="I47" s="451">
        <v>5.0</v>
      </c>
      <c r="J47" s="451">
        <v>36.11</v>
      </c>
      <c r="K47" s="451">
        <v>80.0</v>
      </c>
      <c r="L47" s="451">
        <v>2.88</v>
      </c>
      <c r="M47" s="57">
        <v>938.68</v>
      </c>
      <c r="N47" s="57">
        <v>439.91</v>
      </c>
      <c r="O47" s="57">
        <v>141.62</v>
      </c>
      <c r="P47" s="423">
        <v>9.0</v>
      </c>
      <c r="Q47" s="423">
        <v>10.0</v>
      </c>
      <c r="R47" s="423">
        <v>9.3</v>
      </c>
    </row>
    <row r="48">
      <c r="A48" s="482"/>
      <c r="B48" s="323">
        <v>28.0</v>
      </c>
      <c r="C48" s="501" t="s">
        <v>40</v>
      </c>
      <c r="D48" s="502" t="s">
        <v>484</v>
      </c>
      <c r="E48" s="503" t="str">
        <f t="shared" si="1"/>
        <v>Dynamic</v>
      </c>
      <c r="F48" s="504" t="s">
        <v>674</v>
      </c>
      <c r="G48" s="503" t="str">
        <f t="shared" si="2"/>
        <v>BionicBack</v>
      </c>
      <c r="H48" s="504" t="s">
        <v>675</v>
      </c>
      <c r="I48" s="451">
        <v>6.0</v>
      </c>
      <c r="J48" s="451">
        <v>27.78</v>
      </c>
      <c r="K48" s="451">
        <v>85.0</v>
      </c>
      <c r="L48" s="451">
        <v>1.75</v>
      </c>
      <c r="M48" s="57">
        <v>324.07</v>
      </c>
      <c r="N48" s="57">
        <v>239.72</v>
      </c>
      <c r="O48" s="57">
        <v>64.31</v>
      </c>
      <c r="P48" s="423">
        <v>8.0</v>
      </c>
      <c r="Q48" s="423">
        <v>10.0</v>
      </c>
      <c r="R48" s="423">
        <v>8.6</v>
      </c>
    </row>
    <row r="49">
      <c r="A49" s="482"/>
      <c r="B49" s="323">
        <v>29.0</v>
      </c>
      <c r="C49" s="501" t="s">
        <v>36</v>
      </c>
      <c r="D49" s="502" t="s">
        <v>484</v>
      </c>
      <c r="E49" s="503" t="str">
        <f t="shared" si="1"/>
        <v>Dynamic</v>
      </c>
      <c r="F49" s="504" t="s">
        <v>674</v>
      </c>
      <c r="G49" s="503" t="str">
        <f t="shared" si="2"/>
        <v>Apogee</v>
      </c>
      <c r="H49" s="504" t="s">
        <v>484</v>
      </c>
      <c r="I49" s="451">
        <v>5.0</v>
      </c>
      <c r="J49" s="451">
        <v>36.11</v>
      </c>
      <c r="K49" s="451">
        <v>85.0</v>
      </c>
      <c r="L49" s="451">
        <v>0.75</v>
      </c>
      <c r="M49" s="57">
        <v>382.16</v>
      </c>
      <c r="N49" s="57">
        <v>327.89</v>
      </c>
      <c r="O49" s="57">
        <v>146.25</v>
      </c>
      <c r="P49" s="423">
        <v>8.0</v>
      </c>
      <c r="Q49" s="423">
        <v>6.0</v>
      </c>
      <c r="R49" s="423">
        <v>7.4</v>
      </c>
    </row>
    <row r="50">
      <c r="A50" s="482"/>
      <c r="B50" s="323">
        <v>31.0</v>
      </c>
      <c r="C50" s="501" t="s">
        <v>36</v>
      </c>
      <c r="D50" s="502" t="s">
        <v>484</v>
      </c>
      <c r="E50" s="503" t="str">
        <f t="shared" si="1"/>
        <v>Dynamic</v>
      </c>
      <c r="F50" s="504" t="s">
        <v>674</v>
      </c>
      <c r="G50" s="503" t="str">
        <f t="shared" si="2"/>
        <v>Apogee</v>
      </c>
      <c r="H50" s="504" t="s">
        <v>484</v>
      </c>
      <c r="I50" s="451">
        <v>6.0</v>
      </c>
      <c r="J50" s="451">
        <v>38.89</v>
      </c>
      <c r="K50" s="451">
        <v>85.0</v>
      </c>
      <c r="L50" s="451">
        <v>0.63</v>
      </c>
      <c r="M50" s="57">
        <v>479.95</v>
      </c>
      <c r="N50" s="57">
        <v>466.72</v>
      </c>
      <c r="O50" s="57">
        <v>205.63</v>
      </c>
      <c r="P50" s="423">
        <v>8.0</v>
      </c>
      <c r="Q50" s="423">
        <v>6.0</v>
      </c>
      <c r="R50" s="423">
        <v>7.4</v>
      </c>
    </row>
    <row r="51">
      <c r="A51" s="482"/>
      <c r="B51" s="323">
        <v>32.0</v>
      </c>
      <c r="C51" s="505" t="s">
        <v>40</v>
      </c>
      <c r="D51" s="502" t="s">
        <v>484</v>
      </c>
      <c r="E51" s="503" t="str">
        <f t="shared" si="1"/>
        <v>Dynamic</v>
      </c>
      <c r="F51" s="504" t="s">
        <v>674</v>
      </c>
      <c r="G51" s="503" t="str">
        <f t="shared" si="2"/>
        <v>BionicBack</v>
      </c>
      <c r="H51" s="504" t="s">
        <v>675</v>
      </c>
      <c r="I51" s="451">
        <v>5.0</v>
      </c>
      <c r="J51" s="451">
        <v>30.56</v>
      </c>
      <c r="K51" s="451">
        <v>82.5</v>
      </c>
      <c r="L51" s="451">
        <v>0.63</v>
      </c>
      <c r="M51" s="57">
        <v>562.03</v>
      </c>
      <c r="N51" s="57">
        <v>398.78</v>
      </c>
      <c r="O51" s="57">
        <v>49.15</v>
      </c>
      <c r="P51" s="423">
        <v>10.0</v>
      </c>
      <c r="Q51" s="423">
        <v>10.0</v>
      </c>
      <c r="R51" s="423">
        <v>10.0</v>
      </c>
    </row>
    <row r="52">
      <c r="A52" s="506" t="s">
        <v>676</v>
      </c>
      <c r="B52" s="507">
        <v>22.0</v>
      </c>
      <c r="C52" s="508" t="s">
        <v>36</v>
      </c>
      <c r="D52" s="509" t="s">
        <v>484</v>
      </c>
      <c r="E52" s="510" t="str">
        <f t="shared" si="1"/>
        <v>Dynamic</v>
      </c>
      <c r="F52" s="511" t="s">
        <v>674</v>
      </c>
      <c r="G52" s="510" t="str">
        <f t="shared" si="2"/>
        <v>Apogee</v>
      </c>
      <c r="H52" s="511" t="s">
        <v>484</v>
      </c>
      <c r="I52" s="488">
        <v>5.0</v>
      </c>
      <c r="J52" s="488">
        <v>36.11</v>
      </c>
      <c r="K52" s="488">
        <v>82.5</v>
      </c>
      <c r="L52" s="488">
        <v>1.38</v>
      </c>
      <c r="M52" s="489">
        <v>433.38</v>
      </c>
      <c r="N52" s="489">
        <v>484.8</v>
      </c>
      <c r="O52" s="489">
        <v>70.79</v>
      </c>
      <c r="P52" s="490">
        <v>9.0</v>
      </c>
      <c r="Q52" s="490">
        <v>10.0</v>
      </c>
      <c r="R52" s="490">
        <v>9.3</v>
      </c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</row>
    <row r="53">
      <c r="A53" s="482"/>
      <c r="B53" s="323">
        <v>23.0</v>
      </c>
      <c r="C53" s="501" t="s">
        <v>40</v>
      </c>
      <c r="D53" s="502" t="s">
        <v>484</v>
      </c>
      <c r="E53" s="503" t="str">
        <f t="shared" si="1"/>
        <v>Dynamic</v>
      </c>
      <c r="F53" s="504" t="s">
        <v>674</v>
      </c>
      <c r="G53" s="503" t="str">
        <f t="shared" si="2"/>
        <v>BionicBack</v>
      </c>
      <c r="H53" s="504" t="s">
        <v>675</v>
      </c>
      <c r="I53" s="451">
        <v>6.0</v>
      </c>
      <c r="J53" s="451">
        <v>44.44</v>
      </c>
      <c r="K53" s="451">
        <v>85.0</v>
      </c>
      <c r="L53" s="451">
        <v>1.13</v>
      </c>
      <c r="M53" s="57">
        <v>469.6</v>
      </c>
      <c r="N53" s="57">
        <v>340.26</v>
      </c>
      <c r="O53" s="57">
        <v>53.14</v>
      </c>
      <c r="P53" s="423">
        <v>8.0</v>
      </c>
      <c r="Q53" s="423">
        <v>10.0</v>
      </c>
      <c r="R53" s="423">
        <v>8.6</v>
      </c>
    </row>
    <row r="54">
      <c r="A54" s="482"/>
      <c r="B54" s="323">
        <v>24.0</v>
      </c>
      <c r="C54" s="501" t="s">
        <v>36</v>
      </c>
      <c r="D54" s="502" t="s">
        <v>484</v>
      </c>
      <c r="E54" s="503" t="str">
        <f t="shared" si="1"/>
        <v>Dynamic</v>
      </c>
      <c r="F54" s="504" t="s">
        <v>674</v>
      </c>
      <c r="G54" s="503" t="str">
        <f t="shared" si="2"/>
        <v>Apogee</v>
      </c>
      <c r="H54" s="504" t="s">
        <v>484</v>
      </c>
      <c r="I54" s="451">
        <v>5.0</v>
      </c>
      <c r="J54" s="451">
        <v>58.33</v>
      </c>
      <c r="K54" s="451">
        <v>62.5</v>
      </c>
      <c r="L54" s="451">
        <v>1.63</v>
      </c>
      <c r="M54" s="57">
        <v>526.11</v>
      </c>
      <c r="N54" s="57">
        <v>324.48</v>
      </c>
      <c r="O54" s="57">
        <v>198.49</v>
      </c>
      <c r="P54" s="423">
        <v>10.0</v>
      </c>
      <c r="Q54" s="423">
        <v>10.0</v>
      </c>
      <c r="R54" s="423">
        <v>10.0</v>
      </c>
    </row>
    <row r="55">
      <c r="A55" s="482"/>
      <c r="B55" s="323">
        <v>25.0</v>
      </c>
      <c r="C55" s="501" t="s">
        <v>40</v>
      </c>
      <c r="D55" s="502" t="s">
        <v>484</v>
      </c>
      <c r="E55" s="503" t="str">
        <f t="shared" si="1"/>
        <v>Dynamic</v>
      </c>
      <c r="F55" s="504" t="s">
        <v>674</v>
      </c>
      <c r="G55" s="503" t="str">
        <f t="shared" si="2"/>
        <v>BionicBack</v>
      </c>
      <c r="H55" s="504" t="s">
        <v>675</v>
      </c>
      <c r="I55" s="451">
        <v>7.0</v>
      </c>
      <c r="J55" s="451">
        <v>22.22</v>
      </c>
      <c r="K55" s="451">
        <v>85.0</v>
      </c>
      <c r="L55" s="451">
        <v>0.88</v>
      </c>
      <c r="M55" s="57">
        <v>339.45</v>
      </c>
      <c r="N55" s="57">
        <v>256.35</v>
      </c>
      <c r="O55" s="57">
        <v>61.03</v>
      </c>
      <c r="P55" s="423">
        <v>9.0</v>
      </c>
      <c r="Q55" s="423">
        <v>10.0</v>
      </c>
      <c r="R55" s="423">
        <v>9.3</v>
      </c>
    </row>
    <row r="56">
      <c r="A56" s="482"/>
      <c r="B56" s="323">
        <v>26.0</v>
      </c>
      <c r="C56" s="501" t="s">
        <v>36</v>
      </c>
      <c r="D56" s="502" t="s">
        <v>484</v>
      </c>
      <c r="E56" s="503" t="str">
        <f t="shared" si="1"/>
        <v>Dynamic</v>
      </c>
      <c r="F56" s="504" t="s">
        <v>674</v>
      </c>
      <c r="G56" s="503" t="str">
        <f t="shared" si="2"/>
        <v>Apogee</v>
      </c>
      <c r="H56" s="504" t="s">
        <v>484</v>
      </c>
      <c r="I56" s="451">
        <v>5.0</v>
      </c>
      <c r="J56" s="451">
        <v>41.67</v>
      </c>
      <c r="K56" s="451">
        <v>80.0</v>
      </c>
      <c r="L56" s="451">
        <v>1.13</v>
      </c>
      <c r="M56" s="57">
        <v>683.88</v>
      </c>
      <c r="N56" s="57">
        <v>457.47</v>
      </c>
      <c r="O56" s="57">
        <v>181.22</v>
      </c>
      <c r="P56" s="423">
        <v>9.0</v>
      </c>
      <c r="Q56" s="423">
        <v>10.0</v>
      </c>
      <c r="R56" s="423">
        <v>9.3</v>
      </c>
    </row>
    <row r="57">
      <c r="A57" s="482"/>
      <c r="B57" s="323">
        <v>27.0</v>
      </c>
      <c r="C57" s="501" t="s">
        <v>40</v>
      </c>
      <c r="D57" s="502" t="s">
        <v>484</v>
      </c>
      <c r="E57" s="503" t="str">
        <f t="shared" si="1"/>
        <v>Dynamic</v>
      </c>
      <c r="F57" s="504" t="s">
        <v>674</v>
      </c>
      <c r="G57" s="503" t="str">
        <f t="shared" si="2"/>
        <v>BionicBack</v>
      </c>
      <c r="H57" s="504" t="s">
        <v>675</v>
      </c>
      <c r="I57" s="451">
        <v>4.0</v>
      </c>
      <c r="J57" s="451">
        <v>52.78</v>
      </c>
      <c r="K57" s="451">
        <v>67.5</v>
      </c>
      <c r="L57" s="451">
        <v>2.63</v>
      </c>
      <c r="M57" s="57">
        <v>816.6</v>
      </c>
      <c r="N57" s="57">
        <v>501.47</v>
      </c>
      <c r="O57" s="57">
        <v>44.42</v>
      </c>
      <c r="P57" s="423">
        <v>8.0</v>
      </c>
      <c r="Q57" s="423">
        <v>10.0</v>
      </c>
      <c r="R57" s="423">
        <v>8.6</v>
      </c>
    </row>
    <row r="58">
      <c r="A58" s="482"/>
      <c r="B58" s="323">
        <v>28.0</v>
      </c>
      <c r="C58" s="501" t="s">
        <v>36</v>
      </c>
      <c r="D58" s="502" t="s">
        <v>484</v>
      </c>
      <c r="E58" s="503" t="str">
        <f t="shared" si="1"/>
        <v>Dynamic</v>
      </c>
      <c r="F58" s="504" t="s">
        <v>674</v>
      </c>
      <c r="G58" s="503" t="str">
        <f t="shared" si="2"/>
        <v>Apogee</v>
      </c>
      <c r="H58" s="504" t="s">
        <v>484</v>
      </c>
      <c r="I58" s="451">
        <v>3.0</v>
      </c>
      <c r="J58" s="451">
        <v>66.67</v>
      </c>
      <c r="K58" s="451">
        <v>77.5</v>
      </c>
      <c r="L58" s="451">
        <v>1.13</v>
      </c>
      <c r="M58" s="57">
        <v>677.46</v>
      </c>
      <c r="N58" s="57">
        <v>316.97</v>
      </c>
      <c r="O58" s="57">
        <v>75.36</v>
      </c>
      <c r="P58" s="423">
        <v>8.0</v>
      </c>
      <c r="Q58" s="423">
        <v>6.0</v>
      </c>
      <c r="R58" s="423">
        <v>7.4</v>
      </c>
    </row>
    <row r="59">
      <c r="A59" s="482"/>
      <c r="B59" s="323">
        <v>29.0</v>
      </c>
      <c r="C59" s="501" t="s">
        <v>40</v>
      </c>
      <c r="D59" s="502" t="s">
        <v>484</v>
      </c>
      <c r="E59" s="503" t="str">
        <f t="shared" si="1"/>
        <v>Dynamic</v>
      </c>
      <c r="F59" s="504" t="s">
        <v>674</v>
      </c>
      <c r="G59" s="503" t="str">
        <f t="shared" si="2"/>
        <v>BionicBack</v>
      </c>
      <c r="H59" s="504" t="s">
        <v>675</v>
      </c>
      <c r="I59" s="451">
        <v>3.0</v>
      </c>
      <c r="J59" s="451">
        <v>41.67</v>
      </c>
      <c r="K59" s="451">
        <v>77.5</v>
      </c>
      <c r="L59" s="451">
        <v>0.13</v>
      </c>
      <c r="M59" s="57">
        <v>510.56</v>
      </c>
      <c r="N59" s="57">
        <v>197.66</v>
      </c>
      <c r="O59" s="57">
        <v>57.83</v>
      </c>
      <c r="P59" s="423">
        <v>7.0</v>
      </c>
      <c r="Q59" s="423">
        <v>10.0</v>
      </c>
      <c r="R59" s="423">
        <v>7.9</v>
      </c>
    </row>
    <row r="60">
      <c r="A60" s="482"/>
      <c r="B60" s="323">
        <v>31.0</v>
      </c>
      <c r="C60" s="512" t="s">
        <v>40</v>
      </c>
      <c r="D60" s="502" t="s">
        <v>484</v>
      </c>
      <c r="E60" s="513" t="str">
        <f t="shared" si="1"/>
        <v>Dynamic</v>
      </c>
      <c r="F60" s="504" t="s">
        <v>674</v>
      </c>
      <c r="G60" s="513" t="str">
        <f t="shared" si="2"/>
        <v>BionicBack</v>
      </c>
      <c r="H60" s="514" t="s">
        <v>675</v>
      </c>
      <c r="I60" s="451">
        <v>2.0</v>
      </c>
      <c r="J60" s="451">
        <v>41.67</v>
      </c>
      <c r="K60" s="451">
        <v>40.0</v>
      </c>
      <c r="L60" s="451">
        <v>-1.25</v>
      </c>
      <c r="M60" s="57">
        <v>543.95</v>
      </c>
      <c r="N60" s="57">
        <v>390.81</v>
      </c>
      <c r="O60" s="57">
        <v>43.16</v>
      </c>
      <c r="P60" s="423">
        <v>9.0</v>
      </c>
      <c r="Q60" s="423">
        <v>10.0</v>
      </c>
      <c r="R60" s="423">
        <v>9.3</v>
      </c>
    </row>
    <row r="61">
      <c r="A61" s="482"/>
      <c r="B61" s="323">
        <v>32.0</v>
      </c>
      <c r="C61" s="512" t="s">
        <v>36</v>
      </c>
      <c r="D61" s="502" t="s">
        <v>484</v>
      </c>
      <c r="E61" s="513" t="str">
        <f t="shared" si="1"/>
        <v>Dynamic</v>
      </c>
      <c r="F61" s="504" t="s">
        <v>674</v>
      </c>
      <c r="G61" s="513" t="str">
        <f t="shared" si="2"/>
        <v>Apogee</v>
      </c>
      <c r="H61" s="514" t="s">
        <v>484</v>
      </c>
      <c r="I61" s="451">
        <v>5.0</v>
      </c>
      <c r="J61" s="451">
        <v>25.0</v>
      </c>
      <c r="K61" s="451">
        <v>85.0</v>
      </c>
      <c r="L61" s="451">
        <v>1.38</v>
      </c>
      <c r="M61" s="57">
        <v>671.68</v>
      </c>
      <c r="N61" s="57">
        <v>340.23</v>
      </c>
      <c r="O61" s="57">
        <v>80.9</v>
      </c>
      <c r="P61" s="423">
        <v>9.0</v>
      </c>
      <c r="Q61" s="423">
        <v>6.0</v>
      </c>
      <c r="R61" s="423">
        <v>8.1</v>
      </c>
    </row>
    <row r="62">
      <c r="A62" s="80"/>
      <c r="B62" s="80"/>
      <c r="C62" s="106"/>
      <c r="D62" s="80"/>
      <c r="E62" s="106"/>
      <c r="F62" s="106"/>
      <c r="G62" s="106"/>
      <c r="H62" s="106"/>
    </row>
    <row r="63">
      <c r="A63" s="80"/>
      <c r="B63" s="80"/>
      <c r="C63" s="106"/>
      <c r="D63" s="80"/>
      <c r="E63" s="106"/>
      <c r="F63" s="106"/>
      <c r="G63" s="106"/>
      <c r="H63" s="106"/>
    </row>
    <row r="64">
      <c r="A64" s="80"/>
      <c r="B64" s="80"/>
      <c r="C64" s="106"/>
      <c r="D64" s="51" t="s">
        <v>677</v>
      </c>
      <c r="E64" s="106"/>
      <c r="F64" s="106"/>
      <c r="G64" s="106"/>
      <c r="H64" s="106"/>
    </row>
    <row r="65">
      <c r="A65" s="80"/>
      <c r="B65" s="80"/>
      <c r="C65" s="106"/>
      <c r="D65" s="51" t="s">
        <v>678</v>
      </c>
      <c r="E65" s="106"/>
      <c r="F65" s="106"/>
      <c r="G65" s="106"/>
      <c r="H65" s="106"/>
    </row>
    <row r="66">
      <c r="A66" s="80"/>
      <c r="B66" s="80"/>
      <c r="C66" s="106"/>
      <c r="D66" s="80"/>
      <c r="E66" s="106"/>
      <c r="F66" s="106"/>
      <c r="G66" s="106"/>
      <c r="H66" s="106"/>
    </row>
    <row r="67">
      <c r="A67" s="80"/>
      <c r="B67" s="80"/>
      <c r="C67" s="106"/>
      <c r="D67" s="80"/>
      <c r="E67" s="106"/>
      <c r="F67" s="106"/>
      <c r="G67" s="106"/>
      <c r="H67" s="106"/>
    </row>
    <row r="68">
      <c r="A68" s="80"/>
      <c r="B68" s="80"/>
      <c r="C68" s="106"/>
      <c r="D68" s="80"/>
      <c r="E68" s="106"/>
      <c r="F68" s="106"/>
      <c r="G68" s="106"/>
      <c r="H68" s="106"/>
    </row>
    <row r="69">
      <c r="A69" s="80"/>
      <c r="B69" s="80"/>
      <c r="C69" s="106"/>
      <c r="D69" s="80"/>
      <c r="E69" s="106"/>
      <c r="F69" s="106"/>
      <c r="G69" s="106"/>
      <c r="H69" s="106"/>
    </row>
    <row r="70">
      <c r="A70" s="80"/>
      <c r="B70" s="80"/>
      <c r="C70" s="106"/>
      <c r="D70" s="80"/>
      <c r="E70" s="106"/>
      <c r="F70" s="106"/>
      <c r="G70" s="106"/>
      <c r="H70" s="106"/>
    </row>
    <row r="71">
      <c r="A71" s="80"/>
      <c r="B71" s="80"/>
      <c r="C71" s="106"/>
      <c r="D71" s="80"/>
      <c r="E71" s="106"/>
      <c r="F71" s="106"/>
      <c r="G71" s="106"/>
      <c r="H71" s="106"/>
    </row>
    <row r="72">
      <c r="A72" s="80"/>
      <c r="B72" s="80"/>
      <c r="C72" s="106"/>
      <c r="D72" s="80"/>
      <c r="E72" s="106"/>
      <c r="F72" s="106"/>
      <c r="G72" s="106"/>
      <c r="H72" s="106"/>
    </row>
    <row r="73">
      <c r="A73" s="80"/>
      <c r="B73" s="80"/>
      <c r="C73" s="106"/>
      <c r="D73" s="80"/>
      <c r="E73" s="106"/>
      <c r="F73" s="106"/>
      <c r="G73" s="106"/>
      <c r="H73" s="106"/>
    </row>
    <row r="74">
      <c r="A74" s="80"/>
      <c r="B74" s="80"/>
      <c r="C74" s="106"/>
      <c r="D74" s="80"/>
      <c r="E74" s="106"/>
      <c r="F74" s="106"/>
      <c r="G74" s="106"/>
      <c r="H74" s="106"/>
    </row>
    <row r="75">
      <c r="A75" s="80"/>
      <c r="B75" s="80"/>
      <c r="C75" s="106"/>
      <c r="D75" s="80"/>
      <c r="E75" s="106"/>
      <c r="F75" s="106"/>
      <c r="G75" s="106"/>
      <c r="H75" s="106"/>
    </row>
    <row r="76">
      <c r="A76" s="80"/>
      <c r="B76" s="80"/>
      <c r="C76" s="106"/>
      <c r="D76" s="80"/>
      <c r="E76" s="106"/>
      <c r="F76" s="106"/>
      <c r="G76" s="106"/>
      <c r="H76" s="106"/>
    </row>
    <row r="77">
      <c r="A77" s="80"/>
      <c r="B77" s="80"/>
      <c r="C77" s="106"/>
      <c r="D77" s="80"/>
      <c r="E77" s="106"/>
      <c r="F77" s="106"/>
      <c r="G77" s="106"/>
      <c r="H77" s="106"/>
    </row>
    <row r="78">
      <c r="A78" s="80"/>
      <c r="B78" s="80"/>
      <c r="C78" s="106"/>
      <c r="D78" s="80"/>
      <c r="E78" s="106"/>
      <c r="F78" s="106"/>
      <c r="G78" s="106"/>
      <c r="H78" s="106"/>
    </row>
    <row r="79">
      <c r="A79" s="80"/>
      <c r="B79" s="80"/>
      <c r="C79" s="106"/>
      <c r="D79" s="80"/>
      <c r="E79" s="106"/>
      <c r="F79" s="106"/>
      <c r="G79" s="106"/>
      <c r="H79" s="106"/>
    </row>
    <row r="80">
      <c r="A80" s="80"/>
      <c r="B80" s="80"/>
      <c r="C80" s="106"/>
      <c r="D80" s="80"/>
      <c r="E80" s="106"/>
      <c r="F80" s="106"/>
      <c r="G80" s="106"/>
      <c r="H80" s="106"/>
    </row>
    <row r="81">
      <c r="A81" s="80"/>
      <c r="B81" s="80"/>
      <c r="C81" s="106"/>
      <c r="D81" s="80"/>
      <c r="E81" s="106"/>
      <c r="F81" s="106"/>
      <c r="G81" s="106"/>
      <c r="H81" s="106"/>
    </row>
    <row r="82">
      <c r="A82" s="80"/>
      <c r="B82" s="80"/>
      <c r="C82" s="106"/>
      <c r="D82" s="80"/>
      <c r="E82" s="106"/>
      <c r="F82" s="106"/>
      <c r="G82" s="106"/>
      <c r="H82" s="106"/>
    </row>
    <row r="83">
      <c r="A83" s="80"/>
      <c r="B83" s="80"/>
      <c r="C83" s="106"/>
      <c r="D83" s="80"/>
      <c r="E83" s="106"/>
      <c r="F83" s="106"/>
      <c r="G83" s="106"/>
      <c r="H83" s="106"/>
    </row>
    <row r="84">
      <c r="A84" s="80"/>
      <c r="B84" s="80"/>
      <c r="C84" s="106"/>
      <c r="D84" s="80"/>
      <c r="E84" s="106"/>
      <c r="F84" s="106"/>
      <c r="G84" s="106"/>
      <c r="H84" s="106"/>
    </row>
    <row r="85">
      <c r="A85" s="80"/>
      <c r="B85" s="80"/>
      <c r="C85" s="106"/>
      <c r="D85" s="80"/>
      <c r="E85" s="106"/>
      <c r="F85" s="106"/>
      <c r="G85" s="106"/>
      <c r="H85" s="106"/>
    </row>
    <row r="86">
      <c r="A86" s="80"/>
      <c r="B86" s="80"/>
      <c r="C86" s="106"/>
      <c r="D86" s="80"/>
      <c r="E86" s="106"/>
      <c r="F86" s="106"/>
      <c r="G86" s="106"/>
      <c r="H86" s="106"/>
    </row>
    <row r="87">
      <c r="A87" s="80"/>
      <c r="B87" s="80"/>
      <c r="C87" s="106"/>
      <c r="D87" s="80"/>
      <c r="E87" s="106"/>
      <c r="F87" s="106"/>
      <c r="G87" s="106"/>
      <c r="H87" s="106"/>
    </row>
    <row r="88">
      <c r="A88" s="80"/>
      <c r="B88" s="80"/>
      <c r="C88" s="106"/>
      <c r="D88" s="80"/>
      <c r="E88" s="106"/>
      <c r="F88" s="106"/>
      <c r="G88" s="106"/>
      <c r="H88" s="106"/>
    </row>
    <row r="89">
      <c r="A89" s="80"/>
      <c r="B89" s="80"/>
      <c r="C89" s="106"/>
      <c r="D89" s="80"/>
      <c r="E89" s="106"/>
      <c r="F89" s="106"/>
      <c r="G89" s="106"/>
      <c r="H89" s="106"/>
    </row>
    <row r="90">
      <c r="A90" s="80"/>
      <c r="B90" s="80"/>
      <c r="C90" s="106"/>
      <c r="D90" s="80"/>
      <c r="E90" s="106"/>
      <c r="F90" s="106"/>
      <c r="G90" s="106"/>
      <c r="H90" s="106"/>
    </row>
    <row r="91">
      <c r="A91" s="80"/>
      <c r="B91" s="80"/>
      <c r="C91" s="106"/>
      <c r="D91" s="80"/>
      <c r="E91" s="106"/>
      <c r="F91" s="106"/>
      <c r="G91" s="106"/>
      <c r="H91" s="106"/>
    </row>
    <row r="92">
      <c r="A92" s="80"/>
      <c r="B92" s="80"/>
      <c r="C92" s="106"/>
      <c r="D92" s="80"/>
      <c r="E92" s="106"/>
      <c r="F92" s="106"/>
      <c r="G92" s="106"/>
      <c r="H92" s="106"/>
    </row>
    <row r="93">
      <c r="A93" s="80"/>
      <c r="B93" s="80"/>
      <c r="C93" s="106"/>
      <c r="D93" s="80"/>
      <c r="E93" s="106"/>
      <c r="F93" s="106"/>
      <c r="G93" s="106"/>
      <c r="H93" s="106"/>
    </row>
    <row r="94">
      <c r="A94" s="80"/>
      <c r="B94" s="80"/>
      <c r="C94" s="106"/>
      <c r="D94" s="80"/>
      <c r="E94" s="106"/>
      <c r="F94" s="106"/>
      <c r="G94" s="106"/>
      <c r="H94" s="106"/>
    </row>
    <row r="95">
      <c r="A95" s="80"/>
      <c r="B95" s="80"/>
      <c r="C95" s="106"/>
      <c r="D95" s="80"/>
      <c r="E95" s="106"/>
      <c r="F95" s="106"/>
      <c r="G95" s="106"/>
      <c r="H95" s="106"/>
    </row>
    <row r="96">
      <c r="A96" s="80"/>
      <c r="B96" s="80"/>
      <c r="C96" s="106"/>
      <c r="D96" s="80"/>
      <c r="E96" s="106"/>
      <c r="F96" s="106"/>
      <c r="G96" s="106"/>
      <c r="H96" s="106"/>
    </row>
    <row r="97">
      <c r="A97" s="80"/>
      <c r="B97" s="80"/>
      <c r="C97" s="106"/>
      <c r="D97" s="80"/>
      <c r="E97" s="106"/>
      <c r="F97" s="106"/>
      <c r="G97" s="106"/>
      <c r="H97" s="106"/>
    </row>
    <row r="98">
      <c r="A98" s="80"/>
      <c r="B98" s="80"/>
      <c r="C98" s="106"/>
      <c r="D98" s="80"/>
      <c r="E98" s="106"/>
      <c r="F98" s="106"/>
      <c r="G98" s="106"/>
      <c r="H98" s="106"/>
    </row>
    <row r="99">
      <c r="A99" s="80"/>
      <c r="B99" s="80"/>
      <c r="C99" s="106"/>
      <c r="D99" s="80"/>
      <c r="E99" s="106"/>
      <c r="F99" s="106"/>
      <c r="G99" s="106"/>
      <c r="H99" s="106"/>
    </row>
    <row r="100">
      <c r="A100" s="80"/>
      <c r="B100" s="80"/>
      <c r="C100" s="106"/>
      <c r="D100" s="80"/>
      <c r="E100" s="106"/>
      <c r="F100" s="106"/>
      <c r="G100" s="106"/>
      <c r="H100" s="106"/>
    </row>
    <row r="101">
      <c r="A101" s="80"/>
      <c r="B101" s="80"/>
      <c r="C101" s="106"/>
      <c r="D101" s="80"/>
      <c r="E101" s="106"/>
      <c r="F101" s="106"/>
      <c r="G101" s="106"/>
      <c r="H101" s="106"/>
    </row>
    <row r="102">
      <c r="A102" s="80"/>
      <c r="B102" s="80"/>
      <c r="C102" s="106"/>
      <c r="D102" s="80"/>
      <c r="E102" s="106"/>
      <c r="F102" s="106"/>
      <c r="G102" s="106"/>
      <c r="H102" s="106"/>
    </row>
    <row r="103">
      <c r="A103" s="80"/>
      <c r="B103" s="80"/>
      <c r="C103" s="106"/>
      <c r="D103" s="80"/>
      <c r="E103" s="106"/>
      <c r="F103" s="106"/>
      <c r="G103" s="106"/>
      <c r="H103" s="106"/>
    </row>
    <row r="104">
      <c r="A104" s="80"/>
      <c r="B104" s="80"/>
      <c r="C104" s="106"/>
      <c r="D104" s="80"/>
      <c r="E104" s="106"/>
      <c r="F104" s="106"/>
      <c r="G104" s="106"/>
      <c r="H104" s="106"/>
    </row>
    <row r="105">
      <c r="A105" s="80"/>
      <c r="B105" s="80"/>
      <c r="C105" s="106"/>
      <c r="D105" s="80"/>
      <c r="E105" s="106"/>
      <c r="F105" s="106"/>
      <c r="G105" s="106"/>
      <c r="H105" s="106"/>
    </row>
    <row r="106">
      <c r="A106" s="80"/>
      <c r="B106" s="80"/>
      <c r="C106" s="106"/>
      <c r="D106" s="80"/>
      <c r="E106" s="106"/>
      <c r="F106" s="106"/>
      <c r="G106" s="106"/>
      <c r="H106" s="106"/>
    </row>
    <row r="107">
      <c r="A107" s="80"/>
      <c r="B107" s="80"/>
      <c r="C107" s="106"/>
      <c r="D107" s="80"/>
      <c r="E107" s="106"/>
      <c r="F107" s="106"/>
      <c r="G107" s="106"/>
      <c r="H107" s="106"/>
    </row>
    <row r="108">
      <c r="A108" s="80"/>
      <c r="B108" s="80"/>
      <c r="C108" s="106"/>
      <c r="D108" s="80"/>
      <c r="E108" s="106"/>
      <c r="F108" s="106"/>
      <c r="G108" s="106"/>
      <c r="H108" s="106"/>
    </row>
    <row r="109">
      <c r="A109" s="80"/>
      <c r="B109" s="80"/>
      <c r="C109" s="106"/>
      <c r="D109" s="80"/>
      <c r="E109" s="106"/>
      <c r="F109" s="106"/>
      <c r="G109" s="106"/>
      <c r="H109" s="106"/>
    </row>
    <row r="110">
      <c r="A110" s="80"/>
      <c r="B110" s="80"/>
      <c r="C110" s="106"/>
      <c r="D110" s="80"/>
      <c r="E110" s="106"/>
      <c r="F110" s="106"/>
      <c r="G110" s="106"/>
      <c r="H110" s="106"/>
    </row>
    <row r="111">
      <c r="A111" s="80"/>
      <c r="B111" s="80"/>
      <c r="C111" s="106"/>
      <c r="D111" s="80"/>
      <c r="E111" s="106"/>
      <c r="F111" s="106"/>
      <c r="G111" s="106"/>
      <c r="H111" s="106"/>
    </row>
    <row r="112">
      <c r="A112" s="80"/>
      <c r="B112" s="80"/>
      <c r="C112" s="106"/>
      <c r="D112" s="80"/>
      <c r="E112" s="106"/>
      <c r="F112" s="106"/>
      <c r="G112" s="106"/>
      <c r="H112" s="106"/>
    </row>
    <row r="113">
      <c r="A113" s="80"/>
      <c r="B113" s="80"/>
      <c r="C113" s="106"/>
      <c r="D113" s="80"/>
      <c r="E113" s="106"/>
      <c r="F113" s="106"/>
      <c r="G113" s="106"/>
      <c r="H113" s="106"/>
    </row>
    <row r="114">
      <c r="A114" s="80"/>
      <c r="B114" s="80"/>
      <c r="C114" s="106"/>
      <c r="D114" s="80"/>
      <c r="E114" s="106"/>
      <c r="F114" s="106"/>
      <c r="G114" s="106"/>
      <c r="H114" s="106"/>
    </row>
    <row r="115">
      <c r="A115" s="80"/>
      <c r="B115" s="80"/>
      <c r="C115" s="106"/>
      <c r="D115" s="80"/>
      <c r="E115" s="106"/>
      <c r="F115" s="106"/>
      <c r="G115" s="106"/>
      <c r="H115" s="106"/>
    </row>
    <row r="116">
      <c r="A116" s="80"/>
      <c r="B116" s="80"/>
      <c r="C116" s="106"/>
      <c r="D116" s="80"/>
      <c r="E116" s="106"/>
      <c r="F116" s="106"/>
      <c r="G116" s="106"/>
      <c r="H116" s="106"/>
    </row>
    <row r="117">
      <c r="A117" s="80"/>
      <c r="B117" s="80"/>
      <c r="C117" s="106"/>
      <c r="D117" s="80"/>
      <c r="E117" s="106"/>
      <c r="F117" s="106"/>
      <c r="G117" s="106"/>
      <c r="H117" s="106"/>
    </row>
    <row r="118">
      <c r="A118" s="80"/>
      <c r="B118" s="80"/>
      <c r="C118" s="106"/>
      <c r="D118" s="80"/>
      <c r="E118" s="106"/>
      <c r="F118" s="106"/>
      <c r="G118" s="106"/>
      <c r="H118" s="106"/>
    </row>
    <row r="119">
      <c r="A119" s="80"/>
      <c r="B119" s="80"/>
      <c r="C119" s="106"/>
      <c r="D119" s="80"/>
      <c r="E119" s="106"/>
      <c r="F119" s="106"/>
      <c r="G119" s="106"/>
      <c r="H119" s="106"/>
    </row>
    <row r="120">
      <c r="A120" s="80"/>
      <c r="B120" s="80"/>
      <c r="C120" s="106"/>
      <c r="D120" s="80"/>
      <c r="E120" s="106"/>
      <c r="F120" s="106"/>
      <c r="G120" s="106"/>
      <c r="H120" s="106"/>
    </row>
    <row r="121">
      <c r="A121" s="80"/>
      <c r="B121" s="80"/>
      <c r="C121" s="106"/>
      <c r="D121" s="80"/>
      <c r="E121" s="106"/>
      <c r="F121" s="106"/>
      <c r="G121" s="106"/>
      <c r="H121" s="106"/>
    </row>
    <row r="122">
      <c r="A122" s="80"/>
      <c r="B122" s="80"/>
      <c r="C122" s="106"/>
      <c r="D122" s="80"/>
      <c r="E122" s="106"/>
      <c r="F122" s="106"/>
      <c r="G122" s="106"/>
      <c r="H122" s="106"/>
    </row>
    <row r="123">
      <c r="A123" s="80"/>
      <c r="B123" s="80"/>
      <c r="C123" s="106"/>
      <c r="D123" s="80"/>
      <c r="E123" s="106"/>
      <c r="F123" s="106"/>
      <c r="G123" s="106"/>
      <c r="H123" s="106"/>
    </row>
    <row r="124">
      <c r="A124" s="80"/>
      <c r="B124" s="80"/>
      <c r="C124" s="106"/>
      <c r="D124" s="80"/>
      <c r="E124" s="106"/>
      <c r="F124" s="106"/>
      <c r="G124" s="106"/>
      <c r="H124" s="106"/>
    </row>
    <row r="125">
      <c r="A125" s="80"/>
      <c r="B125" s="80"/>
      <c r="C125" s="106"/>
      <c r="D125" s="80"/>
      <c r="E125" s="106"/>
      <c r="F125" s="106"/>
      <c r="G125" s="106"/>
      <c r="H125" s="106"/>
    </row>
    <row r="126">
      <c r="A126" s="80"/>
      <c r="B126" s="80"/>
      <c r="C126" s="106"/>
      <c r="D126" s="80"/>
      <c r="E126" s="106"/>
      <c r="F126" s="106"/>
      <c r="G126" s="106"/>
      <c r="H126" s="106"/>
    </row>
    <row r="127">
      <c r="A127" s="80"/>
      <c r="B127" s="80"/>
      <c r="C127" s="106"/>
      <c r="D127" s="80"/>
      <c r="E127" s="106"/>
      <c r="F127" s="106"/>
      <c r="G127" s="106"/>
      <c r="H127" s="106"/>
    </row>
    <row r="128">
      <c r="A128" s="80"/>
      <c r="B128" s="80"/>
      <c r="C128" s="106"/>
      <c r="D128" s="80"/>
      <c r="E128" s="106"/>
      <c r="F128" s="106"/>
      <c r="G128" s="106"/>
      <c r="H128" s="106"/>
    </row>
    <row r="129">
      <c r="A129" s="80"/>
      <c r="B129" s="80"/>
      <c r="C129" s="106"/>
      <c r="D129" s="80"/>
      <c r="E129" s="106"/>
      <c r="F129" s="106"/>
      <c r="G129" s="106"/>
      <c r="H129" s="106"/>
    </row>
    <row r="130">
      <c r="A130" s="80"/>
      <c r="B130" s="80"/>
      <c r="C130" s="106"/>
      <c r="D130" s="80"/>
      <c r="E130" s="106"/>
      <c r="F130" s="106"/>
      <c r="G130" s="106"/>
      <c r="H130" s="106"/>
    </row>
    <row r="131">
      <c r="A131" s="80"/>
      <c r="B131" s="80"/>
      <c r="C131" s="106"/>
      <c r="D131" s="80"/>
      <c r="E131" s="106"/>
      <c r="F131" s="106"/>
      <c r="G131" s="106"/>
      <c r="H131" s="106"/>
    </row>
    <row r="132">
      <c r="A132" s="80"/>
      <c r="B132" s="80"/>
      <c r="C132" s="106"/>
      <c r="D132" s="80"/>
      <c r="E132" s="106"/>
      <c r="F132" s="106"/>
      <c r="G132" s="106"/>
      <c r="H132" s="106"/>
    </row>
    <row r="133">
      <c r="A133" s="80"/>
      <c r="B133" s="80"/>
      <c r="C133" s="106"/>
      <c r="D133" s="80"/>
      <c r="E133" s="106"/>
      <c r="F133" s="106"/>
      <c r="G133" s="106"/>
      <c r="H133" s="106"/>
    </row>
    <row r="134">
      <c r="A134" s="80"/>
      <c r="B134" s="80"/>
      <c r="C134" s="106"/>
      <c r="D134" s="80"/>
      <c r="E134" s="106"/>
      <c r="F134" s="106"/>
      <c r="G134" s="106"/>
      <c r="H134" s="106"/>
    </row>
    <row r="135">
      <c r="A135" s="80"/>
      <c r="B135" s="80"/>
      <c r="C135" s="106"/>
      <c r="D135" s="80"/>
      <c r="E135" s="106"/>
      <c r="F135" s="106"/>
      <c r="G135" s="106"/>
      <c r="H135" s="106"/>
    </row>
    <row r="136">
      <c r="A136" s="80"/>
      <c r="B136" s="80"/>
      <c r="C136" s="106"/>
      <c r="D136" s="80"/>
      <c r="E136" s="106"/>
      <c r="F136" s="106"/>
      <c r="G136" s="106"/>
      <c r="H136" s="106"/>
    </row>
    <row r="137">
      <c r="A137" s="80"/>
      <c r="B137" s="80"/>
      <c r="C137" s="106"/>
      <c r="D137" s="80"/>
      <c r="E137" s="106"/>
      <c r="F137" s="106"/>
      <c r="G137" s="106"/>
      <c r="H137" s="106"/>
    </row>
    <row r="138">
      <c r="A138" s="80"/>
      <c r="B138" s="80"/>
      <c r="C138" s="106"/>
      <c r="D138" s="80"/>
      <c r="E138" s="106"/>
      <c r="F138" s="106"/>
      <c r="G138" s="106"/>
      <c r="H138" s="106"/>
    </row>
    <row r="139">
      <c r="A139" s="80"/>
      <c r="B139" s="80"/>
      <c r="C139" s="106"/>
      <c r="D139" s="80"/>
      <c r="E139" s="106"/>
      <c r="F139" s="106"/>
      <c r="G139" s="106"/>
      <c r="H139" s="106"/>
    </row>
    <row r="140">
      <c r="A140" s="80"/>
      <c r="B140" s="80"/>
      <c r="C140" s="106"/>
      <c r="D140" s="80"/>
      <c r="E140" s="106"/>
      <c r="F140" s="106"/>
      <c r="G140" s="106"/>
      <c r="H140" s="106"/>
    </row>
    <row r="141">
      <c r="A141" s="80"/>
      <c r="B141" s="80"/>
      <c r="C141" s="106"/>
      <c r="D141" s="80"/>
      <c r="E141" s="106"/>
      <c r="F141" s="106"/>
      <c r="G141" s="106"/>
      <c r="H141" s="106"/>
    </row>
    <row r="142">
      <c r="A142" s="80"/>
      <c r="B142" s="80"/>
      <c r="C142" s="106"/>
      <c r="D142" s="80"/>
      <c r="E142" s="106"/>
      <c r="F142" s="106"/>
      <c r="G142" s="106"/>
      <c r="H142" s="106"/>
    </row>
    <row r="143">
      <c r="A143" s="80"/>
      <c r="B143" s="80"/>
      <c r="C143" s="106"/>
      <c r="D143" s="80"/>
      <c r="E143" s="106"/>
      <c r="F143" s="106"/>
      <c r="G143" s="106"/>
      <c r="H143" s="106"/>
    </row>
    <row r="144">
      <c r="A144" s="80"/>
      <c r="B144" s="80"/>
      <c r="C144" s="106"/>
      <c r="D144" s="80"/>
      <c r="E144" s="106"/>
      <c r="F144" s="106"/>
      <c r="G144" s="106"/>
      <c r="H144" s="106"/>
    </row>
    <row r="145">
      <c r="A145" s="80"/>
      <c r="B145" s="80"/>
      <c r="C145" s="106"/>
      <c r="D145" s="80"/>
      <c r="E145" s="106"/>
      <c r="F145" s="106"/>
      <c r="G145" s="106"/>
      <c r="H145" s="106"/>
    </row>
    <row r="146">
      <c r="A146" s="80"/>
      <c r="B146" s="80"/>
      <c r="C146" s="106"/>
      <c r="D146" s="80"/>
      <c r="E146" s="106"/>
      <c r="F146" s="106"/>
      <c r="G146" s="106"/>
      <c r="H146" s="106"/>
    </row>
    <row r="147">
      <c r="A147" s="80"/>
      <c r="B147" s="80"/>
      <c r="C147" s="106"/>
      <c r="D147" s="80"/>
      <c r="E147" s="106"/>
      <c r="F147" s="106"/>
      <c r="G147" s="106"/>
      <c r="H147" s="106"/>
    </row>
    <row r="148">
      <c r="A148" s="80"/>
      <c r="B148" s="80"/>
      <c r="C148" s="106"/>
      <c r="D148" s="80"/>
      <c r="E148" s="106"/>
      <c r="F148" s="106"/>
      <c r="G148" s="106"/>
      <c r="H148" s="106"/>
    </row>
    <row r="149">
      <c r="A149" s="80"/>
      <c r="B149" s="80"/>
      <c r="C149" s="106"/>
      <c r="D149" s="80"/>
      <c r="E149" s="106"/>
      <c r="F149" s="106"/>
      <c r="G149" s="106"/>
      <c r="H149" s="106"/>
    </row>
    <row r="150">
      <c r="A150" s="80"/>
      <c r="B150" s="80"/>
      <c r="C150" s="106"/>
      <c r="D150" s="80"/>
      <c r="E150" s="106"/>
      <c r="F150" s="106"/>
      <c r="G150" s="106"/>
      <c r="H150" s="106"/>
    </row>
    <row r="151">
      <c r="A151" s="80"/>
      <c r="B151" s="80"/>
      <c r="C151" s="106"/>
      <c r="D151" s="80"/>
      <c r="E151" s="106"/>
      <c r="F151" s="106"/>
      <c r="G151" s="106"/>
      <c r="H151" s="106"/>
    </row>
    <row r="152">
      <c r="A152" s="80"/>
      <c r="B152" s="80"/>
      <c r="C152" s="106"/>
      <c r="D152" s="80"/>
      <c r="E152" s="106"/>
      <c r="F152" s="106"/>
      <c r="G152" s="106"/>
      <c r="H152" s="106"/>
    </row>
    <row r="153">
      <c r="A153" s="80"/>
      <c r="B153" s="80"/>
      <c r="C153" s="106"/>
      <c r="D153" s="80"/>
      <c r="E153" s="106"/>
      <c r="F153" s="106"/>
      <c r="G153" s="106"/>
      <c r="H153" s="106"/>
    </row>
    <row r="154">
      <c r="A154" s="80"/>
      <c r="B154" s="80"/>
      <c r="C154" s="106"/>
      <c r="D154" s="80"/>
      <c r="E154" s="106"/>
      <c r="F154" s="106"/>
      <c r="G154" s="106"/>
      <c r="H154" s="106"/>
    </row>
    <row r="155">
      <c r="A155" s="80"/>
      <c r="B155" s="80"/>
      <c r="C155" s="106"/>
      <c r="D155" s="80"/>
      <c r="E155" s="106"/>
      <c r="F155" s="106"/>
      <c r="G155" s="106"/>
      <c r="H155" s="106"/>
    </row>
    <row r="156">
      <c r="A156" s="80"/>
      <c r="B156" s="80"/>
      <c r="C156" s="106"/>
      <c r="D156" s="80"/>
      <c r="E156" s="106"/>
      <c r="F156" s="106"/>
      <c r="G156" s="106"/>
      <c r="H156" s="106"/>
    </row>
    <row r="157">
      <c r="A157" s="80"/>
      <c r="B157" s="80"/>
      <c r="C157" s="106"/>
      <c r="D157" s="80"/>
      <c r="E157" s="106"/>
      <c r="F157" s="106"/>
      <c r="G157" s="106"/>
      <c r="H157" s="106"/>
    </row>
    <row r="158">
      <c r="A158" s="80"/>
      <c r="B158" s="80"/>
      <c r="C158" s="106"/>
      <c r="D158" s="80"/>
      <c r="E158" s="106"/>
      <c r="F158" s="106"/>
      <c r="G158" s="106"/>
      <c r="H158" s="106"/>
    </row>
    <row r="159">
      <c r="A159" s="80"/>
      <c r="B159" s="80"/>
      <c r="C159" s="106"/>
      <c r="D159" s="80"/>
      <c r="E159" s="106"/>
      <c r="F159" s="106"/>
      <c r="G159" s="106"/>
      <c r="H159" s="106"/>
    </row>
    <row r="160">
      <c r="A160" s="80"/>
      <c r="B160" s="80"/>
      <c r="C160" s="106"/>
      <c r="D160" s="80"/>
      <c r="E160" s="106"/>
      <c r="F160" s="106"/>
      <c r="G160" s="106"/>
      <c r="H160" s="106"/>
    </row>
    <row r="161">
      <c r="A161" s="80"/>
      <c r="B161" s="80"/>
      <c r="C161" s="106"/>
      <c r="D161" s="80"/>
      <c r="E161" s="106"/>
      <c r="F161" s="106"/>
      <c r="G161" s="106"/>
      <c r="H161" s="106"/>
    </row>
    <row r="162">
      <c r="A162" s="80"/>
      <c r="B162" s="80"/>
      <c r="C162" s="106"/>
      <c r="D162" s="80"/>
      <c r="E162" s="106"/>
      <c r="F162" s="106"/>
      <c r="G162" s="106"/>
      <c r="H162" s="106"/>
    </row>
    <row r="163">
      <c r="A163" s="80"/>
      <c r="B163" s="80"/>
      <c r="C163" s="106"/>
      <c r="D163" s="80"/>
      <c r="E163" s="106"/>
      <c r="F163" s="106"/>
      <c r="G163" s="106"/>
      <c r="H163" s="106"/>
    </row>
    <row r="164">
      <c r="A164" s="80"/>
      <c r="B164" s="80"/>
      <c r="C164" s="106"/>
      <c r="D164" s="80"/>
      <c r="E164" s="106"/>
      <c r="F164" s="106"/>
      <c r="G164" s="106"/>
      <c r="H164" s="106"/>
    </row>
    <row r="165">
      <c r="A165" s="80"/>
      <c r="B165" s="80"/>
      <c r="C165" s="106"/>
      <c r="D165" s="80"/>
      <c r="E165" s="106"/>
      <c r="F165" s="106"/>
      <c r="G165" s="106"/>
      <c r="H165" s="106"/>
    </row>
    <row r="166">
      <c r="A166" s="80"/>
      <c r="B166" s="80"/>
      <c r="C166" s="106"/>
      <c r="D166" s="80"/>
      <c r="E166" s="106"/>
      <c r="F166" s="106"/>
      <c r="G166" s="106"/>
      <c r="H166" s="106"/>
    </row>
    <row r="167">
      <c r="A167" s="80"/>
      <c r="B167" s="80"/>
      <c r="C167" s="106"/>
      <c r="D167" s="80"/>
      <c r="E167" s="106"/>
      <c r="F167" s="106"/>
      <c r="G167" s="106"/>
      <c r="H167" s="106"/>
    </row>
    <row r="168">
      <c r="A168" s="80"/>
      <c r="B168" s="80"/>
      <c r="C168" s="106"/>
      <c r="D168" s="80"/>
      <c r="E168" s="106"/>
      <c r="F168" s="106"/>
      <c r="G168" s="106"/>
      <c r="H168" s="106"/>
    </row>
    <row r="169">
      <c r="A169" s="80"/>
      <c r="B169" s="80"/>
      <c r="C169" s="106"/>
      <c r="D169" s="80"/>
      <c r="E169" s="106"/>
      <c r="F169" s="106"/>
      <c r="G169" s="106"/>
      <c r="H169" s="106"/>
    </row>
    <row r="170">
      <c r="A170" s="80"/>
      <c r="B170" s="80"/>
      <c r="C170" s="106"/>
      <c r="D170" s="80"/>
      <c r="E170" s="106"/>
      <c r="F170" s="106"/>
      <c r="G170" s="106"/>
      <c r="H170" s="106"/>
    </row>
    <row r="171">
      <c r="A171" s="80"/>
      <c r="B171" s="80"/>
      <c r="C171" s="106"/>
      <c r="D171" s="80"/>
      <c r="E171" s="106"/>
      <c r="F171" s="106"/>
      <c r="G171" s="106"/>
      <c r="H171" s="106"/>
    </row>
    <row r="172">
      <c r="A172" s="80"/>
      <c r="B172" s="80"/>
      <c r="C172" s="106"/>
      <c r="D172" s="80"/>
      <c r="E172" s="106"/>
      <c r="F172" s="106"/>
      <c r="G172" s="106"/>
      <c r="H172" s="106"/>
    </row>
    <row r="173">
      <c r="A173" s="80"/>
      <c r="B173" s="80"/>
      <c r="C173" s="106"/>
      <c r="D173" s="80"/>
      <c r="E173" s="106"/>
      <c r="F173" s="106"/>
      <c r="G173" s="106"/>
      <c r="H173" s="106"/>
    </row>
    <row r="174">
      <c r="A174" s="80"/>
      <c r="B174" s="80"/>
      <c r="C174" s="106"/>
      <c r="D174" s="80"/>
      <c r="E174" s="106"/>
      <c r="F174" s="106"/>
      <c r="G174" s="106"/>
      <c r="H174" s="106"/>
    </row>
    <row r="175">
      <c r="A175" s="80"/>
      <c r="B175" s="80"/>
      <c r="C175" s="106"/>
      <c r="D175" s="80"/>
      <c r="E175" s="106"/>
      <c r="F175" s="106"/>
      <c r="G175" s="106"/>
      <c r="H175" s="106"/>
    </row>
    <row r="176">
      <c r="A176" s="80"/>
      <c r="B176" s="80"/>
      <c r="C176" s="106"/>
      <c r="D176" s="80"/>
      <c r="E176" s="106"/>
      <c r="F176" s="106"/>
      <c r="G176" s="106"/>
      <c r="H176" s="106"/>
    </row>
    <row r="177">
      <c r="A177" s="80"/>
      <c r="B177" s="80"/>
      <c r="C177" s="106"/>
      <c r="D177" s="80"/>
      <c r="E177" s="106"/>
      <c r="F177" s="106"/>
      <c r="G177" s="106"/>
      <c r="H177" s="106"/>
    </row>
    <row r="178">
      <c r="A178" s="80"/>
      <c r="B178" s="80"/>
      <c r="C178" s="106"/>
      <c r="D178" s="80"/>
      <c r="E178" s="106"/>
      <c r="F178" s="106"/>
      <c r="G178" s="106"/>
      <c r="H178" s="106"/>
    </row>
    <row r="179">
      <c r="A179" s="80"/>
      <c r="B179" s="80"/>
      <c r="C179" s="106"/>
      <c r="D179" s="80"/>
      <c r="E179" s="106"/>
      <c r="F179" s="106"/>
      <c r="G179" s="106"/>
      <c r="H179" s="106"/>
    </row>
    <row r="180">
      <c r="A180" s="80"/>
      <c r="B180" s="80"/>
      <c r="C180" s="106"/>
      <c r="D180" s="80"/>
      <c r="E180" s="106"/>
      <c r="F180" s="106"/>
      <c r="G180" s="106"/>
      <c r="H180" s="106"/>
    </row>
    <row r="181">
      <c r="A181" s="80"/>
      <c r="B181" s="80"/>
      <c r="C181" s="106"/>
      <c r="D181" s="80"/>
      <c r="E181" s="106"/>
      <c r="F181" s="106"/>
      <c r="G181" s="106"/>
      <c r="H181" s="106"/>
    </row>
    <row r="182">
      <c r="A182" s="80"/>
      <c r="B182" s="80"/>
      <c r="C182" s="106"/>
      <c r="D182" s="80"/>
      <c r="E182" s="106"/>
      <c r="F182" s="106"/>
      <c r="G182" s="106"/>
      <c r="H182" s="106"/>
    </row>
    <row r="183">
      <c r="A183" s="80"/>
      <c r="B183" s="80"/>
      <c r="C183" s="106"/>
      <c r="D183" s="80"/>
      <c r="E183" s="106"/>
      <c r="F183" s="106"/>
      <c r="G183" s="106"/>
      <c r="H183" s="106"/>
    </row>
    <row r="184">
      <c r="A184" s="80"/>
      <c r="B184" s="80"/>
      <c r="C184" s="106"/>
      <c r="D184" s="80"/>
      <c r="E184" s="106"/>
      <c r="F184" s="106"/>
      <c r="G184" s="106"/>
      <c r="H184" s="106"/>
    </row>
    <row r="185">
      <c r="A185" s="80"/>
      <c r="B185" s="80"/>
      <c r="C185" s="106"/>
      <c r="D185" s="80"/>
      <c r="E185" s="106"/>
      <c r="F185" s="106"/>
      <c r="G185" s="106"/>
      <c r="H185" s="106"/>
    </row>
    <row r="186">
      <c r="A186" s="80"/>
      <c r="B186" s="80"/>
      <c r="C186" s="106"/>
      <c r="D186" s="80"/>
      <c r="E186" s="106"/>
      <c r="F186" s="106"/>
      <c r="G186" s="106"/>
      <c r="H186" s="106"/>
    </row>
    <row r="187">
      <c r="A187" s="80"/>
      <c r="B187" s="80"/>
      <c r="C187" s="106"/>
      <c r="D187" s="80"/>
      <c r="E187" s="106"/>
      <c r="F187" s="106"/>
      <c r="G187" s="106"/>
      <c r="H187" s="106"/>
    </row>
    <row r="188">
      <c r="A188" s="80"/>
      <c r="B188" s="80"/>
      <c r="C188" s="106"/>
      <c r="D188" s="80"/>
      <c r="E188" s="106"/>
      <c r="F188" s="106"/>
      <c r="G188" s="106"/>
      <c r="H188" s="106"/>
    </row>
    <row r="189">
      <c r="A189" s="80"/>
      <c r="B189" s="80"/>
      <c r="C189" s="106"/>
      <c r="D189" s="80"/>
      <c r="E189" s="106"/>
      <c r="F189" s="106"/>
      <c r="G189" s="106"/>
      <c r="H189" s="106"/>
    </row>
    <row r="190">
      <c r="A190" s="80"/>
      <c r="B190" s="80"/>
      <c r="C190" s="106"/>
      <c r="D190" s="80"/>
      <c r="E190" s="106"/>
      <c r="F190" s="106"/>
      <c r="G190" s="106"/>
      <c r="H190" s="106"/>
    </row>
    <row r="191">
      <c r="A191" s="80"/>
      <c r="B191" s="80"/>
      <c r="C191" s="106"/>
      <c r="D191" s="80"/>
      <c r="E191" s="106"/>
      <c r="F191" s="106"/>
      <c r="G191" s="106"/>
      <c r="H191" s="106"/>
    </row>
    <row r="192">
      <c r="A192" s="80"/>
      <c r="B192" s="80"/>
      <c r="C192" s="106"/>
      <c r="D192" s="80"/>
      <c r="E192" s="106"/>
      <c r="F192" s="106"/>
      <c r="G192" s="106"/>
      <c r="H192" s="106"/>
    </row>
    <row r="193">
      <c r="A193" s="80"/>
      <c r="B193" s="80"/>
      <c r="C193" s="106"/>
      <c r="D193" s="80"/>
      <c r="E193" s="106"/>
      <c r="F193" s="106"/>
      <c r="G193" s="106"/>
      <c r="H193" s="106"/>
    </row>
    <row r="194">
      <c r="A194" s="80"/>
      <c r="B194" s="80"/>
      <c r="C194" s="106"/>
      <c r="D194" s="80"/>
      <c r="E194" s="106"/>
      <c r="F194" s="106"/>
      <c r="G194" s="106"/>
      <c r="H194" s="106"/>
    </row>
    <row r="195">
      <c r="A195" s="80"/>
      <c r="B195" s="80"/>
      <c r="C195" s="106"/>
      <c r="D195" s="80"/>
      <c r="E195" s="106"/>
      <c r="F195" s="106"/>
      <c r="G195" s="106"/>
      <c r="H195" s="106"/>
    </row>
    <row r="196">
      <c r="A196" s="80"/>
      <c r="B196" s="80"/>
      <c r="C196" s="106"/>
      <c r="D196" s="80"/>
      <c r="E196" s="106"/>
      <c r="F196" s="106"/>
      <c r="G196" s="106"/>
      <c r="H196" s="106"/>
    </row>
    <row r="197">
      <c r="A197" s="80"/>
      <c r="B197" s="80"/>
      <c r="C197" s="106"/>
      <c r="D197" s="80"/>
      <c r="E197" s="106"/>
      <c r="F197" s="106"/>
      <c r="G197" s="106"/>
      <c r="H197" s="106"/>
    </row>
    <row r="198">
      <c r="A198" s="80"/>
      <c r="B198" s="80"/>
      <c r="C198" s="106"/>
      <c r="D198" s="80"/>
      <c r="E198" s="106"/>
      <c r="F198" s="106"/>
      <c r="G198" s="106"/>
      <c r="H198" s="106"/>
    </row>
    <row r="199">
      <c r="A199" s="80"/>
      <c r="B199" s="80"/>
      <c r="C199" s="106"/>
      <c r="D199" s="80"/>
      <c r="E199" s="106"/>
      <c r="F199" s="106"/>
      <c r="G199" s="106"/>
      <c r="H199" s="106"/>
    </row>
    <row r="200">
      <c r="A200" s="80"/>
      <c r="B200" s="80"/>
      <c r="C200" s="106"/>
      <c r="D200" s="80"/>
      <c r="E200" s="106"/>
      <c r="F200" s="106"/>
      <c r="G200" s="106"/>
      <c r="H200" s="106"/>
    </row>
    <row r="201">
      <c r="A201" s="80"/>
      <c r="B201" s="80"/>
      <c r="C201" s="106"/>
      <c r="D201" s="80"/>
      <c r="E201" s="106"/>
      <c r="F201" s="106"/>
      <c r="G201" s="106"/>
      <c r="H201" s="106"/>
    </row>
    <row r="202">
      <c r="A202" s="80"/>
      <c r="B202" s="80"/>
      <c r="C202" s="106"/>
      <c r="D202" s="80"/>
      <c r="E202" s="106"/>
      <c r="F202" s="106"/>
      <c r="G202" s="106"/>
      <c r="H202" s="106"/>
    </row>
    <row r="203">
      <c r="A203" s="80"/>
      <c r="B203" s="80"/>
      <c r="C203" s="106"/>
      <c r="D203" s="80"/>
      <c r="E203" s="106"/>
      <c r="F203" s="106"/>
      <c r="G203" s="106"/>
      <c r="H203" s="106"/>
    </row>
    <row r="204">
      <c r="A204" s="80"/>
      <c r="B204" s="80"/>
      <c r="C204" s="106"/>
      <c r="D204" s="80"/>
      <c r="E204" s="106"/>
      <c r="F204" s="106"/>
      <c r="G204" s="106"/>
      <c r="H204" s="106"/>
    </row>
    <row r="205">
      <c r="A205" s="80"/>
      <c r="B205" s="80"/>
      <c r="C205" s="106"/>
      <c r="D205" s="80"/>
      <c r="E205" s="106"/>
      <c r="F205" s="106"/>
      <c r="G205" s="106"/>
      <c r="H205" s="106"/>
    </row>
    <row r="206">
      <c r="A206" s="80"/>
      <c r="B206" s="80"/>
      <c r="C206" s="106"/>
      <c r="D206" s="80"/>
      <c r="E206" s="106"/>
      <c r="F206" s="106"/>
      <c r="G206" s="106"/>
      <c r="H206" s="106"/>
    </row>
    <row r="207">
      <c r="A207" s="80"/>
      <c r="B207" s="80"/>
      <c r="C207" s="106"/>
      <c r="D207" s="80"/>
      <c r="E207" s="106"/>
      <c r="F207" s="106"/>
      <c r="G207" s="106"/>
      <c r="H207" s="106"/>
    </row>
    <row r="208">
      <c r="A208" s="80"/>
      <c r="B208" s="80"/>
      <c r="C208" s="106"/>
      <c r="D208" s="80"/>
      <c r="E208" s="106"/>
      <c r="F208" s="106"/>
      <c r="G208" s="106"/>
      <c r="H208" s="106"/>
    </row>
    <row r="209">
      <c r="A209" s="80"/>
      <c r="B209" s="80"/>
      <c r="C209" s="106"/>
      <c r="D209" s="80"/>
      <c r="E209" s="106"/>
      <c r="F209" s="106"/>
      <c r="G209" s="106"/>
      <c r="H209" s="106"/>
    </row>
    <row r="210">
      <c r="A210" s="80"/>
      <c r="B210" s="80"/>
      <c r="C210" s="106"/>
      <c r="D210" s="80"/>
      <c r="E210" s="106"/>
      <c r="F210" s="106"/>
      <c r="G210" s="106"/>
      <c r="H210" s="106"/>
    </row>
    <row r="211">
      <c r="A211" s="80"/>
      <c r="B211" s="80"/>
      <c r="C211" s="106"/>
      <c r="D211" s="80"/>
      <c r="E211" s="106"/>
      <c r="F211" s="106"/>
      <c r="G211" s="106"/>
      <c r="H211" s="106"/>
    </row>
    <row r="212">
      <c r="A212" s="80"/>
      <c r="B212" s="80"/>
      <c r="C212" s="106"/>
      <c r="D212" s="80"/>
      <c r="E212" s="106"/>
      <c r="F212" s="106"/>
      <c r="G212" s="106"/>
      <c r="H212" s="106"/>
    </row>
    <row r="213">
      <c r="A213" s="80"/>
      <c r="B213" s="80"/>
      <c r="C213" s="106"/>
      <c r="D213" s="80"/>
      <c r="E213" s="106"/>
      <c r="F213" s="106"/>
      <c r="G213" s="106"/>
      <c r="H213" s="106"/>
    </row>
    <row r="214">
      <c r="A214" s="80"/>
      <c r="B214" s="80"/>
      <c r="C214" s="106"/>
      <c r="D214" s="80"/>
      <c r="E214" s="106"/>
      <c r="F214" s="106"/>
      <c r="G214" s="106"/>
      <c r="H214" s="106"/>
    </row>
    <row r="215">
      <c r="A215" s="80"/>
      <c r="B215" s="80"/>
      <c r="C215" s="106"/>
      <c r="D215" s="80"/>
      <c r="E215" s="106"/>
      <c r="F215" s="106"/>
      <c r="G215" s="106"/>
      <c r="H215" s="106"/>
    </row>
    <row r="216">
      <c r="A216" s="80"/>
      <c r="B216" s="80"/>
      <c r="C216" s="106"/>
      <c r="D216" s="80"/>
      <c r="E216" s="106"/>
      <c r="F216" s="106"/>
      <c r="G216" s="106"/>
      <c r="H216" s="106"/>
    </row>
    <row r="217">
      <c r="A217" s="80"/>
      <c r="B217" s="80"/>
      <c r="C217" s="106"/>
      <c r="D217" s="80"/>
      <c r="E217" s="106"/>
      <c r="F217" s="106"/>
      <c r="G217" s="106"/>
      <c r="H217" s="106"/>
    </row>
    <row r="218">
      <c r="A218" s="80"/>
      <c r="B218" s="80"/>
      <c r="C218" s="106"/>
      <c r="D218" s="80"/>
      <c r="E218" s="106"/>
      <c r="F218" s="106"/>
      <c r="G218" s="106"/>
      <c r="H218" s="106"/>
    </row>
    <row r="219">
      <c r="A219" s="80"/>
      <c r="B219" s="80"/>
      <c r="C219" s="106"/>
      <c r="D219" s="80"/>
      <c r="E219" s="106"/>
      <c r="F219" s="106"/>
      <c r="G219" s="106"/>
      <c r="H219" s="106"/>
    </row>
    <row r="220">
      <c r="A220" s="80"/>
      <c r="B220" s="80"/>
      <c r="C220" s="106"/>
      <c r="D220" s="80"/>
      <c r="E220" s="106"/>
      <c r="F220" s="106"/>
      <c r="G220" s="106"/>
      <c r="H220" s="106"/>
    </row>
    <row r="221">
      <c r="A221" s="80"/>
      <c r="B221" s="80"/>
      <c r="C221" s="106"/>
      <c r="D221" s="80"/>
      <c r="E221" s="106"/>
      <c r="F221" s="106"/>
      <c r="G221" s="106"/>
      <c r="H221" s="106"/>
    </row>
    <row r="222">
      <c r="A222" s="80"/>
      <c r="B222" s="80"/>
      <c r="C222" s="106"/>
      <c r="D222" s="80"/>
      <c r="E222" s="106"/>
      <c r="F222" s="106"/>
      <c r="G222" s="106"/>
      <c r="H222" s="106"/>
    </row>
    <row r="223">
      <c r="A223" s="80"/>
      <c r="B223" s="80"/>
      <c r="C223" s="106"/>
      <c r="D223" s="80"/>
      <c r="E223" s="106"/>
      <c r="F223" s="106"/>
      <c r="G223" s="106"/>
      <c r="H223" s="106"/>
    </row>
    <row r="224">
      <c r="A224" s="80"/>
      <c r="B224" s="80"/>
      <c r="C224" s="106"/>
      <c r="D224" s="80"/>
      <c r="E224" s="106"/>
      <c r="F224" s="106"/>
      <c r="G224" s="106"/>
      <c r="H224" s="106"/>
    </row>
    <row r="225">
      <c r="A225" s="80"/>
      <c r="B225" s="80"/>
      <c r="C225" s="106"/>
      <c r="D225" s="80"/>
      <c r="E225" s="106"/>
      <c r="F225" s="106"/>
      <c r="G225" s="106"/>
      <c r="H225" s="106"/>
    </row>
    <row r="226">
      <c r="A226" s="80"/>
      <c r="B226" s="80"/>
      <c r="C226" s="106"/>
      <c r="D226" s="80"/>
      <c r="E226" s="106"/>
      <c r="F226" s="106"/>
      <c r="G226" s="106"/>
      <c r="H226" s="106"/>
    </row>
    <row r="227">
      <c r="A227" s="80"/>
      <c r="B227" s="80"/>
      <c r="C227" s="106"/>
      <c r="D227" s="80"/>
      <c r="E227" s="106"/>
      <c r="F227" s="106"/>
      <c r="G227" s="106"/>
      <c r="H227" s="106"/>
    </row>
    <row r="228">
      <c r="A228" s="80"/>
      <c r="B228" s="80"/>
      <c r="C228" s="106"/>
      <c r="D228" s="80"/>
      <c r="E228" s="106"/>
      <c r="F228" s="106"/>
      <c r="G228" s="106"/>
      <c r="H228" s="106"/>
    </row>
    <row r="229">
      <c r="A229" s="80"/>
      <c r="B229" s="80"/>
      <c r="C229" s="106"/>
      <c r="D229" s="80"/>
      <c r="E229" s="106"/>
      <c r="F229" s="106"/>
      <c r="G229" s="106"/>
      <c r="H229" s="106"/>
    </row>
    <row r="230">
      <c r="A230" s="80"/>
      <c r="B230" s="80"/>
      <c r="C230" s="106"/>
      <c r="D230" s="80"/>
      <c r="E230" s="106"/>
      <c r="F230" s="106"/>
      <c r="G230" s="106"/>
      <c r="H230" s="106"/>
    </row>
    <row r="231">
      <c r="A231" s="80"/>
      <c r="B231" s="80"/>
      <c r="C231" s="106"/>
      <c r="D231" s="80"/>
      <c r="E231" s="106"/>
      <c r="F231" s="106"/>
      <c r="G231" s="106"/>
      <c r="H231" s="106"/>
    </row>
    <row r="232">
      <c r="A232" s="80"/>
      <c r="B232" s="80"/>
      <c r="C232" s="106"/>
      <c r="D232" s="80"/>
      <c r="E232" s="106"/>
      <c r="F232" s="106"/>
      <c r="G232" s="106"/>
      <c r="H232" s="106"/>
    </row>
    <row r="233">
      <c r="A233" s="80"/>
      <c r="B233" s="80"/>
      <c r="C233" s="106"/>
      <c r="D233" s="80"/>
      <c r="E233" s="106"/>
      <c r="F233" s="106"/>
      <c r="G233" s="106"/>
      <c r="H233" s="106"/>
    </row>
    <row r="234">
      <c r="A234" s="80"/>
      <c r="B234" s="80"/>
      <c r="C234" s="106"/>
      <c r="D234" s="80"/>
      <c r="E234" s="106"/>
      <c r="F234" s="106"/>
      <c r="G234" s="106"/>
      <c r="H234" s="106"/>
    </row>
    <row r="235">
      <c r="A235" s="80"/>
      <c r="B235" s="80"/>
      <c r="C235" s="106"/>
      <c r="D235" s="80"/>
      <c r="E235" s="106"/>
      <c r="F235" s="106"/>
      <c r="G235" s="106"/>
      <c r="H235" s="106"/>
    </row>
    <row r="236">
      <c r="A236" s="80"/>
      <c r="B236" s="80"/>
      <c r="C236" s="106"/>
      <c r="D236" s="80"/>
      <c r="E236" s="106"/>
      <c r="F236" s="106"/>
      <c r="G236" s="106"/>
      <c r="H236" s="106"/>
    </row>
    <row r="237">
      <c r="A237" s="80"/>
      <c r="B237" s="80"/>
      <c r="C237" s="106"/>
      <c r="D237" s="80"/>
      <c r="E237" s="106"/>
      <c r="F237" s="106"/>
      <c r="G237" s="106"/>
      <c r="H237" s="106"/>
    </row>
    <row r="238">
      <c r="A238" s="80"/>
      <c r="B238" s="80"/>
      <c r="C238" s="106"/>
      <c r="D238" s="80"/>
      <c r="E238" s="106"/>
      <c r="F238" s="106"/>
      <c r="G238" s="106"/>
      <c r="H238" s="106"/>
    </row>
    <row r="239">
      <c r="A239" s="80"/>
      <c r="B239" s="80"/>
      <c r="C239" s="106"/>
      <c r="D239" s="80"/>
      <c r="E239" s="106"/>
      <c r="F239" s="106"/>
      <c r="G239" s="106"/>
      <c r="H239" s="106"/>
    </row>
    <row r="240">
      <c r="A240" s="80"/>
      <c r="B240" s="80"/>
      <c r="C240" s="106"/>
      <c r="D240" s="80"/>
      <c r="E240" s="106"/>
      <c r="F240" s="106"/>
      <c r="G240" s="106"/>
      <c r="H240" s="106"/>
    </row>
    <row r="241">
      <c r="A241" s="80"/>
      <c r="B241" s="80"/>
      <c r="C241" s="106"/>
      <c r="D241" s="80"/>
      <c r="E241" s="106"/>
      <c r="F241" s="106"/>
      <c r="G241" s="106"/>
      <c r="H241" s="106"/>
    </row>
    <row r="242">
      <c r="A242" s="80"/>
      <c r="B242" s="80"/>
      <c r="C242" s="106"/>
      <c r="D242" s="80"/>
      <c r="E242" s="106"/>
      <c r="F242" s="106"/>
      <c r="G242" s="106"/>
      <c r="H242" s="106"/>
    </row>
    <row r="243">
      <c r="A243" s="80"/>
      <c r="B243" s="80"/>
      <c r="C243" s="106"/>
      <c r="D243" s="80"/>
      <c r="E243" s="106"/>
      <c r="F243" s="106"/>
      <c r="G243" s="106"/>
      <c r="H243" s="106"/>
    </row>
    <row r="244">
      <c r="A244" s="80"/>
      <c r="B244" s="80"/>
      <c r="C244" s="106"/>
      <c r="D244" s="80"/>
      <c r="E244" s="106"/>
      <c r="F244" s="106"/>
      <c r="G244" s="106"/>
      <c r="H244" s="106"/>
    </row>
    <row r="245">
      <c r="A245" s="80"/>
      <c r="B245" s="80"/>
      <c r="C245" s="106"/>
      <c r="D245" s="80"/>
      <c r="E245" s="106"/>
      <c r="F245" s="106"/>
      <c r="G245" s="106"/>
      <c r="H245" s="106"/>
    </row>
    <row r="246">
      <c r="A246" s="80"/>
      <c r="B246" s="80"/>
      <c r="C246" s="106"/>
      <c r="D246" s="80"/>
      <c r="E246" s="106"/>
      <c r="F246" s="106"/>
      <c r="G246" s="106"/>
      <c r="H246" s="106"/>
    </row>
    <row r="247">
      <c r="A247" s="80"/>
      <c r="B247" s="80"/>
      <c r="C247" s="106"/>
      <c r="D247" s="80"/>
      <c r="E247" s="106"/>
      <c r="F247" s="106"/>
      <c r="G247" s="106"/>
      <c r="H247" s="106"/>
    </row>
    <row r="248">
      <c r="A248" s="80"/>
      <c r="B248" s="80"/>
      <c r="C248" s="106"/>
      <c r="D248" s="80"/>
      <c r="E248" s="106"/>
      <c r="F248" s="106"/>
      <c r="G248" s="106"/>
      <c r="H248" s="106"/>
    </row>
    <row r="249">
      <c r="A249" s="80"/>
      <c r="B249" s="80"/>
      <c r="C249" s="106"/>
      <c r="D249" s="80"/>
      <c r="E249" s="106"/>
      <c r="F249" s="106"/>
      <c r="G249" s="106"/>
      <c r="H249" s="106"/>
    </row>
    <row r="250">
      <c r="A250" s="80"/>
      <c r="B250" s="80"/>
      <c r="C250" s="106"/>
      <c r="D250" s="80"/>
      <c r="E250" s="106"/>
      <c r="F250" s="106"/>
      <c r="G250" s="106"/>
      <c r="H250" s="106"/>
    </row>
    <row r="251">
      <c r="A251" s="80"/>
      <c r="B251" s="80"/>
      <c r="C251" s="106"/>
      <c r="D251" s="80"/>
      <c r="E251" s="106"/>
      <c r="F251" s="106"/>
      <c r="G251" s="106"/>
      <c r="H251" s="106"/>
    </row>
    <row r="252">
      <c r="A252" s="80"/>
      <c r="B252" s="80"/>
      <c r="C252" s="106"/>
      <c r="D252" s="80"/>
      <c r="E252" s="106"/>
      <c r="F252" s="106"/>
      <c r="G252" s="106"/>
      <c r="H252" s="106"/>
    </row>
    <row r="253">
      <c r="A253" s="80"/>
      <c r="B253" s="80"/>
      <c r="C253" s="106"/>
      <c r="D253" s="80"/>
      <c r="E253" s="106"/>
      <c r="F253" s="106"/>
      <c r="G253" s="106"/>
      <c r="H253" s="106"/>
    </row>
    <row r="254">
      <c r="A254" s="80"/>
      <c r="B254" s="80"/>
      <c r="C254" s="106"/>
      <c r="D254" s="80"/>
      <c r="E254" s="106"/>
      <c r="F254" s="106"/>
      <c r="G254" s="106"/>
      <c r="H254" s="106"/>
    </row>
    <row r="255">
      <c r="A255" s="80"/>
      <c r="B255" s="80"/>
      <c r="C255" s="106"/>
      <c r="D255" s="80"/>
      <c r="E255" s="106"/>
      <c r="F255" s="106"/>
      <c r="G255" s="106"/>
      <c r="H255" s="106"/>
    </row>
    <row r="256">
      <c r="A256" s="80"/>
      <c r="B256" s="80"/>
      <c r="C256" s="106"/>
      <c r="D256" s="80"/>
      <c r="E256" s="106"/>
      <c r="F256" s="106"/>
      <c r="G256" s="106"/>
      <c r="H256" s="106"/>
    </row>
    <row r="257">
      <c r="A257" s="80"/>
      <c r="B257" s="80"/>
      <c r="C257" s="106"/>
      <c r="D257" s="80"/>
      <c r="E257" s="106"/>
      <c r="F257" s="106"/>
      <c r="G257" s="106"/>
      <c r="H257" s="106"/>
    </row>
    <row r="258">
      <c r="A258" s="80"/>
      <c r="B258" s="80"/>
      <c r="C258" s="106"/>
      <c r="D258" s="80"/>
      <c r="E258" s="106"/>
      <c r="F258" s="106"/>
      <c r="G258" s="106"/>
      <c r="H258" s="106"/>
    </row>
    <row r="259">
      <c r="A259" s="80"/>
      <c r="B259" s="80"/>
      <c r="C259" s="106"/>
      <c r="D259" s="80"/>
      <c r="E259" s="106"/>
      <c r="F259" s="106"/>
      <c r="G259" s="106"/>
      <c r="H259" s="106"/>
    </row>
    <row r="260">
      <c r="A260" s="80"/>
      <c r="B260" s="80"/>
      <c r="C260" s="106"/>
      <c r="D260" s="80"/>
      <c r="E260" s="106"/>
      <c r="F260" s="106"/>
      <c r="G260" s="106"/>
      <c r="H260" s="106"/>
    </row>
    <row r="261">
      <c r="A261" s="80"/>
      <c r="B261" s="80"/>
      <c r="C261" s="106"/>
      <c r="D261" s="80"/>
      <c r="E261" s="106"/>
      <c r="F261" s="106"/>
      <c r="G261" s="106"/>
      <c r="H261" s="106"/>
    </row>
    <row r="262">
      <c r="A262" s="80"/>
      <c r="B262" s="80"/>
      <c r="C262" s="106"/>
      <c r="D262" s="80"/>
      <c r="E262" s="106"/>
      <c r="F262" s="106"/>
      <c r="G262" s="106"/>
      <c r="H262" s="106"/>
    </row>
    <row r="263">
      <c r="A263" s="80"/>
      <c r="B263" s="80"/>
      <c r="C263" s="106"/>
      <c r="D263" s="80"/>
      <c r="E263" s="106"/>
      <c r="F263" s="106"/>
      <c r="G263" s="106"/>
      <c r="H263" s="106"/>
    </row>
    <row r="264">
      <c r="A264" s="80"/>
      <c r="B264" s="80"/>
      <c r="C264" s="106"/>
      <c r="D264" s="80"/>
      <c r="E264" s="106"/>
      <c r="F264" s="106"/>
      <c r="G264" s="106"/>
      <c r="H264" s="106"/>
    </row>
    <row r="265">
      <c r="A265" s="80"/>
      <c r="B265" s="80"/>
      <c r="C265" s="106"/>
      <c r="D265" s="80"/>
      <c r="E265" s="106"/>
      <c r="F265" s="106"/>
      <c r="G265" s="106"/>
      <c r="H265" s="106"/>
    </row>
    <row r="266">
      <c r="A266" s="80"/>
      <c r="B266" s="80"/>
      <c r="C266" s="106"/>
      <c r="D266" s="80"/>
      <c r="E266" s="106"/>
      <c r="F266" s="106"/>
      <c r="G266" s="106"/>
      <c r="H266" s="106"/>
    </row>
    <row r="267">
      <c r="A267" s="80"/>
      <c r="B267" s="80"/>
      <c r="C267" s="106"/>
      <c r="D267" s="80"/>
      <c r="E267" s="106"/>
      <c r="F267" s="106"/>
      <c r="G267" s="106"/>
      <c r="H267" s="106"/>
    </row>
    <row r="268">
      <c r="A268" s="80"/>
      <c r="B268" s="80"/>
      <c r="C268" s="106"/>
      <c r="D268" s="80"/>
      <c r="E268" s="106"/>
      <c r="F268" s="106"/>
      <c r="G268" s="106"/>
      <c r="H268" s="106"/>
    </row>
    <row r="269">
      <c r="A269" s="80"/>
      <c r="B269" s="80"/>
      <c r="C269" s="106"/>
      <c r="D269" s="80"/>
      <c r="E269" s="106"/>
      <c r="F269" s="106"/>
      <c r="G269" s="106"/>
      <c r="H269" s="106"/>
    </row>
    <row r="270">
      <c r="A270" s="80"/>
      <c r="B270" s="80"/>
      <c r="C270" s="106"/>
      <c r="D270" s="80"/>
      <c r="E270" s="106"/>
      <c r="F270" s="106"/>
      <c r="G270" s="106"/>
      <c r="H270" s="106"/>
    </row>
    <row r="271">
      <c r="A271" s="80"/>
      <c r="B271" s="80"/>
      <c r="C271" s="106"/>
      <c r="D271" s="80"/>
      <c r="E271" s="106"/>
      <c r="F271" s="106"/>
      <c r="G271" s="106"/>
      <c r="H271" s="106"/>
    </row>
    <row r="272">
      <c r="A272" s="80"/>
      <c r="B272" s="80"/>
      <c r="C272" s="106"/>
      <c r="D272" s="80"/>
      <c r="E272" s="106"/>
      <c r="F272" s="106"/>
      <c r="G272" s="106"/>
      <c r="H272" s="106"/>
    </row>
    <row r="273">
      <c r="A273" s="80"/>
      <c r="B273" s="80"/>
      <c r="C273" s="106"/>
      <c r="D273" s="80"/>
      <c r="E273" s="106"/>
      <c r="F273" s="106"/>
      <c r="G273" s="106"/>
      <c r="H273" s="106"/>
    </row>
    <row r="274">
      <c r="A274" s="80"/>
      <c r="B274" s="80"/>
      <c r="C274" s="106"/>
      <c r="D274" s="80"/>
      <c r="E274" s="106"/>
      <c r="F274" s="106"/>
      <c r="G274" s="106"/>
      <c r="H274" s="106"/>
    </row>
    <row r="275">
      <c r="A275" s="80"/>
      <c r="B275" s="80"/>
      <c r="C275" s="106"/>
      <c r="D275" s="80"/>
      <c r="E275" s="106"/>
      <c r="F275" s="106"/>
      <c r="G275" s="106"/>
      <c r="H275" s="106"/>
    </row>
    <row r="276">
      <c r="A276" s="80"/>
      <c r="B276" s="80"/>
      <c r="C276" s="106"/>
      <c r="D276" s="80"/>
      <c r="E276" s="106"/>
      <c r="F276" s="106"/>
      <c r="G276" s="106"/>
      <c r="H276" s="106"/>
    </row>
    <row r="277">
      <c r="A277" s="80"/>
      <c r="B277" s="80"/>
      <c r="C277" s="106"/>
      <c r="D277" s="80"/>
      <c r="E277" s="106"/>
      <c r="F277" s="106"/>
      <c r="G277" s="106"/>
      <c r="H277" s="106"/>
    </row>
    <row r="278">
      <c r="A278" s="80"/>
      <c r="B278" s="80"/>
      <c r="C278" s="106"/>
      <c r="D278" s="80"/>
      <c r="E278" s="106"/>
      <c r="F278" s="106"/>
      <c r="G278" s="106"/>
      <c r="H278" s="106"/>
    </row>
    <row r="279">
      <c r="A279" s="80"/>
      <c r="B279" s="80"/>
      <c r="C279" s="106"/>
      <c r="D279" s="80"/>
      <c r="E279" s="106"/>
      <c r="F279" s="106"/>
      <c r="G279" s="106"/>
      <c r="H279" s="106"/>
    </row>
    <row r="280">
      <c r="A280" s="80"/>
      <c r="B280" s="80"/>
      <c r="C280" s="106"/>
      <c r="D280" s="80"/>
      <c r="E280" s="106"/>
      <c r="F280" s="106"/>
      <c r="G280" s="106"/>
      <c r="H280" s="106"/>
    </row>
    <row r="281">
      <c r="A281" s="80"/>
      <c r="B281" s="80"/>
      <c r="C281" s="106"/>
      <c r="D281" s="80"/>
      <c r="E281" s="106"/>
      <c r="F281" s="106"/>
      <c r="G281" s="106"/>
      <c r="H281" s="106"/>
    </row>
    <row r="282">
      <c r="A282" s="80"/>
      <c r="B282" s="80"/>
      <c r="C282" s="106"/>
      <c r="D282" s="80"/>
      <c r="E282" s="106"/>
      <c r="F282" s="106"/>
      <c r="G282" s="106"/>
      <c r="H282" s="106"/>
    </row>
    <row r="283">
      <c r="A283" s="80"/>
      <c r="B283" s="80"/>
      <c r="C283" s="106"/>
      <c r="D283" s="80"/>
      <c r="E283" s="106"/>
      <c r="F283" s="106"/>
      <c r="G283" s="106"/>
      <c r="H283" s="106"/>
    </row>
    <row r="284">
      <c r="A284" s="80"/>
      <c r="B284" s="80"/>
      <c r="C284" s="106"/>
      <c r="D284" s="80"/>
      <c r="E284" s="106"/>
      <c r="F284" s="106"/>
      <c r="G284" s="106"/>
      <c r="H284" s="106"/>
    </row>
    <row r="285">
      <c r="A285" s="80"/>
      <c r="B285" s="80"/>
      <c r="C285" s="106"/>
      <c r="D285" s="80"/>
      <c r="E285" s="106"/>
      <c r="F285" s="106"/>
      <c r="G285" s="106"/>
      <c r="H285" s="106"/>
    </row>
    <row r="286">
      <c r="A286" s="80"/>
      <c r="B286" s="80"/>
      <c r="C286" s="106"/>
      <c r="D286" s="80"/>
      <c r="E286" s="106"/>
      <c r="F286" s="106"/>
      <c r="G286" s="106"/>
      <c r="H286" s="106"/>
    </row>
    <row r="287">
      <c r="A287" s="80"/>
      <c r="B287" s="80"/>
      <c r="C287" s="106"/>
      <c r="D287" s="80"/>
      <c r="E287" s="106"/>
      <c r="F287" s="106"/>
      <c r="G287" s="106"/>
      <c r="H287" s="106"/>
    </row>
    <row r="288">
      <c r="A288" s="80"/>
      <c r="B288" s="80"/>
      <c r="C288" s="106"/>
      <c r="D288" s="80"/>
      <c r="E288" s="106"/>
      <c r="F288" s="106"/>
      <c r="G288" s="106"/>
      <c r="H288" s="106"/>
    </row>
    <row r="289">
      <c r="A289" s="80"/>
      <c r="B289" s="80"/>
      <c r="C289" s="106"/>
      <c r="D289" s="80"/>
      <c r="E289" s="106"/>
      <c r="F289" s="106"/>
      <c r="G289" s="106"/>
      <c r="H289" s="106"/>
    </row>
    <row r="290">
      <c r="A290" s="80"/>
      <c r="B290" s="80"/>
      <c r="C290" s="106"/>
      <c r="D290" s="80"/>
      <c r="E290" s="106"/>
      <c r="F290" s="106"/>
      <c r="G290" s="106"/>
      <c r="H290" s="106"/>
    </row>
    <row r="291">
      <c r="A291" s="80"/>
      <c r="B291" s="80"/>
      <c r="C291" s="106"/>
      <c r="D291" s="80"/>
      <c r="E291" s="106"/>
      <c r="F291" s="106"/>
      <c r="G291" s="106"/>
      <c r="H291" s="106"/>
    </row>
    <row r="292">
      <c r="A292" s="80"/>
      <c r="B292" s="80"/>
      <c r="C292" s="106"/>
      <c r="D292" s="80"/>
      <c r="E292" s="106"/>
      <c r="F292" s="106"/>
      <c r="G292" s="106"/>
      <c r="H292" s="106"/>
    </row>
    <row r="293">
      <c r="A293" s="80"/>
      <c r="B293" s="80"/>
      <c r="C293" s="106"/>
      <c r="D293" s="80"/>
      <c r="E293" s="106"/>
      <c r="F293" s="106"/>
      <c r="G293" s="106"/>
      <c r="H293" s="106"/>
    </row>
    <row r="294">
      <c r="A294" s="80"/>
      <c r="B294" s="80"/>
      <c r="C294" s="106"/>
      <c r="D294" s="80"/>
      <c r="E294" s="106"/>
      <c r="F294" s="106"/>
      <c r="G294" s="106"/>
      <c r="H294" s="106"/>
    </row>
    <row r="295">
      <c r="A295" s="80"/>
      <c r="B295" s="80"/>
      <c r="C295" s="106"/>
      <c r="D295" s="80"/>
      <c r="E295" s="106"/>
      <c r="F295" s="106"/>
      <c r="G295" s="106"/>
      <c r="H295" s="106"/>
    </row>
    <row r="296">
      <c r="A296" s="80"/>
      <c r="B296" s="80"/>
      <c r="C296" s="106"/>
      <c r="D296" s="80"/>
      <c r="E296" s="106"/>
      <c r="F296" s="106"/>
      <c r="G296" s="106"/>
      <c r="H296" s="106"/>
    </row>
    <row r="297">
      <c r="A297" s="80"/>
      <c r="B297" s="80"/>
      <c r="C297" s="106"/>
      <c r="D297" s="80"/>
      <c r="E297" s="106"/>
      <c r="F297" s="106"/>
      <c r="G297" s="106"/>
      <c r="H297" s="106"/>
    </row>
    <row r="298">
      <c r="A298" s="80"/>
      <c r="B298" s="80"/>
      <c r="C298" s="106"/>
      <c r="D298" s="80"/>
      <c r="E298" s="106"/>
      <c r="F298" s="106"/>
      <c r="G298" s="106"/>
      <c r="H298" s="106"/>
    </row>
    <row r="299">
      <c r="A299" s="80"/>
      <c r="B299" s="80"/>
      <c r="C299" s="106"/>
      <c r="D299" s="80"/>
      <c r="E299" s="106"/>
      <c r="F299" s="106"/>
      <c r="G299" s="106"/>
      <c r="H299" s="106"/>
    </row>
    <row r="300">
      <c r="A300" s="80"/>
      <c r="B300" s="80"/>
      <c r="C300" s="106"/>
      <c r="D300" s="80"/>
      <c r="E300" s="106"/>
      <c r="F300" s="106"/>
      <c r="G300" s="106"/>
      <c r="H300" s="106"/>
    </row>
    <row r="301">
      <c r="A301" s="80"/>
      <c r="B301" s="80"/>
      <c r="C301" s="106"/>
      <c r="D301" s="80"/>
      <c r="E301" s="106"/>
      <c r="F301" s="106"/>
      <c r="G301" s="106"/>
      <c r="H301" s="106"/>
    </row>
    <row r="302">
      <c r="A302" s="80"/>
      <c r="B302" s="80"/>
      <c r="C302" s="106"/>
      <c r="D302" s="80"/>
      <c r="E302" s="106"/>
      <c r="F302" s="106"/>
      <c r="G302" s="106"/>
      <c r="H302" s="106"/>
    </row>
    <row r="303">
      <c r="A303" s="80"/>
      <c r="B303" s="80"/>
      <c r="C303" s="106"/>
      <c r="D303" s="80"/>
      <c r="E303" s="106"/>
      <c r="F303" s="106"/>
      <c r="G303" s="106"/>
      <c r="H303" s="106"/>
    </row>
    <row r="304">
      <c r="A304" s="80"/>
      <c r="B304" s="80"/>
      <c r="C304" s="106"/>
      <c r="D304" s="80"/>
      <c r="E304" s="106"/>
      <c r="F304" s="106"/>
      <c r="G304" s="106"/>
      <c r="H304" s="106"/>
    </row>
    <row r="305">
      <c r="A305" s="80"/>
      <c r="B305" s="80"/>
      <c r="C305" s="106"/>
      <c r="D305" s="80"/>
      <c r="E305" s="106"/>
      <c r="F305" s="106"/>
      <c r="G305" s="106"/>
      <c r="H305" s="106"/>
    </row>
    <row r="306">
      <c r="A306" s="80"/>
      <c r="B306" s="80"/>
      <c r="C306" s="106"/>
      <c r="D306" s="80"/>
      <c r="E306" s="106"/>
      <c r="F306" s="106"/>
      <c r="G306" s="106"/>
      <c r="H306" s="106"/>
    </row>
    <row r="307">
      <c r="A307" s="80"/>
      <c r="B307" s="80"/>
      <c r="C307" s="106"/>
      <c r="D307" s="80"/>
      <c r="E307" s="106"/>
      <c r="F307" s="106"/>
      <c r="G307" s="106"/>
      <c r="H307" s="106"/>
    </row>
    <row r="308">
      <c r="A308" s="80"/>
      <c r="B308" s="80"/>
      <c r="C308" s="106"/>
      <c r="D308" s="80"/>
      <c r="E308" s="106"/>
      <c r="F308" s="106"/>
      <c r="G308" s="106"/>
      <c r="H308" s="106"/>
    </row>
    <row r="309">
      <c r="A309" s="80"/>
      <c r="B309" s="80"/>
      <c r="C309" s="106"/>
      <c r="D309" s="80"/>
      <c r="E309" s="106"/>
      <c r="F309" s="106"/>
      <c r="G309" s="106"/>
      <c r="H309" s="106"/>
    </row>
    <row r="310">
      <c r="A310" s="80"/>
      <c r="B310" s="80"/>
      <c r="C310" s="106"/>
      <c r="D310" s="80"/>
      <c r="E310" s="106"/>
      <c r="F310" s="106"/>
      <c r="G310" s="106"/>
      <c r="H310" s="106"/>
    </row>
    <row r="311">
      <c r="A311" s="80"/>
      <c r="B311" s="80"/>
      <c r="C311" s="106"/>
      <c r="D311" s="80"/>
      <c r="E311" s="106"/>
      <c r="F311" s="106"/>
      <c r="G311" s="106"/>
      <c r="H311" s="106"/>
    </row>
    <row r="312">
      <c r="A312" s="80"/>
      <c r="B312" s="80"/>
      <c r="C312" s="106"/>
      <c r="D312" s="80"/>
      <c r="E312" s="106"/>
      <c r="F312" s="106"/>
      <c r="G312" s="106"/>
      <c r="H312" s="106"/>
    </row>
    <row r="313">
      <c r="A313" s="80"/>
      <c r="B313" s="80"/>
      <c r="C313" s="106"/>
      <c r="D313" s="80"/>
      <c r="E313" s="106"/>
      <c r="F313" s="106"/>
      <c r="G313" s="106"/>
      <c r="H313" s="106"/>
    </row>
    <row r="314">
      <c r="A314" s="80"/>
      <c r="B314" s="80"/>
      <c r="C314" s="106"/>
      <c r="D314" s="80"/>
      <c r="E314" s="106"/>
      <c r="F314" s="106"/>
      <c r="G314" s="106"/>
      <c r="H314" s="106"/>
    </row>
    <row r="315">
      <c r="A315" s="80"/>
      <c r="B315" s="80"/>
      <c r="C315" s="106"/>
      <c r="D315" s="80"/>
      <c r="E315" s="106"/>
      <c r="F315" s="106"/>
      <c r="G315" s="106"/>
      <c r="H315" s="106"/>
    </row>
    <row r="316">
      <c r="A316" s="80"/>
      <c r="B316" s="80"/>
      <c r="C316" s="106"/>
      <c r="D316" s="80"/>
      <c r="E316" s="106"/>
      <c r="F316" s="106"/>
      <c r="G316" s="106"/>
      <c r="H316" s="106"/>
    </row>
    <row r="317">
      <c r="A317" s="80"/>
      <c r="B317" s="80"/>
      <c r="C317" s="106"/>
      <c r="D317" s="80"/>
      <c r="E317" s="106"/>
      <c r="F317" s="106"/>
      <c r="G317" s="106"/>
      <c r="H317" s="106"/>
    </row>
    <row r="318">
      <c r="A318" s="80"/>
      <c r="B318" s="80"/>
      <c r="C318" s="106"/>
      <c r="D318" s="80"/>
      <c r="E318" s="106"/>
      <c r="F318" s="106"/>
      <c r="G318" s="106"/>
      <c r="H318" s="106"/>
    </row>
    <row r="319">
      <c r="A319" s="80"/>
      <c r="B319" s="80"/>
      <c r="C319" s="106"/>
      <c r="D319" s="80"/>
      <c r="E319" s="106"/>
      <c r="F319" s="106"/>
      <c r="G319" s="106"/>
      <c r="H319" s="106"/>
    </row>
    <row r="320">
      <c r="A320" s="80"/>
      <c r="B320" s="80"/>
      <c r="C320" s="106"/>
      <c r="D320" s="80"/>
      <c r="E320" s="106"/>
      <c r="F320" s="106"/>
      <c r="G320" s="106"/>
      <c r="H320" s="106"/>
    </row>
    <row r="321">
      <c r="A321" s="80"/>
      <c r="B321" s="80"/>
      <c r="C321" s="106"/>
      <c r="D321" s="80"/>
      <c r="E321" s="106"/>
      <c r="F321" s="106"/>
      <c r="G321" s="106"/>
      <c r="H321" s="106"/>
    </row>
    <row r="322">
      <c r="A322" s="80"/>
      <c r="B322" s="80"/>
      <c r="C322" s="106"/>
      <c r="D322" s="80"/>
      <c r="E322" s="106"/>
      <c r="F322" s="106"/>
      <c r="G322" s="106"/>
      <c r="H322" s="106"/>
    </row>
    <row r="323">
      <c r="A323" s="80"/>
      <c r="B323" s="80"/>
      <c r="C323" s="106"/>
      <c r="D323" s="80"/>
      <c r="E323" s="106"/>
      <c r="F323" s="106"/>
      <c r="G323" s="106"/>
      <c r="H323" s="106"/>
    </row>
    <row r="324">
      <c r="A324" s="80"/>
      <c r="B324" s="80"/>
      <c r="C324" s="106"/>
      <c r="D324" s="80"/>
      <c r="E324" s="106"/>
      <c r="F324" s="106"/>
      <c r="G324" s="106"/>
      <c r="H324" s="106"/>
    </row>
    <row r="325">
      <c r="A325" s="80"/>
      <c r="B325" s="80"/>
      <c r="C325" s="106"/>
      <c r="D325" s="80"/>
      <c r="E325" s="106"/>
      <c r="F325" s="106"/>
      <c r="G325" s="106"/>
      <c r="H325" s="106"/>
    </row>
    <row r="326">
      <c r="A326" s="80"/>
      <c r="B326" s="80"/>
      <c r="C326" s="106"/>
      <c r="D326" s="80"/>
      <c r="E326" s="106"/>
      <c r="F326" s="106"/>
      <c r="G326" s="106"/>
      <c r="H326" s="106"/>
    </row>
    <row r="327">
      <c r="A327" s="80"/>
      <c r="B327" s="80"/>
      <c r="C327" s="106"/>
      <c r="D327" s="80"/>
      <c r="E327" s="106"/>
      <c r="F327" s="106"/>
      <c r="G327" s="106"/>
      <c r="H327" s="106"/>
    </row>
    <row r="328">
      <c r="A328" s="80"/>
      <c r="B328" s="80"/>
      <c r="C328" s="106"/>
      <c r="D328" s="80"/>
      <c r="E328" s="106"/>
      <c r="F328" s="106"/>
      <c r="G328" s="106"/>
      <c r="H328" s="106"/>
    </row>
    <row r="329">
      <c r="A329" s="80"/>
      <c r="B329" s="80"/>
      <c r="C329" s="106"/>
      <c r="D329" s="80"/>
      <c r="E329" s="106"/>
      <c r="F329" s="106"/>
      <c r="G329" s="106"/>
      <c r="H329" s="106"/>
    </row>
    <row r="330">
      <c r="A330" s="80"/>
      <c r="B330" s="80"/>
      <c r="C330" s="106"/>
      <c r="D330" s="80"/>
      <c r="E330" s="106"/>
      <c r="F330" s="106"/>
      <c r="G330" s="106"/>
      <c r="H330" s="106"/>
    </row>
    <row r="331">
      <c r="A331" s="80"/>
      <c r="B331" s="80"/>
      <c r="C331" s="106"/>
      <c r="D331" s="80"/>
      <c r="E331" s="106"/>
      <c r="F331" s="106"/>
      <c r="G331" s="106"/>
      <c r="H331" s="106"/>
    </row>
    <row r="332">
      <c r="A332" s="80"/>
      <c r="B332" s="80"/>
      <c r="C332" s="106"/>
      <c r="D332" s="80"/>
      <c r="E332" s="106"/>
      <c r="F332" s="106"/>
      <c r="G332" s="106"/>
      <c r="H332" s="106"/>
    </row>
    <row r="333">
      <c r="A333" s="80"/>
      <c r="B333" s="80"/>
      <c r="C333" s="106"/>
      <c r="D333" s="80"/>
      <c r="E333" s="106"/>
      <c r="F333" s="106"/>
      <c r="G333" s="106"/>
      <c r="H333" s="106"/>
    </row>
    <row r="334">
      <c r="A334" s="80"/>
      <c r="B334" s="80"/>
      <c r="C334" s="106"/>
      <c r="D334" s="80"/>
      <c r="E334" s="106"/>
      <c r="F334" s="106"/>
      <c r="G334" s="106"/>
      <c r="H334" s="106"/>
    </row>
    <row r="335">
      <c r="A335" s="80"/>
      <c r="B335" s="80"/>
      <c r="C335" s="106"/>
      <c r="D335" s="80"/>
      <c r="E335" s="106"/>
      <c r="F335" s="106"/>
      <c r="G335" s="106"/>
      <c r="H335" s="106"/>
    </row>
    <row r="336">
      <c r="A336" s="80"/>
      <c r="B336" s="80"/>
      <c r="C336" s="106"/>
      <c r="D336" s="80"/>
      <c r="E336" s="106"/>
      <c r="F336" s="106"/>
      <c r="G336" s="106"/>
      <c r="H336" s="106"/>
    </row>
    <row r="337">
      <c r="A337" s="80"/>
      <c r="B337" s="80"/>
      <c r="C337" s="106"/>
      <c r="D337" s="80"/>
      <c r="E337" s="106"/>
      <c r="F337" s="106"/>
      <c r="G337" s="106"/>
      <c r="H337" s="106"/>
    </row>
    <row r="338">
      <c r="A338" s="80"/>
      <c r="B338" s="80"/>
      <c r="C338" s="106"/>
      <c r="D338" s="80"/>
      <c r="E338" s="106"/>
      <c r="F338" s="106"/>
      <c r="G338" s="106"/>
      <c r="H338" s="106"/>
    </row>
    <row r="339">
      <c r="A339" s="80"/>
      <c r="B339" s="80"/>
      <c r="C339" s="106"/>
      <c r="D339" s="80"/>
      <c r="E339" s="106"/>
      <c r="F339" s="106"/>
      <c r="G339" s="106"/>
      <c r="H339" s="106"/>
    </row>
    <row r="340">
      <c r="A340" s="80"/>
      <c r="B340" s="80"/>
      <c r="C340" s="106"/>
      <c r="D340" s="80"/>
      <c r="E340" s="106"/>
      <c r="F340" s="106"/>
      <c r="G340" s="106"/>
      <c r="H340" s="106"/>
    </row>
    <row r="341">
      <c r="A341" s="80"/>
      <c r="B341" s="80"/>
      <c r="C341" s="106"/>
      <c r="D341" s="80"/>
      <c r="E341" s="106"/>
      <c r="F341" s="106"/>
      <c r="G341" s="106"/>
      <c r="H341" s="106"/>
    </row>
    <row r="342">
      <c r="A342" s="80"/>
      <c r="B342" s="80"/>
      <c r="C342" s="106"/>
      <c r="D342" s="80"/>
      <c r="E342" s="106"/>
      <c r="F342" s="106"/>
      <c r="G342" s="106"/>
      <c r="H342" s="106"/>
    </row>
    <row r="343">
      <c r="A343" s="80"/>
      <c r="B343" s="80"/>
      <c r="C343" s="106"/>
      <c r="D343" s="80"/>
      <c r="E343" s="106"/>
      <c r="F343" s="106"/>
      <c r="G343" s="106"/>
      <c r="H343" s="106"/>
    </row>
    <row r="344">
      <c r="A344" s="80"/>
      <c r="B344" s="80"/>
      <c r="C344" s="106"/>
      <c r="D344" s="80"/>
      <c r="E344" s="106"/>
      <c r="F344" s="106"/>
      <c r="G344" s="106"/>
      <c r="H344" s="106"/>
    </row>
    <row r="345">
      <c r="A345" s="80"/>
      <c r="B345" s="80"/>
      <c r="C345" s="106"/>
      <c r="D345" s="80"/>
      <c r="E345" s="106"/>
      <c r="F345" s="106"/>
      <c r="G345" s="106"/>
      <c r="H345" s="106"/>
    </row>
    <row r="346">
      <c r="A346" s="80"/>
      <c r="B346" s="80"/>
      <c r="C346" s="106"/>
      <c r="D346" s="80"/>
      <c r="E346" s="106"/>
      <c r="F346" s="106"/>
      <c r="G346" s="106"/>
      <c r="H346" s="106"/>
    </row>
    <row r="347">
      <c r="A347" s="80"/>
      <c r="B347" s="80"/>
      <c r="C347" s="106"/>
      <c r="D347" s="80"/>
      <c r="E347" s="106"/>
      <c r="F347" s="106"/>
      <c r="G347" s="106"/>
      <c r="H347" s="106"/>
    </row>
    <row r="348">
      <c r="A348" s="80"/>
      <c r="B348" s="80"/>
      <c r="C348" s="106"/>
      <c r="D348" s="80"/>
      <c r="E348" s="106"/>
      <c r="F348" s="106"/>
      <c r="G348" s="106"/>
      <c r="H348" s="106"/>
    </row>
    <row r="349">
      <c r="A349" s="80"/>
      <c r="B349" s="80"/>
      <c r="C349" s="106"/>
      <c r="D349" s="80"/>
      <c r="E349" s="106"/>
      <c r="F349" s="106"/>
      <c r="G349" s="106"/>
      <c r="H349" s="106"/>
    </row>
    <row r="350">
      <c r="A350" s="80"/>
      <c r="B350" s="80"/>
      <c r="C350" s="106"/>
      <c r="D350" s="80"/>
      <c r="E350" s="106"/>
      <c r="F350" s="106"/>
      <c r="G350" s="106"/>
      <c r="H350" s="106"/>
    </row>
    <row r="351">
      <c r="A351" s="80"/>
      <c r="B351" s="80"/>
      <c r="C351" s="106"/>
      <c r="D351" s="80"/>
      <c r="E351" s="106"/>
      <c r="F351" s="106"/>
      <c r="G351" s="106"/>
      <c r="H351" s="106"/>
    </row>
    <row r="352">
      <c r="A352" s="80"/>
      <c r="B352" s="80"/>
      <c r="C352" s="106"/>
      <c r="D352" s="80"/>
      <c r="E352" s="106"/>
      <c r="F352" s="106"/>
      <c r="G352" s="106"/>
      <c r="H352" s="106"/>
    </row>
    <row r="353">
      <c r="A353" s="80"/>
      <c r="B353" s="80"/>
      <c r="C353" s="106"/>
      <c r="D353" s="80"/>
      <c r="E353" s="106"/>
      <c r="F353" s="106"/>
      <c r="G353" s="106"/>
      <c r="H353" s="106"/>
    </row>
    <row r="354">
      <c r="A354" s="80"/>
      <c r="B354" s="80"/>
      <c r="C354" s="106"/>
      <c r="D354" s="80"/>
      <c r="E354" s="106"/>
      <c r="F354" s="106"/>
      <c r="G354" s="106"/>
      <c r="H354" s="106"/>
    </row>
    <row r="355">
      <c r="A355" s="80"/>
      <c r="B355" s="80"/>
      <c r="C355" s="106"/>
      <c r="D355" s="80"/>
      <c r="E355" s="106"/>
      <c r="F355" s="106"/>
      <c r="G355" s="106"/>
      <c r="H355" s="106"/>
    </row>
    <row r="356">
      <c r="A356" s="80"/>
      <c r="B356" s="80"/>
      <c r="C356" s="106"/>
      <c r="D356" s="80"/>
      <c r="E356" s="106"/>
      <c r="F356" s="106"/>
      <c r="G356" s="106"/>
      <c r="H356" s="106"/>
    </row>
    <row r="357">
      <c r="A357" s="80"/>
      <c r="B357" s="80"/>
      <c r="C357" s="106"/>
      <c r="D357" s="80"/>
      <c r="E357" s="106"/>
      <c r="F357" s="106"/>
      <c r="G357" s="106"/>
      <c r="H357" s="106"/>
    </row>
    <row r="358">
      <c r="A358" s="80"/>
      <c r="B358" s="80"/>
      <c r="C358" s="106"/>
      <c r="D358" s="80"/>
      <c r="E358" s="106"/>
      <c r="F358" s="106"/>
      <c r="G358" s="106"/>
      <c r="H358" s="106"/>
    </row>
    <row r="359">
      <c r="A359" s="80"/>
      <c r="B359" s="80"/>
      <c r="C359" s="106"/>
      <c r="D359" s="80"/>
      <c r="E359" s="106"/>
      <c r="F359" s="106"/>
      <c r="G359" s="106"/>
      <c r="H359" s="106"/>
    </row>
    <row r="360">
      <c r="A360" s="80"/>
      <c r="B360" s="80"/>
      <c r="C360" s="106"/>
      <c r="D360" s="80"/>
      <c r="E360" s="106"/>
      <c r="F360" s="106"/>
      <c r="G360" s="106"/>
      <c r="H360" s="106"/>
    </row>
    <row r="361">
      <c r="A361" s="80"/>
      <c r="B361" s="80"/>
      <c r="C361" s="106"/>
      <c r="D361" s="80"/>
      <c r="E361" s="106"/>
      <c r="F361" s="106"/>
      <c r="G361" s="106"/>
      <c r="H361" s="106"/>
    </row>
    <row r="362">
      <c r="A362" s="80"/>
      <c r="B362" s="80"/>
      <c r="C362" s="106"/>
      <c r="D362" s="80"/>
      <c r="E362" s="106"/>
      <c r="F362" s="106"/>
      <c r="G362" s="106"/>
      <c r="H362" s="106"/>
    </row>
    <row r="363">
      <c r="A363" s="80"/>
      <c r="B363" s="80"/>
      <c r="C363" s="106"/>
      <c r="D363" s="80"/>
      <c r="E363" s="106"/>
      <c r="F363" s="106"/>
      <c r="G363" s="106"/>
      <c r="H363" s="106"/>
    </row>
    <row r="364">
      <c r="A364" s="80"/>
      <c r="B364" s="80"/>
      <c r="C364" s="106"/>
      <c r="D364" s="80"/>
      <c r="E364" s="106"/>
      <c r="F364" s="106"/>
      <c r="G364" s="106"/>
      <c r="H364" s="106"/>
    </row>
    <row r="365">
      <c r="A365" s="80"/>
      <c r="B365" s="80"/>
      <c r="C365" s="106"/>
      <c r="D365" s="80"/>
      <c r="E365" s="106"/>
      <c r="F365" s="106"/>
      <c r="G365" s="106"/>
      <c r="H365" s="106"/>
    </row>
    <row r="366">
      <c r="A366" s="80"/>
      <c r="B366" s="80"/>
      <c r="C366" s="106"/>
      <c r="D366" s="80"/>
      <c r="E366" s="106"/>
      <c r="F366" s="106"/>
      <c r="G366" s="106"/>
      <c r="H366" s="106"/>
    </row>
    <row r="367">
      <c r="A367" s="80"/>
      <c r="B367" s="80"/>
      <c r="C367" s="106"/>
      <c r="D367" s="80"/>
      <c r="E367" s="106"/>
      <c r="F367" s="106"/>
      <c r="G367" s="106"/>
      <c r="H367" s="106"/>
    </row>
    <row r="368">
      <c r="A368" s="80"/>
      <c r="B368" s="80"/>
      <c r="C368" s="106"/>
      <c r="D368" s="80"/>
      <c r="E368" s="106"/>
      <c r="F368" s="106"/>
      <c r="G368" s="106"/>
      <c r="H368" s="106"/>
    </row>
    <row r="369">
      <c r="A369" s="80"/>
      <c r="B369" s="80"/>
      <c r="C369" s="106"/>
      <c r="D369" s="80"/>
      <c r="E369" s="106"/>
      <c r="F369" s="106"/>
      <c r="G369" s="106"/>
      <c r="H369" s="106"/>
    </row>
    <row r="370">
      <c r="A370" s="80"/>
      <c r="B370" s="80"/>
      <c r="C370" s="106"/>
      <c r="D370" s="80"/>
      <c r="E370" s="106"/>
      <c r="F370" s="106"/>
      <c r="G370" s="106"/>
      <c r="H370" s="106"/>
    </row>
    <row r="371">
      <c r="A371" s="80"/>
      <c r="B371" s="80"/>
      <c r="C371" s="106"/>
      <c r="D371" s="80"/>
      <c r="E371" s="106"/>
      <c r="F371" s="106"/>
      <c r="G371" s="106"/>
      <c r="H371" s="106"/>
    </row>
    <row r="372">
      <c r="A372" s="80"/>
      <c r="B372" s="80"/>
      <c r="C372" s="106"/>
      <c r="D372" s="80"/>
      <c r="E372" s="106"/>
      <c r="F372" s="106"/>
      <c r="G372" s="106"/>
      <c r="H372" s="106"/>
    </row>
    <row r="373">
      <c r="A373" s="80"/>
      <c r="B373" s="80"/>
      <c r="C373" s="106"/>
      <c r="D373" s="80"/>
      <c r="E373" s="106"/>
      <c r="F373" s="106"/>
      <c r="G373" s="106"/>
      <c r="H373" s="106"/>
    </row>
    <row r="374">
      <c r="A374" s="80"/>
      <c r="B374" s="80"/>
      <c r="C374" s="106"/>
      <c r="D374" s="80"/>
      <c r="E374" s="106"/>
      <c r="F374" s="106"/>
      <c r="G374" s="106"/>
      <c r="H374" s="106"/>
    </row>
    <row r="375">
      <c r="A375" s="80"/>
      <c r="B375" s="80"/>
      <c r="C375" s="106"/>
      <c r="D375" s="80"/>
      <c r="E375" s="106"/>
      <c r="F375" s="106"/>
      <c r="G375" s="106"/>
      <c r="H375" s="106"/>
    </row>
    <row r="376">
      <c r="A376" s="80"/>
      <c r="B376" s="80"/>
      <c r="C376" s="106"/>
      <c r="D376" s="80"/>
      <c r="E376" s="106"/>
      <c r="F376" s="106"/>
      <c r="G376" s="106"/>
      <c r="H376" s="106"/>
    </row>
    <row r="377">
      <c r="A377" s="80"/>
      <c r="B377" s="80"/>
      <c r="C377" s="106"/>
      <c r="D377" s="80"/>
      <c r="E377" s="106"/>
      <c r="F377" s="106"/>
      <c r="G377" s="106"/>
      <c r="H377" s="106"/>
    </row>
    <row r="378">
      <c r="A378" s="80"/>
      <c r="B378" s="80"/>
      <c r="C378" s="106"/>
      <c r="D378" s="80"/>
      <c r="E378" s="106"/>
      <c r="F378" s="106"/>
      <c r="G378" s="106"/>
      <c r="H378" s="106"/>
    </row>
    <row r="379">
      <c r="A379" s="80"/>
      <c r="B379" s="80"/>
      <c r="C379" s="106"/>
      <c r="D379" s="80"/>
      <c r="E379" s="106"/>
      <c r="F379" s="106"/>
      <c r="G379" s="106"/>
      <c r="H379" s="106"/>
    </row>
    <row r="380">
      <c r="A380" s="80"/>
      <c r="B380" s="80"/>
      <c r="C380" s="106"/>
      <c r="D380" s="80"/>
      <c r="E380" s="106"/>
      <c r="F380" s="106"/>
      <c r="G380" s="106"/>
      <c r="H380" s="106"/>
    </row>
    <row r="381">
      <c r="A381" s="80"/>
      <c r="B381" s="80"/>
      <c r="C381" s="106"/>
      <c r="D381" s="80"/>
      <c r="E381" s="106"/>
      <c r="F381" s="106"/>
      <c r="G381" s="106"/>
      <c r="H381" s="106"/>
    </row>
    <row r="382">
      <c r="A382" s="80"/>
      <c r="B382" s="80"/>
      <c r="C382" s="106"/>
      <c r="D382" s="80"/>
      <c r="E382" s="106"/>
      <c r="F382" s="106"/>
      <c r="G382" s="106"/>
      <c r="H382" s="106"/>
    </row>
    <row r="383">
      <c r="A383" s="80"/>
      <c r="B383" s="80"/>
      <c r="C383" s="106"/>
      <c r="D383" s="80"/>
      <c r="E383" s="106"/>
      <c r="F383" s="106"/>
      <c r="G383" s="106"/>
      <c r="H383" s="106"/>
    </row>
    <row r="384">
      <c r="A384" s="80"/>
      <c r="B384" s="80"/>
      <c r="C384" s="106"/>
      <c r="D384" s="80"/>
      <c r="E384" s="106"/>
      <c r="F384" s="106"/>
      <c r="G384" s="106"/>
      <c r="H384" s="106"/>
    </row>
    <row r="385">
      <c r="A385" s="80"/>
      <c r="B385" s="80"/>
      <c r="C385" s="106"/>
      <c r="D385" s="80"/>
      <c r="E385" s="106"/>
      <c r="F385" s="106"/>
      <c r="G385" s="106"/>
      <c r="H385" s="106"/>
    </row>
    <row r="386">
      <c r="A386" s="80"/>
      <c r="B386" s="80"/>
      <c r="C386" s="106"/>
      <c r="D386" s="80"/>
      <c r="E386" s="106"/>
      <c r="F386" s="106"/>
      <c r="G386" s="106"/>
      <c r="H386" s="106"/>
    </row>
    <row r="387">
      <c r="A387" s="80"/>
      <c r="B387" s="80"/>
      <c r="C387" s="106"/>
      <c r="D387" s="80"/>
      <c r="E387" s="106"/>
      <c r="F387" s="106"/>
      <c r="G387" s="106"/>
      <c r="H387" s="106"/>
    </row>
    <row r="388">
      <c r="A388" s="80"/>
      <c r="B388" s="80"/>
      <c r="C388" s="106"/>
      <c r="D388" s="80"/>
      <c r="E388" s="106"/>
      <c r="F388" s="106"/>
      <c r="G388" s="106"/>
      <c r="H388" s="106"/>
    </row>
    <row r="389">
      <c r="A389" s="80"/>
      <c r="B389" s="80"/>
      <c r="C389" s="106"/>
      <c r="D389" s="80"/>
      <c r="E389" s="106"/>
      <c r="F389" s="106"/>
      <c r="G389" s="106"/>
      <c r="H389" s="106"/>
    </row>
    <row r="390">
      <c r="A390" s="80"/>
      <c r="B390" s="80"/>
      <c r="C390" s="106"/>
      <c r="D390" s="80"/>
      <c r="E390" s="106"/>
      <c r="F390" s="106"/>
      <c r="G390" s="106"/>
      <c r="H390" s="106"/>
    </row>
    <row r="391">
      <c r="A391" s="80"/>
      <c r="B391" s="80"/>
      <c r="C391" s="106"/>
      <c r="D391" s="80"/>
      <c r="E391" s="106"/>
      <c r="F391" s="106"/>
      <c r="G391" s="106"/>
      <c r="H391" s="106"/>
    </row>
    <row r="392">
      <c r="A392" s="80"/>
      <c r="B392" s="80"/>
      <c r="C392" s="106"/>
      <c r="D392" s="80"/>
      <c r="E392" s="106"/>
      <c r="F392" s="106"/>
      <c r="G392" s="106"/>
      <c r="H392" s="106"/>
    </row>
    <row r="393">
      <c r="A393" s="80"/>
      <c r="B393" s="80"/>
      <c r="C393" s="106"/>
      <c r="D393" s="80"/>
      <c r="E393" s="106"/>
      <c r="F393" s="106"/>
      <c r="G393" s="106"/>
      <c r="H393" s="106"/>
    </row>
    <row r="394">
      <c r="A394" s="80"/>
      <c r="B394" s="80"/>
      <c r="C394" s="106"/>
      <c r="D394" s="80"/>
      <c r="E394" s="106"/>
      <c r="F394" s="106"/>
      <c r="G394" s="106"/>
      <c r="H394" s="106"/>
    </row>
    <row r="395">
      <c r="A395" s="80"/>
      <c r="B395" s="80"/>
      <c r="C395" s="106"/>
      <c r="D395" s="80"/>
      <c r="E395" s="106"/>
      <c r="F395" s="106"/>
      <c r="G395" s="106"/>
      <c r="H395" s="106"/>
    </row>
    <row r="396">
      <c r="A396" s="80"/>
      <c r="B396" s="80"/>
      <c r="C396" s="106"/>
      <c r="D396" s="80"/>
      <c r="E396" s="106"/>
      <c r="F396" s="106"/>
      <c r="G396" s="106"/>
      <c r="H396" s="106"/>
    </row>
    <row r="397">
      <c r="A397" s="80"/>
      <c r="B397" s="80"/>
      <c r="C397" s="106"/>
      <c r="D397" s="80"/>
      <c r="E397" s="106"/>
      <c r="F397" s="106"/>
      <c r="G397" s="106"/>
      <c r="H397" s="106"/>
    </row>
    <row r="398">
      <c r="A398" s="80"/>
      <c r="B398" s="80"/>
      <c r="C398" s="106"/>
      <c r="D398" s="80"/>
      <c r="E398" s="106"/>
      <c r="F398" s="106"/>
      <c r="G398" s="106"/>
      <c r="H398" s="106"/>
    </row>
    <row r="399">
      <c r="A399" s="80"/>
      <c r="B399" s="80"/>
      <c r="C399" s="106"/>
      <c r="D399" s="80"/>
      <c r="E399" s="106"/>
      <c r="F399" s="106"/>
      <c r="G399" s="106"/>
      <c r="H399" s="106"/>
    </row>
    <row r="400">
      <c r="A400" s="80"/>
      <c r="B400" s="80"/>
      <c r="C400" s="106"/>
      <c r="D400" s="80"/>
      <c r="E400" s="106"/>
      <c r="F400" s="106"/>
      <c r="G400" s="106"/>
      <c r="H400" s="106"/>
    </row>
    <row r="401">
      <c r="A401" s="80"/>
      <c r="B401" s="80"/>
      <c r="C401" s="106"/>
      <c r="D401" s="80"/>
      <c r="E401" s="106"/>
      <c r="F401" s="106"/>
      <c r="G401" s="106"/>
      <c r="H401" s="106"/>
    </row>
    <row r="402">
      <c r="A402" s="80"/>
      <c r="B402" s="80"/>
      <c r="C402" s="106"/>
      <c r="D402" s="80"/>
      <c r="E402" s="106"/>
      <c r="F402" s="106"/>
      <c r="G402" s="106"/>
      <c r="H402" s="106"/>
    </row>
    <row r="403">
      <c r="A403" s="80"/>
      <c r="B403" s="80"/>
      <c r="C403" s="106"/>
      <c r="D403" s="80"/>
      <c r="E403" s="106"/>
      <c r="F403" s="106"/>
      <c r="G403" s="106"/>
      <c r="H403" s="106"/>
    </row>
    <row r="404">
      <c r="A404" s="80"/>
      <c r="B404" s="80"/>
      <c r="C404" s="106"/>
      <c r="D404" s="80"/>
      <c r="E404" s="106"/>
      <c r="F404" s="106"/>
      <c r="G404" s="106"/>
      <c r="H404" s="106"/>
    </row>
    <row r="405">
      <c r="A405" s="80"/>
      <c r="B405" s="80"/>
      <c r="C405" s="106"/>
      <c r="D405" s="80"/>
      <c r="E405" s="106"/>
      <c r="F405" s="106"/>
      <c r="G405" s="106"/>
      <c r="H405" s="106"/>
    </row>
    <row r="406">
      <c r="A406" s="80"/>
      <c r="B406" s="80"/>
      <c r="C406" s="106"/>
      <c r="D406" s="80"/>
      <c r="E406" s="106"/>
      <c r="F406" s="106"/>
      <c r="G406" s="106"/>
      <c r="H406" s="106"/>
    </row>
    <row r="407">
      <c r="A407" s="80"/>
      <c r="B407" s="80"/>
      <c r="C407" s="106"/>
      <c r="D407" s="80"/>
      <c r="E407" s="106"/>
      <c r="F407" s="106"/>
      <c r="G407" s="106"/>
      <c r="H407" s="106"/>
    </row>
    <row r="408">
      <c r="A408" s="80"/>
      <c r="B408" s="80"/>
      <c r="C408" s="106"/>
      <c r="D408" s="80"/>
      <c r="E408" s="106"/>
      <c r="F408" s="106"/>
      <c r="G408" s="106"/>
      <c r="H408" s="106"/>
    </row>
    <row r="409">
      <c r="A409" s="80"/>
      <c r="B409" s="80"/>
      <c r="C409" s="106"/>
      <c r="D409" s="80"/>
      <c r="E409" s="106"/>
      <c r="F409" s="106"/>
      <c r="G409" s="106"/>
      <c r="H409" s="106"/>
    </row>
    <row r="410">
      <c r="A410" s="80"/>
      <c r="B410" s="80"/>
      <c r="C410" s="106"/>
      <c r="D410" s="80"/>
      <c r="E410" s="106"/>
      <c r="F410" s="106"/>
      <c r="G410" s="106"/>
      <c r="H410" s="106"/>
    </row>
    <row r="411">
      <c r="A411" s="80"/>
      <c r="B411" s="80"/>
      <c r="C411" s="106"/>
      <c r="D411" s="80"/>
      <c r="E411" s="106"/>
      <c r="F411" s="106"/>
      <c r="G411" s="106"/>
      <c r="H411" s="106"/>
    </row>
    <row r="412">
      <c r="A412" s="80"/>
      <c r="B412" s="80"/>
      <c r="C412" s="106"/>
      <c r="D412" s="80"/>
      <c r="E412" s="106"/>
      <c r="F412" s="106"/>
      <c r="G412" s="106"/>
      <c r="H412" s="106"/>
    </row>
    <row r="413">
      <c r="A413" s="80"/>
      <c r="B413" s="80"/>
      <c r="C413" s="106"/>
      <c r="D413" s="80"/>
      <c r="E413" s="106"/>
      <c r="F413" s="106"/>
      <c r="G413" s="106"/>
      <c r="H413" s="106"/>
    </row>
    <row r="414">
      <c r="A414" s="80"/>
      <c r="B414" s="80"/>
      <c r="C414" s="106"/>
      <c r="D414" s="80"/>
      <c r="E414" s="106"/>
      <c r="F414" s="106"/>
      <c r="G414" s="106"/>
      <c r="H414" s="106"/>
    </row>
    <row r="415">
      <c r="A415" s="80"/>
      <c r="B415" s="80"/>
      <c r="C415" s="106"/>
      <c r="D415" s="80"/>
      <c r="E415" s="106"/>
      <c r="F415" s="106"/>
      <c r="G415" s="106"/>
      <c r="H415" s="106"/>
    </row>
    <row r="416">
      <c r="A416" s="80"/>
      <c r="B416" s="80"/>
      <c r="C416" s="106"/>
      <c r="D416" s="80"/>
      <c r="E416" s="106"/>
      <c r="F416" s="106"/>
      <c r="G416" s="106"/>
      <c r="H416" s="106"/>
    </row>
    <row r="417">
      <c r="A417" s="80"/>
      <c r="B417" s="80"/>
      <c r="C417" s="106"/>
      <c r="D417" s="80"/>
      <c r="E417" s="106"/>
      <c r="F417" s="106"/>
      <c r="G417" s="106"/>
      <c r="H417" s="106"/>
    </row>
    <row r="418">
      <c r="A418" s="80"/>
      <c r="B418" s="80"/>
      <c r="C418" s="106"/>
      <c r="D418" s="80"/>
      <c r="E418" s="106"/>
      <c r="F418" s="106"/>
      <c r="G418" s="106"/>
      <c r="H418" s="106"/>
    </row>
    <row r="419">
      <c r="A419" s="80"/>
      <c r="B419" s="80"/>
      <c r="C419" s="106"/>
      <c r="D419" s="80"/>
      <c r="E419" s="106"/>
      <c r="F419" s="106"/>
      <c r="G419" s="106"/>
      <c r="H419" s="106"/>
    </row>
    <row r="420">
      <c r="A420" s="80"/>
      <c r="B420" s="80"/>
      <c r="C420" s="106"/>
      <c r="D420" s="80"/>
      <c r="E420" s="106"/>
      <c r="F420" s="106"/>
      <c r="G420" s="106"/>
      <c r="H420" s="106"/>
    </row>
    <row r="421">
      <c r="A421" s="80"/>
      <c r="B421" s="80"/>
      <c r="C421" s="106"/>
      <c r="D421" s="80"/>
      <c r="E421" s="106"/>
      <c r="F421" s="106"/>
      <c r="G421" s="106"/>
      <c r="H421" s="106"/>
    </row>
    <row r="422">
      <c r="A422" s="80"/>
      <c r="B422" s="80"/>
      <c r="C422" s="106"/>
      <c r="D422" s="80"/>
      <c r="E422" s="106"/>
      <c r="F422" s="106"/>
      <c r="G422" s="106"/>
      <c r="H422" s="106"/>
    </row>
    <row r="423">
      <c r="A423" s="80"/>
      <c r="B423" s="80"/>
      <c r="C423" s="106"/>
      <c r="D423" s="80"/>
      <c r="E423" s="106"/>
      <c r="F423" s="106"/>
      <c r="G423" s="106"/>
      <c r="H423" s="106"/>
    </row>
    <row r="424">
      <c r="A424" s="80"/>
      <c r="B424" s="80"/>
      <c r="C424" s="106"/>
      <c r="D424" s="80"/>
      <c r="E424" s="106"/>
      <c r="F424" s="106"/>
      <c r="G424" s="106"/>
      <c r="H424" s="106"/>
    </row>
    <row r="425">
      <c r="A425" s="80"/>
      <c r="B425" s="80"/>
      <c r="C425" s="106"/>
      <c r="D425" s="80"/>
      <c r="E425" s="106"/>
      <c r="F425" s="106"/>
      <c r="G425" s="106"/>
      <c r="H425" s="106"/>
    </row>
    <row r="426">
      <c r="A426" s="80"/>
      <c r="B426" s="80"/>
      <c r="C426" s="106"/>
      <c r="D426" s="80"/>
      <c r="E426" s="106"/>
      <c r="F426" s="106"/>
      <c r="G426" s="106"/>
      <c r="H426" s="106"/>
    </row>
    <row r="427">
      <c r="A427" s="80"/>
      <c r="B427" s="80"/>
      <c r="C427" s="106"/>
      <c r="D427" s="80"/>
      <c r="E427" s="106"/>
      <c r="F427" s="106"/>
      <c r="G427" s="106"/>
      <c r="H427" s="106"/>
    </row>
    <row r="428">
      <c r="A428" s="80"/>
      <c r="B428" s="80"/>
      <c r="C428" s="106"/>
      <c r="D428" s="80"/>
      <c r="E428" s="106"/>
      <c r="F428" s="106"/>
      <c r="G428" s="106"/>
      <c r="H428" s="106"/>
    </row>
    <row r="429">
      <c r="A429" s="80"/>
      <c r="B429" s="80"/>
      <c r="C429" s="106"/>
      <c r="D429" s="80"/>
      <c r="E429" s="106"/>
      <c r="F429" s="106"/>
      <c r="G429" s="106"/>
      <c r="H429" s="106"/>
    </row>
    <row r="430">
      <c r="A430" s="80"/>
      <c r="B430" s="80"/>
      <c r="C430" s="106"/>
      <c r="D430" s="80"/>
      <c r="E430" s="106"/>
      <c r="F430" s="106"/>
      <c r="G430" s="106"/>
      <c r="H430" s="106"/>
    </row>
    <row r="431">
      <c r="A431" s="80"/>
      <c r="B431" s="80"/>
      <c r="C431" s="106"/>
      <c r="D431" s="80"/>
      <c r="E431" s="106"/>
      <c r="F431" s="106"/>
      <c r="G431" s="106"/>
      <c r="H431" s="106"/>
    </row>
    <row r="432">
      <c r="A432" s="80"/>
      <c r="B432" s="80"/>
      <c r="C432" s="106"/>
      <c r="D432" s="80"/>
      <c r="E432" s="106"/>
      <c r="F432" s="106"/>
      <c r="G432" s="106"/>
      <c r="H432" s="106"/>
    </row>
    <row r="433">
      <c r="A433" s="80"/>
      <c r="B433" s="80"/>
      <c r="C433" s="106"/>
      <c r="D433" s="80"/>
      <c r="E433" s="106"/>
      <c r="F433" s="106"/>
      <c r="G433" s="106"/>
      <c r="H433" s="106"/>
    </row>
    <row r="434">
      <c r="A434" s="80"/>
      <c r="B434" s="80"/>
      <c r="C434" s="106"/>
      <c r="D434" s="80"/>
      <c r="E434" s="106"/>
      <c r="F434" s="106"/>
      <c r="G434" s="106"/>
      <c r="H434" s="106"/>
    </row>
    <row r="435">
      <c r="A435" s="80"/>
      <c r="B435" s="80"/>
      <c r="C435" s="106"/>
      <c r="D435" s="80"/>
      <c r="E435" s="106"/>
      <c r="F435" s="106"/>
      <c r="G435" s="106"/>
      <c r="H435" s="106"/>
    </row>
    <row r="436">
      <c r="A436" s="80"/>
      <c r="B436" s="80"/>
      <c r="C436" s="106"/>
      <c r="D436" s="80"/>
      <c r="E436" s="106"/>
      <c r="F436" s="106"/>
      <c r="G436" s="106"/>
      <c r="H436" s="106"/>
    </row>
    <row r="437">
      <c r="A437" s="80"/>
      <c r="B437" s="80"/>
      <c r="C437" s="106"/>
      <c r="D437" s="80"/>
      <c r="E437" s="106"/>
      <c r="F437" s="106"/>
      <c r="G437" s="106"/>
      <c r="H437" s="106"/>
    </row>
    <row r="438">
      <c r="A438" s="80"/>
      <c r="B438" s="80"/>
      <c r="C438" s="106"/>
      <c r="D438" s="80"/>
      <c r="E438" s="106"/>
      <c r="F438" s="106"/>
      <c r="G438" s="106"/>
      <c r="H438" s="106"/>
    </row>
    <row r="439">
      <c r="A439" s="80"/>
      <c r="B439" s="80"/>
      <c r="C439" s="106"/>
      <c r="D439" s="80"/>
      <c r="E439" s="106"/>
      <c r="F439" s="106"/>
      <c r="G439" s="106"/>
      <c r="H439" s="106"/>
    </row>
    <row r="440">
      <c r="A440" s="80"/>
      <c r="B440" s="80"/>
      <c r="C440" s="106"/>
      <c r="D440" s="80"/>
      <c r="E440" s="106"/>
      <c r="F440" s="106"/>
      <c r="G440" s="106"/>
      <c r="H440" s="106"/>
    </row>
    <row r="441">
      <c r="A441" s="80"/>
      <c r="B441" s="80"/>
      <c r="C441" s="106"/>
      <c r="D441" s="80"/>
      <c r="E441" s="106"/>
      <c r="F441" s="106"/>
      <c r="G441" s="106"/>
      <c r="H441" s="106"/>
    </row>
    <row r="442">
      <c r="A442" s="80"/>
      <c r="B442" s="80"/>
      <c r="C442" s="106"/>
      <c r="D442" s="80"/>
      <c r="E442" s="106"/>
      <c r="F442" s="106"/>
      <c r="G442" s="106"/>
      <c r="H442" s="106"/>
    </row>
    <row r="443">
      <c r="A443" s="80"/>
      <c r="B443" s="80"/>
      <c r="C443" s="106"/>
      <c r="D443" s="80"/>
      <c r="E443" s="106"/>
      <c r="F443" s="106"/>
      <c r="G443" s="106"/>
      <c r="H443" s="106"/>
    </row>
    <row r="444">
      <c r="A444" s="80"/>
      <c r="B444" s="80"/>
      <c r="C444" s="106"/>
      <c r="D444" s="80"/>
      <c r="E444" s="106"/>
      <c r="F444" s="106"/>
      <c r="G444" s="106"/>
      <c r="H444" s="106"/>
    </row>
    <row r="445">
      <c r="A445" s="80"/>
      <c r="B445" s="80"/>
      <c r="C445" s="106"/>
      <c r="D445" s="80"/>
      <c r="E445" s="106"/>
      <c r="F445" s="106"/>
      <c r="G445" s="106"/>
      <c r="H445" s="106"/>
    </row>
    <row r="446">
      <c r="A446" s="80"/>
      <c r="B446" s="80"/>
      <c r="C446" s="106"/>
      <c r="D446" s="80"/>
      <c r="E446" s="106"/>
      <c r="F446" s="106"/>
      <c r="G446" s="106"/>
      <c r="H446" s="106"/>
    </row>
    <row r="447">
      <c r="A447" s="80"/>
      <c r="B447" s="80"/>
      <c r="C447" s="106"/>
      <c r="D447" s="80"/>
      <c r="E447" s="106"/>
      <c r="F447" s="106"/>
      <c r="G447" s="106"/>
      <c r="H447" s="106"/>
    </row>
    <row r="448">
      <c r="A448" s="80"/>
      <c r="B448" s="80"/>
      <c r="C448" s="106"/>
      <c r="D448" s="80"/>
      <c r="E448" s="106"/>
      <c r="F448" s="106"/>
      <c r="G448" s="106"/>
      <c r="H448" s="106"/>
    </row>
    <row r="449">
      <c r="A449" s="80"/>
      <c r="B449" s="80"/>
      <c r="C449" s="106"/>
      <c r="D449" s="80"/>
      <c r="E449" s="106"/>
      <c r="F449" s="106"/>
      <c r="G449" s="106"/>
      <c r="H449" s="106"/>
    </row>
    <row r="450">
      <c r="A450" s="80"/>
      <c r="B450" s="80"/>
      <c r="C450" s="106"/>
      <c r="D450" s="80"/>
      <c r="E450" s="106"/>
      <c r="F450" s="106"/>
      <c r="G450" s="106"/>
      <c r="H450" s="106"/>
    </row>
    <row r="451">
      <c r="A451" s="80"/>
      <c r="B451" s="80"/>
      <c r="C451" s="106"/>
      <c r="D451" s="80"/>
      <c r="E451" s="106"/>
      <c r="F451" s="106"/>
      <c r="G451" s="106"/>
      <c r="H451" s="106"/>
    </row>
    <row r="452">
      <c r="A452" s="80"/>
      <c r="B452" s="80"/>
      <c r="C452" s="106"/>
      <c r="D452" s="80"/>
      <c r="E452" s="106"/>
      <c r="F452" s="106"/>
      <c r="G452" s="106"/>
      <c r="H452" s="106"/>
    </row>
    <row r="453">
      <c r="A453" s="80"/>
      <c r="B453" s="80"/>
      <c r="C453" s="106"/>
      <c r="D453" s="80"/>
      <c r="E453" s="106"/>
      <c r="F453" s="106"/>
      <c r="G453" s="106"/>
      <c r="H453" s="106"/>
    </row>
    <row r="454">
      <c r="A454" s="80"/>
      <c r="B454" s="80"/>
      <c r="C454" s="106"/>
      <c r="D454" s="80"/>
      <c r="E454" s="106"/>
      <c r="F454" s="106"/>
      <c r="G454" s="106"/>
      <c r="H454" s="106"/>
    </row>
    <row r="455">
      <c r="A455" s="80"/>
      <c r="B455" s="80"/>
      <c r="C455" s="106"/>
      <c r="D455" s="80"/>
      <c r="E455" s="106"/>
      <c r="F455" s="106"/>
      <c r="G455" s="106"/>
      <c r="H455" s="106"/>
    </row>
    <row r="456">
      <c r="A456" s="80"/>
      <c r="B456" s="80"/>
      <c r="C456" s="106"/>
      <c r="D456" s="80"/>
      <c r="E456" s="106"/>
      <c r="F456" s="106"/>
      <c r="G456" s="106"/>
      <c r="H456" s="106"/>
    </row>
    <row r="457">
      <c r="A457" s="80"/>
      <c r="B457" s="80"/>
      <c r="C457" s="106"/>
      <c r="D457" s="80"/>
      <c r="E457" s="106"/>
      <c r="F457" s="106"/>
      <c r="G457" s="106"/>
      <c r="H457" s="106"/>
    </row>
    <row r="458">
      <c r="A458" s="80"/>
      <c r="B458" s="80"/>
      <c r="C458" s="106"/>
      <c r="D458" s="80"/>
      <c r="E458" s="106"/>
      <c r="F458" s="106"/>
      <c r="G458" s="106"/>
      <c r="H458" s="106"/>
    </row>
    <row r="459">
      <c r="A459" s="80"/>
      <c r="B459" s="80"/>
      <c r="C459" s="106"/>
      <c r="D459" s="80"/>
      <c r="E459" s="106"/>
      <c r="F459" s="106"/>
      <c r="G459" s="106"/>
      <c r="H459" s="106"/>
    </row>
    <row r="460">
      <c r="A460" s="80"/>
      <c r="B460" s="80"/>
      <c r="C460" s="106"/>
      <c r="D460" s="80"/>
      <c r="E460" s="106"/>
      <c r="F460" s="106"/>
      <c r="G460" s="106"/>
      <c r="H460" s="106"/>
    </row>
    <row r="461">
      <c r="A461" s="80"/>
      <c r="B461" s="80"/>
      <c r="C461" s="106"/>
      <c r="D461" s="80"/>
      <c r="E461" s="106"/>
      <c r="F461" s="106"/>
      <c r="G461" s="106"/>
      <c r="H461" s="106"/>
    </row>
    <row r="462">
      <c r="A462" s="80"/>
      <c r="B462" s="80"/>
      <c r="C462" s="106"/>
      <c r="D462" s="80"/>
      <c r="E462" s="106"/>
      <c r="F462" s="106"/>
      <c r="G462" s="106"/>
      <c r="H462" s="106"/>
    </row>
    <row r="463">
      <c r="A463" s="80"/>
      <c r="B463" s="80"/>
      <c r="C463" s="106"/>
      <c r="D463" s="80"/>
      <c r="E463" s="106"/>
      <c r="F463" s="106"/>
      <c r="G463" s="106"/>
      <c r="H463" s="106"/>
    </row>
    <row r="464">
      <c r="A464" s="80"/>
      <c r="B464" s="80"/>
      <c r="C464" s="106"/>
      <c r="D464" s="80"/>
      <c r="E464" s="106"/>
      <c r="F464" s="106"/>
      <c r="G464" s="106"/>
      <c r="H464" s="106"/>
    </row>
    <row r="465">
      <c r="A465" s="80"/>
      <c r="B465" s="80"/>
      <c r="C465" s="106"/>
      <c r="D465" s="80"/>
      <c r="E465" s="106"/>
      <c r="F465" s="106"/>
      <c r="G465" s="106"/>
      <c r="H465" s="106"/>
    </row>
    <row r="466">
      <c r="A466" s="80"/>
      <c r="B466" s="80"/>
      <c r="C466" s="106"/>
      <c r="D466" s="80"/>
      <c r="E466" s="106"/>
      <c r="F466" s="106"/>
      <c r="G466" s="106"/>
      <c r="H466" s="106"/>
    </row>
    <row r="467">
      <c r="A467" s="80"/>
      <c r="B467" s="80"/>
      <c r="C467" s="106"/>
      <c r="D467" s="80"/>
      <c r="E467" s="106"/>
      <c r="F467" s="106"/>
      <c r="G467" s="106"/>
      <c r="H467" s="106"/>
    </row>
    <row r="468">
      <c r="A468" s="80"/>
      <c r="B468" s="80"/>
      <c r="C468" s="106"/>
      <c r="D468" s="80"/>
      <c r="E468" s="106"/>
      <c r="F468" s="106"/>
      <c r="G468" s="106"/>
      <c r="H468" s="106"/>
    </row>
    <row r="469">
      <c r="A469" s="80"/>
      <c r="B469" s="80"/>
      <c r="C469" s="106"/>
      <c r="D469" s="80"/>
      <c r="E469" s="106"/>
      <c r="F469" s="106"/>
      <c r="G469" s="106"/>
      <c r="H469" s="106"/>
    </row>
    <row r="470">
      <c r="A470" s="80"/>
      <c r="B470" s="80"/>
      <c r="C470" s="106"/>
      <c r="D470" s="80"/>
      <c r="E470" s="106"/>
      <c r="F470" s="106"/>
      <c r="G470" s="106"/>
      <c r="H470" s="106"/>
    </row>
    <row r="471">
      <c r="A471" s="80"/>
      <c r="B471" s="80"/>
      <c r="C471" s="106"/>
      <c r="D471" s="80"/>
      <c r="E471" s="106"/>
      <c r="F471" s="106"/>
      <c r="G471" s="106"/>
      <c r="H471" s="106"/>
    </row>
    <row r="472">
      <c r="A472" s="80"/>
      <c r="B472" s="80"/>
      <c r="C472" s="106"/>
      <c r="D472" s="80"/>
      <c r="E472" s="106"/>
      <c r="F472" s="106"/>
      <c r="G472" s="106"/>
      <c r="H472" s="106"/>
    </row>
    <row r="473">
      <c r="A473" s="80"/>
      <c r="B473" s="80"/>
      <c r="C473" s="106"/>
      <c r="D473" s="80"/>
      <c r="E473" s="106"/>
      <c r="F473" s="106"/>
      <c r="G473" s="106"/>
      <c r="H473" s="106"/>
    </row>
    <row r="474">
      <c r="A474" s="80"/>
      <c r="B474" s="80"/>
      <c r="C474" s="106"/>
      <c r="D474" s="80"/>
      <c r="E474" s="106"/>
      <c r="F474" s="106"/>
      <c r="G474" s="106"/>
      <c r="H474" s="106"/>
    </row>
    <row r="475">
      <c r="A475" s="80"/>
      <c r="B475" s="80"/>
      <c r="C475" s="106"/>
      <c r="D475" s="80"/>
      <c r="E475" s="106"/>
      <c r="F475" s="106"/>
      <c r="G475" s="106"/>
      <c r="H475" s="106"/>
    </row>
    <row r="476">
      <c r="A476" s="80"/>
      <c r="B476" s="80"/>
      <c r="C476" s="106"/>
      <c r="D476" s="80"/>
      <c r="E476" s="106"/>
      <c r="F476" s="106"/>
      <c r="G476" s="106"/>
      <c r="H476" s="106"/>
    </row>
    <row r="477">
      <c r="A477" s="80"/>
      <c r="B477" s="80"/>
      <c r="C477" s="106"/>
      <c r="D477" s="80"/>
      <c r="E477" s="106"/>
      <c r="F477" s="106"/>
      <c r="G477" s="106"/>
      <c r="H477" s="106"/>
    </row>
    <row r="478">
      <c r="A478" s="80"/>
      <c r="B478" s="80"/>
      <c r="C478" s="106"/>
      <c r="D478" s="80"/>
      <c r="E478" s="106"/>
      <c r="F478" s="106"/>
      <c r="G478" s="106"/>
      <c r="H478" s="106"/>
    </row>
    <row r="479">
      <c r="A479" s="80"/>
      <c r="B479" s="80"/>
      <c r="C479" s="106"/>
      <c r="D479" s="80"/>
      <c r="E479" s="106"/>
      <c r="F479" s="106"/>
      <c r="G479" s="106"/>
      <c r="H479" s="106"/>
    </row>
    <row r="480">
      <c r="A480" s="80"/>
      <c r="B480" s="80"/>
      <c r="C480" s="106"/>
      <c r="D480" s="80"/>
      <c r="E480" s="106"/>
      <c r="F480" s="106"/>
      <c r="G480" s="106"/>
      <c r="H480" s="106"/>
    </row>
    <row r="481">
      <c r="A481" s="80"/>
      <c r="B481" s="80"/>
      <c r="C481" s="106"/>
      <c r="D481" s="80"/>
      <c r="E481" s="106"/>
      <c r="F481" s="106"/>
      <c r="G481" s="106"/>
      <c r="H481" s="106"/>
    </row>
    <row r="482">
      <c r="A482" s="80"/>
      <c r="B482" s="80"/>
      <c r="C482" s="106"/>
      <c r="D482" s="80"/>
      <c r="E482" s="106"/>
      <c r="F482" s="106"/>
      <c r="G482" s="106"/>
      <c r="H482" s="106"/>
    </row>
    <row r="483">
      <c r="A483" s="80"/>
      <c r="B483" s="80"/>
      <c r="C483" s="106"/>
      <c r="D483" s="80"/>
      <c r="E483" s="106"/>
      <c r="F483" s="106"/>
      <c r="G483" s="106"/>
      <c r="H483" s="106"/>
    </row>
    <row r="484">
      <c r="A484" s="80"/>
      <c r="B484" s="80"/>
      <c r="C484" s="106"/>
      <c r="D484" s="80"/>
      <c r="E484" s="106"/>
      <c r="F484" s="106"/>
      <c r="G484" s="106"/>
      <c r="H484" s="106"/>
    </row>
    <row r="485">
      <c r="A485" s="80"/>
      <c r="B485" s="80"/>
      <c r="C485" s="106"/>
      <c r="D485" s="80"/>
      <c r="E485" s="106"/>
      <c r="F485" s="106"/>
      <c r="G485" s="106"/>
      <c r="H485" s="106"/>
    </row>
    <row r="486">
      <c r="A486" s="80"/>
      <c r="B486" s="80"/>
      <c r="C486" s="106"/>
      <c r="D486" s="80"/>
      <c r="E486" s="106"/>
      <c r="F486" s="106"/>
      <c r="G486" s="106"/>
      <c r="H486" s="106"/>
    </row>
    <row r="487">
      <c r="A487" s="80"/>
      <c r="B487" s="80"/>
      <c r="C487" s="106"/>
      <c r="D487" s="80"/>
      <c r="E487" s="106"/>
      <c r="F487" s="106"/>
      <c r="G487" s="106"/>
      <c r="H487" s="106"/>
    </row>
    <row r="488">
      <c r="A488" s="80"/>
      <c r="B488" s="80"/>
      <c r="C488" s="106"/>
      <c r="D488" s="80"/>
      <c r="E488" s="106"/>
      <c r="F488" s="106"/>
      <c r="G488" s="106"/>
      <c r="H488" s="106"/>
    </row>
    <row r="489">
      <c r="A489" s="80"/>
      <c r="B489" s="80"/>
      <c r="C489" s="106"/>
      <c r="D489" s="80"/>
      <c r="E489" s="106"/>
      <c r="F489" s="106"/>
      <c r="G489" s="106"/>
      <c r="H489" s="106"/>
    </row>
    <row r="490">
      <c r="A490" s="80"/>
      <c r="B490" s="80"/>
      <c r="C490" s="106"/>
      <c r="D490" s="80"/>
      <c r="E490" s="106"/>
      <c r="F490" s="106"/>
      <c r="G490" s="106"/>
      <c r="H490" s="106"/>
    </row>
    <row r="491">
      <c r="A491" s="80"/>
      <c r="B491" s="80"/>
      <c r="C491" s="106"/>
      <c r="D491" s="80"/>
      <c r="E491" s="106"/>
      <c r="F491" s="106"/>
      <c r="G491" s="106"/>
      <c r="H491" s="106"/>
    </row>
    <row r="492">
      <c r="A492" s="80"/>
      <c r="B492" s="80"/>
      <c r="C492" s="106"/>
      <c r="D492" s="80"/>
      <c r="E492" s="106"/>
      <c r="F492" s="106"/>
      <c r="G492" s="106"/>
      <c r="H492" s="106"/>
    </row>
    <row r="493">
      <c r="A493" s="80"/>
      <c r="B493" s="80"/>
      <c r="C493" s="106"/>
      <c r="D493" s="80"/>
      <c r="E493" s="106"/>
      <c r="F493" s="106"/>
      <c r="G493" s="106"/>
      <c r="H493" s="106"/>
    </row>
    <row r="494">
      <c r="A494" s="80"/>
      <c r="B494" s="80"/>
      <c r="C494" s="106"/>
      <c r="D494" s="80"/>
      <c r="E494" s="106"/>
      <c r="F494" s="106"/>
      <c r="G494" s="106"/>
      <c r="H494" s="106"/>
    </row>
    <row r="495">
      <c r="A495" s="80"/>
      <c r="B495" s="80"/>
      <c r="C495" s="106"/>
      <c r="D495" s="80"/>
      <c r="E495" s="106"/>
      <c r="F495" s="106"/>
      <c r="G495" s="106"/>
      <c r="H495" s="106"/>
    </row>
    <row r="496">
      <c r="A496" s="80"/>
      <c r="B496" s="80"/>
      <c r="C496" s="106"/>
      <c r="D496" s="80"/>
      <c r="E496" s="106"/>
      <c r="F496" s="106"/>
      <c r="G496" s="106"/>
      <c r="H496" s="106"/>
    </row>
    <row r="497">
      <c r="A497" s="80"/>
      <c r="B497" s="80"/>
      <c r="C497" s="106"/>
      <c r="D497" s="80"/>
      <c r="E497" s="106"/>
      <c r="F497" s="106"/>
      <c r="G497" s="106"/>
      <c r="H497" s="106"/>
    </row>
    <row r="498">
      <c r="A498" s="80"/>
      <c r="B498" s="80"/>
      <c r="C498" s="106"/>
      <c r="D498" s="80"/>
      <c r="E498" s="106"/>
      <c r="F498" s="106"/>
      <c r="G498" s="106"/>
      <c r="H498" s="106"/>
    </row>
    <row r="499">
      <c r="A499" s="80"/>
      <c r="B499" s="80"/>
      <c r="C499" s="106"/>
      <c r="D499" s="80"/>
      <c r="E499" s="106"/>
      <c r="F499" s="106"/>
      <c r="G499" s="106"/>
      <c r="H499" s="106"/>
    </row>
    <row r="500">
      <c r="A500" s="80"/>
      <c r="B500" s="80"/>
      <c r="C500" s="106"/>
      <c r="D500" s="80"/>
      <c r="E500" s="106"/>
      <c r="F500" s="106"/>
      <c r="G500" s="106"/>
      <c r="H500" s="106"/>
    </row>
    <row r="501">
      <c r="A501" s="80"/>
      <c r="B501" s="80"/>
      <c r="C501" s="106"/>
      <c r="D501" s="80"/>
      <c r="E501" s="106"/>
      <c r="F501" s="106"/>
      <c r="G501" s="106"/>
      <c r="H501" s="106"/>
    </row>
    <row r="502">
      <c r="A502" s="80"/>
      <c r="B502" s="80"/>
      <c r="C502" s="106"/>
      <c r="D502" s="80"/>
      <c r="E502" s="106"/>
      <c r="F502" s="106"/>
      <c r="G502" s="106"/>
      <c r="H502" s="106"/>
    </row>
    <row r="503">
      <c r="A503" s="80"/>
      <c r="B503" s="80"/>
      <c r="C503" s="106"/>
      <c r="D503" s="80"/>
      <c r="E503" s="106"/>
      <c r="F503" s="106"/>
      <c r="G503" s="106"/>
      <c r="H503" s="106"/>
    </row>
    <row r="504">
      <c r="A504" s="80"/>
      <c r="B504" s="80"/>
      <c r="C504" s="106"/>
      <c r="D504" s="80"/>
      <c r="E504" s="106"/>
      <c r="F504" s="106"/>
      <c r="G504" s="106"/>
      <c r="H504" s="106"/>
    </row>
    <row r="505">
      <c r="A505" s="80"/>
      <c r="B505" s="80"/>
      <c r="C505" s="106"/>
      <c r="D505" s="80"/>
      <c r="E505" s="106"/>
      <c r="F505" s="106"/>
      <c r="G505" s="106"/>
      <c r="H505" s="106"/>
    </row>
    <row r="506">
      <c r="A506" s="80"/>
      <c r="B506" s="80"/>
      <c r="C506" s="106"/>
      <c r="D506" s="80"/>
      <c r="E506" s="106"/>
      <c r="F506" s="106"/>
      <c r="G506" s="106"/>
      <c r="H506" s="106"/>
    </row>
    <row r="507">
      <c r="A507" s="80"/>
      <c r="B507" s="80"/>
      <c r="C507" s="106"/>
      <c r="D507" s="80"/>
      <c r="E507" s="106"/>
      <c r="F507" s="106"/>
      <c r="G507" s="106"/>
      <c r="H507" s="106"/>
    </row>
    <row r="508">
      <c r="A508" s="80"/>
      <c r="B508" s="80"/>
      <c r="C508" s="106"/>
      <c r="D508" s="80"/>
      <c r="E508" s="106"/>
      <c r="F508" s="106"/>
      <c r="G508" s="106"/>
      <c r="H508" s="106"/>
    </row>
    <row r="509">
      <c r="A509" s="80"/>
      <c r="B509" s="80"/>
      <c r="C509" s="106"/>
      <c r="D509" s="80"/>
      <c r="E509" s="106"/>
      <c r="F509" s="106"/>
      <c r="G509" s="106"/>
      <c r="H509" s="106"/>
    </row>
    <row r="510">
      <c r="A510" s="80"/>
      <c r="B510" s="80"/>
      <c r="C510" s="106"/>
      <c r="D510" s="80"/>
      <c r="E510" s="106"/>
      <c r="F510" s="106"/>
      <c r="G510" s="106"/>
      <c r="H510" s="106"/>
    </row>
    <row r="511">
      <c r="A511" s="80"/>
      <c r="B511" s="80"/>
      <c r="C511" s="106"/>
      <c r="D511" s="80"/>
      <c r="E511" s="106"/>
      <c r="F511" s="106"/>
      <c r="G511" s="106"/>
      <c r="H511" s="106"/>
    </row>
    <row r="512">
      <c r="A512" s="80"/>
      <c r="B512" s="80"/>
      <c r="C512" s="106"/>
      <c r="D512" s="80"/>
      <c r="E512" s="106"/>
      <c r="F512" s="106"/>
      <c r="G512" s="106"/>
      <c r="H512" s="106"/>
    </row>
    <row r="513">
      <c r="A513" s="80"/>
      <c r="B513" s="80"/>
      <c r="C513" s="106"/>
      <c r="D513" s="80"/>
      <c r="E513" s="106"/>
      <c r="F513" s="106"/>
      <c r="G513" s="106"/>
      <c r="H513" s="106"/>
    </row>
    <row r="514">
      <c r="A514" s="80"/>
      <c r="B514" s="80"/>
      <c r="C514" s="106"/>
      <c r="D514" s="80"/>
      <c r="E514" s="106"/>
      <c r="F514" s="106"/>
      <c r="G514" s="106"/>
      <c r="H514" s="106"/>
    </row>
    <row r="515">
      <c r="A515" s="80"/>
      <c r="B515" s="80"/>
      <c r="C515" s="106"/>
      <c r="D515" s="80"/>
      <c r="E515" s="106"/>
      <c r="F515" s="106"/>
      <c r="G515" s="106"/>
      <c r="H515" s="106"/>
    </row>
    <row r="516">
      <c r="A516" s="80"/>
      <c r="B516" s="80"/>
      <c r="C516" s="106"/>
      <c r="D516" s="80"/>
      <c r="E516" s="106"/>
      <c r="F516" s="106"/>
      <c r="G516" s="106"/>
      <c r="H516" s="106"/>
    </row>
    <row r="517">
      <c r="A517" s="80"/>
      <c r="B517" s="80"/>
      <c r="C517" s="106"/>
      <c r="D517" s="80"/>
      <c r="E517" s="106"/>
      <c r="F517" s="106"/>
      <c r="G517" s="106"/>
      <c r="H517" s="106"/>
    </row>
    <row r="518">
      <c r="A518" s="80"/>
      <c r="B518" s="80"/>
      <c r="C518" s="106"/>
      <c r="D518" s="80"/>
      <c r="E518" s="106"/>
      <c r="F518" s="106"/>
      <c r="G518" s="106"/>
      <c r="H518" s="106"/>
    </row>
    <row r="519">
      <c r="A519" s="80"/>
      <c r="B519" s="80"/>
      <c r="C519" s="106"/>
      <c r="D519" s="80"/>
      <c r="E519" s="106"/>
      <c r="F519" s="106"/>
      <c r="G519" s="106"/>
      <c r="H519" s="106"/>
    </row>
    <row r="520">
      <c r="A520" s="80"/>
      <c r="B520" s="80"/>
      <c r="C520" s="106"/>
      <c r="D520" s="80"/>
      <c r="E520" s="106"/>
      <c r="F520" s="106"/>
      <c r="G520" s="106"/>
      <c r="H520" s="106"/>
    </row>
    <row r="521">
      <c r="A521" s="80"/>
      <c r="B521" s="80"/>
      <c r="C521" s="106"/>
      <c r="D521" s="80"/>
      <c r="E521" s="106"/>
      <c r="F521" s="106"/>
      <c r="G521" s="106"/>
      <c r="H521" s="106"/>
    </row>
    <row r="522">
      <c r="A522" s="80"/>
      <c r="B522" s="80"/>
      <c r="C522" s="106"/>
      <c r="D522" s="80"/>
      <c r="E522" s="106"/>
      <c r="F522" s="106"/>
      <c r="G522" s="106"/>
      <c r="H522" s="106"/>
    </row>
    <row r="523">
      <c r="A523" s="80"/>
      <c r="B523" s="80"/>
      <c r="C523" s="106"/>
      <c r="D523" s="80"/>
      <c r="E523" s="106"/>
      <c r="F523" s="106"/>
      <c r="G523" s="106"/>
      <c r="H523" s="106"/>
    </row>
    <row r="524">
      <c r="A524" s="80"/>
      <c r="B524" s="80"/>
      <c r="C524" s="106"/>
      <c r="D524" s="80"/>
      <c r="E524" s="106"/>
      <c r="F524" s="106"/>
      <c r="G524" s="106"/>
      <c r="H524" s="106"/>
    </row>
    <row r="525">
      <c r="A525" s="80"/>
      <c r="B525" s="80"/>
      <c r="C525" s="106"/>
      <c r="D525" s="80"/>
      <c r="E525" s="106"/>
      <c r="F525" s="106"/>
      <c r="G525" s="106"/>
      <c r="H525" s="106"/>
    </row>
    <row r="526">
      <c r="A526" s="80"/>
      <c r="B526" s="80"/>
      <c r="C526" s="106"/>
      <c r="D526" s="80"/>
      <c r="E526" s="106"/>
      <c r="F526" s="106"/>
      <c r="G526" s="106"/>
      <c r="H526" s="106"/>
    </row>
    <row r="527">
      <c r="A527" s="80"/>
      <c r="B527" s="80"/>
      <c r="C527" s="106"/>
      <c r="D527" s="80"/>
      <c r="E527" s="106"/>
      <c r="F527" s="106"/>
      <c r="G527" s="106"/>
      <c r="H527" s="106"/>
    </row>
    <row r="528">
      <c r="A528" s="80"/>
      <c r="B528" s="80"/>
      <c r="C528" s="106"/>
      <c r="D528" s="80"/>
      <c r="E528" s="106"/>
      <c r="F528" s="106"/>
      <c r="G528" s="106"/>
      <c r="H528" s="106"/>
    </row>
    <row r="529">
      <c r="A529" s="80"/>
      <c r="B529" s="80"/>
      <c r="C529" s="106"/>
      <c r="D529" s="80"/>
      <c r="E529" s="106"/>
      <c r="F529" s="106"/>
      <c r="G529" s="106"/>
      <c r="H529" s="106"/>
    </row>
    <row r="530">
      <c r="A530" s="80"/>
      <c r="B530" s="80"/>
      <c r="C530" s="106"/>
      <c r="D530" s="80"/>
      <c r="E530" s="106"/>
      <c r="F530" s="106"/>
      <c r="G530" s="106"/>
      <c r="H530" s="106"/>
    </row>
    <row r="531">
      <c r="A531" s="80"/>
      <c r="B531" s="80"/>
      <c r="C531" s="106"/>
      <c r="D531" s="80"/>
      <c r="E531" s="106"/>
      <c r="F531" s="106"/>
      <c r="G531" s="106"/>
      <c r="H531" s="106"/>
    </row>
    <row r="532">
      <c r="A532" s="80"/>
      <c r="B532" s="80"/>
      <c r="C532" s="106"/>
      <c r="D532" s="80"/>
      <c r="E532" s="106"/>
      <c r="F532" s="106"/>
      <c r="G532" s="106"/>
      <c r="H532" s="106"/>
    </row>
    <row r="533">
      <c r="A533" s="80"/>
      <c r="B533" s="80"/>
      <c r="C533" s="106"/>
      <c r="D533" s="80"/>
      <c r="E533" s="106"/>
      <c r="F533" s="106"/>
      <c r="G533" s="106"/>
      <c r="H533" s="106"/>
    </row>
    <row r="534">
      <c r="A534" s="80"/>
      <c r="B534" s="80"/>
      <c r="C534" s="106"/>
      <c r="D534" s="80"/>
      <c r="E534" s="106"/>
      <c r="F534" s="106"/>
      <c r="G534" s="106"/>
      <c r="H534" s="106"/>
    </row>
    <row r="535">
      <c r="A535" s="80"/>
      <c r="B535" s="80"/>
      <c r="C535" s="106"/>
      <c r="D535" s="80"/>
      <c r="E535" s="106"/>
      <c r="F535" s="106"/>
      <c r="G535" s="106"/>
      <c r="H535" s="106"/>
    </row>
    <row r="536">
      <c r="A536" s="80"/>
      <c r="B536" s="80"/>
      <c r="C536" s="106"/>
      <c r="D536" s="80"/>
      <c r="E536" s="106"/>
      <c r="F536" s="106"/>
      <c r="G536" s="106"/>
      <c r="H536" s="106"/>
    </row>
    <row r="537">
      <c r="A537" s="80"/>
      <c r="B537" s="80"/>
      <c r="C537" s="106"/>
      <c r="D537" s="80"/>
      <c r="E537" s="106"/>
      <c r="F537" s="106"/>
      <c r="G537" s="106"/>
      <c r="H537" s="106"/>
    </row>
    <row r="538">
      <c r="A538" s="80"/>
      <c r="B538" s="80"/>
      <c r="C538" s="106"/>
      <c r="D538" s="80"/>
      <c r="E538" s="106"/>
      <c r="F538" s="106"/>
      <c r="G538" s="106"/>
      <c r="H538" s="106"/>
    </row>
    <row r="539">
      <c r="A539" s="80"/>
      <c r="B539" s="80"/>
      <c r="C539" s="106"/>
      <c r="D539" s="80"/>
      <c r="E539" s="106"/>
      <c r="F539" s="106"/>
      <c r="G539" s="106"/>
      <c r="H539" s="106"/>
    </row>
    <row r="540">
      <c r="A540" s="80"/>
      <c r="B540" s="80"/>
      <c r="C540" s="106"/>
      <c r="D540" s="80"/>
      <c r="E540" s="106"/>
      <c r="F540" s="106"/>
      <c r="G540" s="106"/>
      <c r="H540" s="106"/>
    </row>
    <row r="541">
      <c r="A541" s="80"/>
      <c r="B541" s="80"/>
      <c r="C541" s="106"/>
      <c r="D541" s="80"/>
      <c r="E541" s="106"/>
      <c r="F541" s="106"/>
      <c r="G541" s="106"/>
      <c r="H541" s="106"/>
    </row>
    <row r="542">
      <c r="A542" s="80"/>
      <c r="B542" s="80"/>
      <c r="C542" s="106"/>
      <c r="D542" s="80"/>
      <c r="E542" s="106"/>
      <c r="F542" s="106"/>
      <c r="G542" s="106"/>
      <c r="H542" s="106"/>
    </row>
    <row r="543">
      <c r="A543" s="80"/>
      <c r="B543" s="80"/>
      <c r="C543" s="106"/>
      <c r="D543" s="80"/>
      <c r="E543" s="106"/>
      <c r="F543" s="106"/>
      <c r="G543" s="106"/>
      <c r="H543" s="106"/>
    </row>
    <row r="544">
      <c r="A544" s="80"/>
      <c r="B544" s="80"/>
      <c r="C544" s="106"/>
      <c r="D544" s="80"/>
      <c r="E544" s="106"/>
      <c r="F544" s="106"/>
      <c r="G544" s="106"/>
      <c r="H544" s="106"/>
    </row>
    <row r="545">
      <c r="A545" s="80"/>
      <c r="B545" s="80"/>
      <c r="C545" s="106"/>
      <c r="D545" s="80"/>
      <c r="E545" s="106"/>
      <c r="F545" s="106"/>
      <c r="G545" s="106"/>
      <c r="H545" s="106"/>
    </row>
    <row r="546">
      <c r="A546" s="80"/>
      <c r="B546" s="80"/>
      <c r="C546" s="106"/>
      <c r="D546" s="80"/>
      <c r="E546" s="106"/>
      <c r="F546" s="106"/>
      <c r="G546" s="106"/>
      <c r="H546" s="106"/>
    </row>
    <row r="547">
      <c r="A547" s="80"/>
      <c r="B547" s="80"/>
      <c r="C547" s="106"/>
      <c r="D547" s="80"/>
      <c r="E547" s="106"/>
      <c r="F547" s="106"/>
      <c r="G547" s="106"/>
      <c r="H547" s="106"/>
    </row>
    <row r="548">
      <c r="A548" s="80"/>
      <c r="B548" s="80"/>
      <c r="C548" s="106"/>
      <c r="D548" s="80"/>
      <c r="E548" s="106"/>
      <c r="F548" s="106"/>
      <c r="G548" s="106"/>
      <c r="H548" s="106"/>
    </row>
    <row r="549">
      <c r="A549" s="80"/>
      <c r="B549" s="80"/>
      <c r="C549" s="106"/>
      <c r="D549" s="80"/>
      <c r="E549" s="106"/>
      <c r="F549" s="106"/>
      <c r="G549" s="106"/>
      <c r="H549" s="106"/>
    </row>
    <row r="550">
      <c r="A550" s="80"/>
      <c r="B550" s="80"/>
      <c r="C550" s="106"/>
      <c r="D550" s="80"/>
      <c r="E550" s="106"/>
      <c r="F550" s="106"/>
      <c r="G550" s="106"/>
      <c r="H550" s="106"/>
    </row>
    <row r="551">
      <c r="A551" s="80"/>
      <c r="B551" s="80"/>
      <c r="C551" s="106"/>
      <c r="D551" s="80"/>
      <c r="E551" s="106"/>
      <c r="F551" s="106"/>
      <c r="G551" s="106"/>
      <c r="H551" s="106"/>
    </row>
    <row r="552">
      <c r="A552" s="80"/>
      <c r="B552" s="80"/>
      <c r="C552" s="106"/>
      <c r="D552" s="80"/>
      <c r="E552" s="106"/>
      <c r="F552" s="106"/>
      <c r="G552" s="106"/>
      <c r="H552" s="106"/>
    </row>
    <row r="553">
      <c r="A553" s="80"/>
      <c r="B553" s="80"/>
      <c r="C553" s="106"/>
      <c r="D553" s="80"/>
      <c r="E553" s="106"/>
      <c r="F553" s="106"/>
      <c r="G553" s="106"/>
      <c r="H553" s="106"/>
    </row>
    <row r="554">
      <c r="A554" s="80"/>
      <c r="B554" s="80"/>
      <c r="C554" s="106"/>
      <c r="D554" s="80"/>
      <c r="E554" s="106"/>
      <c r="F554" s="106"/>
      <c r="G554" s="106"/>
      <c r="H554" s="106"/>
    </row>
    <row r="555">
      <c r="A555" s="80"/>
      <c r="B555" s="80"/>
      <c r="C555" s="106"/>
      <c r="D555" s="80"/>
      <c r="E555" s="106"/>
      <c r="F555" s="106"/>
      <c r="G555" s="106"/>
      <c r="H555" s="106"/>
    </row>
    <row r="556">
      <c r="A556" s="80"/>
      <c r="B556" s="80"/>
      <c r="C556" s="106"/>
      <c r="D556" s="80"/>
      <c r="E556" s="106"/>
      <c r="F556" s="106"/>
      <c r="G556" s="106"/>
      <c r="H556" s="106"/>
    </row>
    <row r="557">
      <c r="A557" s="80"/>
      <c r="B557" s="80"/>
      <c r="C557" s="106"/>
      <c r="D557" s="80"/>
      <c r="E557" s="106"/>
      <c r="F557" s="106"/>
      <c r="G557" s="106"/>
      <c r="H557" s="106"/>
    </row>
    <row r="558">
      <c r="A558" s="80"/>
      <c r="B558" s="80"/>
      <c r="C558" s="106"/>
      <c r="D558" s="80"/>
      <c r="E558" s="106"/>
      <c r="F558" s="106"/>
      <c r="G558" s="106"/>
      <c r="H558" s="106"/>
    </row>
    <row r="559">
      <c r="A559" s="80"/>
      <c r="B559" s="80"/>
      <c r="C559" s="106"/>
      <c r="D559" s="80"/>
      <c r="E559" s="106"/>
      <c r="F559" s="106"/>
      <c r="G559" s="106"/>
      <c r="H559" s="106"/>
    </row>
    <row r="560">
      <c r="A560" s="80"/>
      <c r="B560" s="80"/>
      <c r="C560" s="106"/>
      <c r="D560" s="80"/>
      <c r="E560" s="106"/>
      <c r="F560" s="106"/>
      <c r="G560" s="106"/>
      <c r="H560" s="106"/>
    </row>
    <row r="561">
      <c r="A561" s="80"/>
      <c r="B561" s="80"/>
      <c r="C561" s="106"/>
      <c r="D561" s="80"/>
      <c r="E561" s="106"/>
      <c r="F561" s="106"/>
      <c r="G561" s="106"/>
      <c r="H561" s="106"/>
    </row>
    <row r="562">
      <c r="A562" s="80"/>
      <c r="B562" s="80"/>
      <c r="C562" s="106"/>
      <c r="D562" s="80"/>
      <c r="E562" s="106"/>
      <c r="F562" s="106"/>
      <c r="G562" s="106"/>
      <c r="H562" s="106"/>
    </row>
    <row r="563">
      <c r="A563" s="80"/>
      <c r="B563" s="80"/>
      <c r="C563" s="106"/>
      <c r="D563" s="80"/>
      <c r="E563" s="106"/>
      <c r="F563" s="106"/>
      <c r="G563" s="106"/>
      <c r="H563" s="106"/>
    </row>
    <row r="564">
      <c r="A564" s="80"/>
      <c r="B564" s="80"/>
      <c r="C564" s="106"/>
      <c r="D564" s="80"/>
      <c r="E564" s="106"/>
      <c r="F564" s="106"/>
      <c r="G564" s="106"/>
      <c r="H564" s="106"/>
    </row>
    <row r="565">
      <c r="A565" s="80"/>
      <c r="B565" s="80"/>
      <c r="C565" s="106"/>
      <c r="D565" s="80"/>
      <c r="E565" s="106"/>
      <c r="F565" s="106"/>
      <c r="G565" s="106"/>
      <c r="H565" s="106"/>
    </row>
    <row r="566">
      <c r="A566" s="80"/>
      <c r="B566" s="80"/>
      <c r="C566" s="106"/>
      <c r="D566" s="80"/>
      <c r="E566" s="106"/>
      <c r="F566" s="106"/>
      <c r="G566" s="106"/>
      <c r="H566" s="106"/>
    </row>
    <row r="567">
      <c r="A567" s="80"/>
      <c r="B567" s="80"/>
      <c r="C567" s="106"/>
      <c r="D567" s="80"/>
      <c r="E567" s="106"/>
      <c r="F567" s="106"/>
      <c r="G567" s="106"/>
      <c r="H567" s="106"/>
    </row>
    <row r="568">
      <c r="A568" s="80"/>
      <c r="B568" s="80"/>
      <c r="C568" s="106"/>
      <c r="D568" s="80"/>
      <c r="E568" s="106"/>
      <c r="F568" s="106"/>
      <c r="G568" s="106"/>
      <c r="H568" s="106"/>
    </row>
    <row r="569">
      <c r="A569" s="80"/>
      <c r="B569" s="80"/>
      <c r="C569" s="106"/>
      <c r="D569" s="80"/>
      <c r="E569" s="106"/>
      <c r="F569" s="106"/>
      <c r="G569" s="106"/>
      <c r="H569" s="106"/>
    </row>
    <row r="570">
      <c r="A570" s="80"/>
      <c r="B570" s="80"/>
      <c r="C570" s="106"/>
      <c r="D570" s="80"/>
      <c r="E570" s="106"/>
      <c r="F570" s="106"/>
      <c r="G570" s="106"/>
      <c r="H570" s="106"/>
    </row>
    <row r="571">
      <c r="A571" s="80"/>
      <c r="B571" s="80"/>
      <c r="C571" s="106"/>
      <c r="D571" s="80"/>
      <c r="E571" s="106"/>
      <c r="F571" s="106"/>
      <c r="G571" s="106"/>
      <c r="H571" s="106"/>
    </row>
    <row r="572">
      <c r="A572" s="80"/>
      <c r="B572" s="80"/>
      <c r="C572" s="106"/>
      <c r="D572" s="80"/>
      <c r="E572" s="106"/>
      <c r="F572" s="106"/>
      <c r="G572" s="106"/>
      <c r="H572" s="106"/>
    </row>
    <row r="573">
      <c r="A573" s="80"/>
      <c r="B573" s="80"/>
      <c r="C573" s="106"/>
      <c r="D573" s="80"/>
      <c r="E573" s="106"/>
      <c r="F573" s="106"/>
      <c r="G573" s="106"/>
      <c r="H573" s="106"/>
    </row>
    <row r="574">
      <c r="A574" s="80"/>
      <c r="B574" s="80"/>
      <c r="C574" s="106"/>
      <c r="D574" s="80"/>
      <c r="E574" s="106"/>
      <c r="F574" s="106"/>
      <c r="G574" s="106"/>
      <c r="H574" s="106"/>
    </row>
    <row r="575">
      <c r="A575" s="80"/>
      <c r="B575" s="80"/>
      <c r="C575" s="106"/>
      <c r="D575" s="80"/>
      <c r="E575" s="106"/>
      <c r="F575" s="106"/>
      <c r="G575" s="106"/>
      <c r="H575" s="106"/>
    </row>
    <row r="576">
      <c r="A576" s="80"/>
      <c r="B576" s="80"/>
      <c r="C576" s="106"/>
      <c r="D576" s="80"/>
      <c r="E576" s="106"/>
      <c r="F576" s="106"/>
      <c r="G576" s="106"/>
      <c r="H576" s="106"/>
    </row>
    <row r="577">
      <c r="A577" s="80"/>
      <c r="B577" s="80"/>
      <c r="C577" s="106"/>
      <c r="D577" s="80"/>
      <c r="E577" s="106"/>
      <c r="F577" s="106"/>
      <c r="G577" s="106"/>
      <c r="H577" s="106"/>
    </row>
    <row r="578">
      <c r="A578" s="80"/>
      <c r="B578" s="80"/>
      <c r="C578" s="106"/>
      <c r="D578" s="80"/>
      <c r="E578" s="106"/>
      <c r="F578" s="106"/>
      <c r="G578" s="106"/>
      <c r="H578" s="106"/>
    </row>
    <row r="579">
      <c r="A579" s="80"/>
      <c r="B579" s="80"/>
      <c r="C579" s="106"/>
      <c r="D579" s="80"/>
      <c r="E579" s="106"/>
      <c r="F579" s="106"/>
      <c r="G579" s="106"/>
      <c r="H579" s="106"/>
    </row>
    <row r="580">
      <c r="A580" s="80"/>
      <c r="B580" s="80"/>
      <c r="C580" s="106"/>
      <c r="D580" s="80"/>
      <c r="E580" s="106"/>
      <c r="F580" s="106"/>
      <c r="G580" s="106"/>
      <c r="H580" s="106"/>
    </row>
    <row r="581">
      <c r="A581" s="80"/>
      <c r="B581" s="80"/>
      <c r="C581" s="106"/>
      <c r="D581" s="80"/>
      <c r="E581" s="106"/>
      <c r="F581" s="106"/>
      <c r="G581" s="106"/>
      <c r="H581" s="106"/>
    </row>
    <row r="582">
      <c r="A582" s="80"/>
      <c r="B582" s="80"/>
      <c r="C582" s="106"/>
      <c r="D582" s="80"/>
      <c r="E582" s="106"/>
      <c r="F582" s="106"/>
      <c r="G582" s="106"/>
      <c r="H582" s="106"/>
    </row>
    <row r="583">
      <c r="A583" s="80"/>
      <c r="B583" s="80"/>
      <c r="C583" s="106"/>
      <c r="D583" s="80"/>
      <c r="E583" s="106"/>
      <c r="F583" s="106"/>
      <c r="G583" s="106"/>
      <c r="H583" s="106"/>
    </row>
    <row r="584">
      <c r="A584" s="80"/>
      <c r="B584" s="80"/>
      <c r="C584" s="106"/>
      <c r="D584" s="80"/>
      <c r="E584" s="106"/>
      <c r="F584" s="106"/>
      <c r="G584" s="106"/>
      <c r="H584" s="106"/>
    </row>
    <row r="585">
      <c r="A585" s="80"/>
      <c r="B585" s="80"/>
      <c r="C585" s="106"/>
      <c r="D585" s="80"/>
      <c r="E585" s="106"/>
      <c r="F585" s="106"/>
      <c r="G585" s="106"/>
      <c r="H585" s="106"/>
    </row>
    <row r="586">
      <c r="A586" s="80"/>
      <c r="B586" s="80"/>
      <c r="C586" s="106"/>
      <c r="D586" s="80"/>
      <c r="E586" s="106"/>
      <c r="F586" s="106"/>
      <c r="G586" s="106"/>
      <c r="H586" s="106"/>
    </row>
    <row r="587">
      <c r="A587" s="80"/>
      <c r="B587" s="80"/>
      <c r="C587" s="106"/>
      <c r="D587" s="80"/>
      <c r="E587" s="106"/>
      <c r="F587" s="106"/>
      <c r="G587" s="106"/>
      <c r="H587" s="106"/>
    </row>
    <row r="588">
      <c r="A588" s="80"/>
      <c r="B588" s="80"/>
      <c r="C588" s="106"/>
      <c r="D588" s="80"/>
      <c r="E588" s="106"/>
      <c r="F588" s="106"/>
      <c r="G588" s="106"/>
      <c r="H588" s="106"/>
    </row>
    <row r="589">
      <c r="A589" s="80"/>
      <c r="B589" s="80"/>
      <c r="C589" s="106"/>
      <c r="D589" s="80"/>
      <c r="E589" s="106"/>
      <c r="F589" s="106"/>
      <c r="G589" s="106"/>
      <c r="H589" s="106"/>
    </row>
    <row r="590">
      <c r="A590" s="80"/>
      <c r="B590" s="80"/>
      <c r="C590" s="106"/>
      <c r="D590" s="80"/>
      <c r="E590" s="106"/>
      <c r="F590" s="106"/>
      <c r="G590" s="106"/>
      <c r="H590" s="106"/>
    </row>
    <row r="591">
      <c r="A591" s="80"/>
      <c r="B591" s="80"/>
      <c r="C591" s="106"/>
      <c r="D591" s="80"/>
      <c r="E591" s="106"/>
      <c r="F591" s="106"/>
      <c r="G591" s="106"/>
      <c r="H591" s="106"/>
    </row>
    <row r="592">
      <c r="A592" s="80"/>
      <c r="B592" s="80"/>
      <c r="C592" s="106"/>
      <c r="D592" s="80"/>
      <c r="E592" s="106"/>
      <c r="F592" s="106"/>
      <c r="G592" s="106"/>
      <c r="H592" s="106"/>
    </row>
    <row r="593">
      <c r="A593" s="80"/>
      <c r="B593" s="80"/>
      <c r="C593" s="106"/>
      <c r="D593" s="80"/>
      <c r="E593" s="106"/>
      <c r="F593" s="106"/>
      <c r="G593" s="106"/>
      <c r="H593" s="106"/>
    </row>
    <row r="594">
      <c r="A594" s="80"/>
      <c r="B594" s="80"/>
      <c r="C594" s="106"/>
      <c r="D594" s="80"/>
      <c r="E594" s="106"/>
      <c r="F594" s="106"/>
      <c r="G594" s="106"/>
      <c r="H594" s="106"/>
    </row>
    <row r="595">
      <c r="A595" s="80"/>
      <c r="B595" s="80"/>
      <c r="C595" s="106"/>
      <c r="D595" s="80"/>
      <c r="E595" s="106"/>
      <c r="F595" s="106"/>
      <c r="G595" s="106"/>
      <c r="H595" s="106"/>
    </row>
    <row r="596">
      <c r="A596" s="80"/>
      <c r="B596" s="80"/>
      <c r="C596" s="106"/>
      <c r="D596" s="80"/>
      <c r="E596" s="106"/>
      <c r="F596" s="106"/>
      <c r="G596" s="106"/>
      <c r="H596" s="106"/>
    </row>
    <row r="597">
      <c r="A597" s="80"/>
      <c r="B597" s="80"/>
      <c r="C597" s="106"/>
      <c r="D597" s="80"/>
      <c r="E597" s="106"/>
      <c r="F597" s="106"/>
      <c r="G597" s="106"/>
      <c r="H597" s="106"/>
    </row>
    <row r="598">
      <c r="A598" s="80"/>
      <c r="B598" s="80"/>
      <c r="C598" s="106"/>
      <c r="D598" s="80"/>
      <c r="E598" s="106"/>
      <c r="F598" s="106"/>
      <c r="G598" s="106"/>
      <c r="H598" s="106"/>
    </row>
    <row r="599">
      <c r="A599" s="80"/>
      <c r="B599" s="80"/>
      <c r="C599" s="106"/>
      <c r="D599" s="80"/>
      <c r="E599" s="106"/>
      <c r="F599" s="106"/>
      <c r="G599" s="106"/>
      <c r="H599" s="106"/>
    </row>
    <row r="600">
      <c r="A600" s="80"/>
      <c r="B600" s="80"/>
      <c r="C600" s="106"/>
      <c r="D600" s="80"/>
      <c r="E600" s="106"/>
      <c r="F600" s="106"/>
      <c r="G600" s="106"/>
      <c r="H600" s="106"/>
    </row>
    <row r="601">
      <c r="A601" s="80"/>
      <c r="B601" s="80"/>
      <c r="C601" s="106"/>
      <c r="D601" s="80"/>
      <c r="E601" s="106"/>
      <c r="F601" s="106"/>
      <c r="G601" s="106"/>
      <c r="H601" s="106"/>
    </row>
    <row r="602">
      <c r="A602" s="80"/>
      <c r="B602" s="80"/>
      <c r="C602" s="106"/>
      <c r="D602" s="80"/>
      <c r="E602" s="106"/>
      <c r="F602" s="106"/>
      <c r="G602" s="106"/>
      <c r="H602" s="106"/>
    </row>
    <row r="603">
      <c r="A603" s="80"/>
      <c r="B603" s="80"/>
      <c r="C603" s="106"/>
      <c r="D603" s="80"/>
      <c r="E603" s="106"/>
      <c r="F603" s="106"/>
      <c r="G603" s="106"/>
      <c r="H603" s="106"/>
    </row>
    <row r="604">
      <c r="A604" s="80"/>
      <c r="B604" s="80"/>
      <c r="C604" s="106"/>
      <c r="D604" s="80"/>
      <c r="E604" s="106"/>
      <c r="F604" s="106"/>
      <c r="G604" s="106"/>
      <c r="H604" s="106"/>
    </row>
    <row r="605">
      <c r="A605" s="80"/>
      <c r="B605" s="80"/>
      <c r="C605" s="106"/>
      <c r="D605" s="80"/>
      <c r="E605" s="106"/>
      <c r="F605" s="106"/>
      <c r="G605" s="106"/>
      <c r="H605" s="106"/>
    </row>
    <row r="606">
      <c r="A606" s="80"/>
      <c r="B606" s="80"/>
      <c r="C606" s="106"/>
      <c r="D606" s="80"/>
      <c r="E606" s="106"/>
      <c r="F606" s="106"/>
      <c r="G606" s="106"/>
      <c r="H606" s="106"/>
    </row>
    <row r="607">
      <c r="A607" s="80"/>
      <c r="B607" s="80"/>
      <c r="C607" s="106"/>
      <c r="D607" s="80"/>
      <c r="E607" s="106"/>
      <c r="F607" s="106"/>
      <c r="G607" s="106"/>
      <c r="H607" s="106"/>
    </row>
    <row r="608">
      <c r="A608" s="80"/>
      <c r="B608" s="80"/>
      <c r="C608" s="106"/>
      <c r="D608" s="80"/>
      <c r="E608" s="106"/>
      <c r="F608" s="106"/>
      <c r="G608" s="106"/>
      <c r="H608" s="106"/>
    </row>
    <row r="609">
      <c r="A609" s="80"/>
      <c r="B609" s="80"/>
      <c r="C609" s="106"/>
      <c r="D609" s="80"/>
      <c r="E609" s="106"/>
      <c r="F609" s="106"/>
      <c r="G609" s="106"/>
      <c r="H609" s="106"/>
    </row>
    <row r="610">
      <c r="A610" s="80"/>
      <c r="B610" s="80"/>
      <c r="C610" s="106"/>
      <c r="D610" s="80"/>
      <c r="E610" s="106"/>
      <c r="F610" s="106"/>
      <c r="G610" s="106"/>
      <c r="H610" s="106"/>
    </row>
    <row r="611">
      <c r="A611" s="80"/>
      <c r="B611" s="80"/>
      <c r="C611" s="106"/>
      <c r="D611" s="80"/>
      <c r="E611" s="106"/>
      <c r="F611" s="106"/>
      <c r="G611" s="106"/>
      <c r="H611" s="106"/>
    </row>
    <row r="612">
      <c r="A612" s="80"/>
      <c r="B612" s="80"/>
      <c r="C612" s="106"/>
      <c r="D612" s="80"/>
      <c r="E612" s="106"/>
      <c r="F612" s="106"/>
      <c r="G612" s="106"/>
      <c r="H612" s="106"/>
    </row>
    <row r="613">
      <c r="A613" s="80"/>
      <c r="B613" s="80"/>
      <c r="C613" s="106"/>
      <c r="D613" s="80"/>
      <c r="E613" s="106"/>
      <c r="F613" s="106"/>
      <c r="G613" s="106"/>
      <c r="H613" s="106"/>
    </row>
    <row r="614">
      <c r="A614" s="80"/>
      <c r="B614" s="80"/>
      <c r="C614" s="106"/>
      <c r="D614" s="80"/>
      <c r="E614" s="106"/>
      <c r="F614" s="106"/>
      <c r="G614" s="106"/>
      <c r="H614" s="106"/>
    </row>
    <row r="615">
      <c r="A615" s="80"/>
      <c r="B615" s="80"/>
      <c r="C615" s="106"/>
      <c r="D615" s="80"/>
      <c r="E615" s="106"/>
      <c r="F615" s="106"/>
      <c r="G615" s="106"/>
      <c r="H615" s="106"/>
    </row>
    <row r="616">
      <c r="A616" s="80"/>
      <c r="B616" s="80"/>
      <c r="C616" s="106"/>
      <c r="D616" s="80"/>
      <c r="E616" s="106"/>
      <c r="F616" s="106"/>
      <c r="G616" s="106"/>
      <c r="H616" s="106"/>
    </row>
    <row r="617">
      <c r="A617" s="80"/>
      <c r="B617" s="80"/>
      <c r="C617" s="106"/>
      <c r="D617" s="80"/>
      <c r="E617" s="106"/>
      <c r="F617" s="106"/>
      <c r="G617" s="106"/>
      <c r="H617" s="106"/>
    </row>
    <row r="618">
      <c r="A618" s="80"/>
      <c r="B618" s="80"/>
      <c r="C618" s="106"/>
      <c r="D618" s="80"/>
      <c r="E618" s="106"/>
      <c r="F618" s="106"/>
      <c r="G618" s="106"/>
      <c r="H618" s="106"/>
    </row>
    <row r="619">
      <c r="A619" s="80"/>
      <c r="B619" s="80"/>
      <c r="C619" s="106"/>
      <c r="D619" s="80"/>
      <c r="E619" s="106"/>
      <c r="F619" s="106"/>
      <c r="G619" s="106"/>
      <c r="H619" s="106"/>
    </row>
    <row r="620">
      <c r="A620" s="80"/>
      <c r="B620" s="80"/>
      <c r="C620" s="106"/>
      <c r="D620" s="80"/>
      <c r="E620" s="106"/>
      <c r="F620" s="106"/>
      <c r="G620" s="106"/>
      <c r="H620" s="106"/>
    </row>
    <row r="621">
      <c r="A621" s="80"/>
      <c r="B621" s="80"/>
      <c r="C621" s="106"/>
      <c r="D621" s="80"/>
      <c r="E621" s="106"/>
      <c r="F621" s="106"/>
      <c r="G621" s="106"/>
      <c r="H621" s="106"/>
    </row>
    <row r="622">
      <c r="A622" s="80"/>
      <c r="B622" s="80"/>
      <c r="C622" s="106"/>
      <c r="D622" s="80"/>
      <c r="E622" s="106"/>
      <c r="F622" s="106"/>
      <c r="G622" s="106"/>
      <c r="H622" s="106"/>
    </row>
    <row r="623">
      <c r="A623" s="80"/>
      <c r="B623" s="80"/>
      <c r="C623" s="106"/>
      <c r="D623" s="80"/>
      <c r="E623" s="106"/>
      <c r="F623" s="106"/>
      <c r="G623" s="106"/>
      <c r="H623" s="106"/>
    </row>
    <row r="624">
      <c r="A624" s="80"/>
      <c r="B624" s="80"/>
      <c r="C624" s="106"/>
      <c r="D624" s="80"/>
      <c r="E624" s="106"/>
      <c r="F624" s="106"/>
      <c r="G624" s="106"/>
      <c r="H624" s="106"/>
    </row>
    <row r="625">
      <c r="A625" s="80"/>
      <c r="B625" s="80"/>
      <c r="C625" s="106"/>
      <c r="D625" s="80"/>
      <c r="E625" s="106"/>
      <c r="F625" s="106"/>
      <c r="G625" s="106"/>
      <c r="H625" s="106"/>
    </row>
    <row r="626">
      <c r="A626" s="80"/>
      <c r="B626" s="80"/>
      <c r="C626" s="106"/>
      <c r="D626" s="80"/>
      <c r="E626" s="106"/>
      <c r="F626" s="106"/>
      <c r="G626" s="106"/>
      <c r="H626" s="106"/>
    </row>
    <row r="627">
      <c r="A627" s="80"/>
      <c r="B627" s="80"/>
      <c r="C627" s="106"/>
      <c r="D627" s="80"/>
      <c r="E627" s="106"/>
      <c r="F627" s="106"/>
      <c r="G627" s="106"/>
      <c r="H627" s="106"/>
    </row>
    <row r="628">
      <c r="A628" s="80"/>
      <c r="B628" s="80"/>
      <c r="C628" s="106"/>
      <c r="D628" s="80"/>
      <c r="E628" s="106"/>
      <c r="F628" s="106"/>
      <c r="G628" s="106"/>
      <c r="H628" s="106"/>
    </row>
    <row r="629">
      <c r="A629" s="80"/>
      <c r="B629" s="80"/>
      <c r="C629" s="106"/>
      <c r="D629" s="80"/>
      <c r="E629" s="106"/>
      <c r="F629" s="106"/>
      <c r="G629" s="106"/>
      <c r="H629" s="106"/>
    </row>
    <row r="630">
      <c r="A630" s="80"/>
      <c r="B630" s="80"/>
      <c r="C630" s="106"/>
      <c r="D630" s="80"/>
      <c r="E630" s="106"/>
      <c r="F630" s="106"/>
      <c r="G630" s="106"/>
      <c r="H630" s="106"/>
    </row>
    <row r="631">
      <c r="A631" s="80"/>
      <c r="B631" s="80"/>
      <c r="C631" s="106"/>
      <c r="D631" s="80"/>
      <c r="E631" s="106"/>
      <c r="F631" s="106"/>
      <c r="G631" s="106"/>
      <c r="H631" s="106"/>
    </row>
    <row r="632">
      <c r="A632" s="80"/>
      <c r="B632" s="80"/>
      <c r="C632" s="106"/>
      <c r="D632" s="80"/>
      <c r="E632" s="106"/>
      <c r="F632" s="106"/>
      <c r="G632" s="106"/>
      <c r="H632" s="106"/>
    </row>
    <row r="633">
      <c r="A633" s="80"/>
      <c r="B633" s="80"/>
      <c r="C633" s="106"/>
      <c r="D633" s="80"/>
      <c r="E633" s="106"/>
      <c r="F633" s="106"/>
      <c r="G633" s="106"/>
      <c r="H633" s="106"/>
    </row>
    <row r="634">
      <c r="A634" s="80"/>
      <c r="B634" s="80"/>
      <c r="C634" s="106"/>
      <c r="D634" s="80"/>
      <c r="E634" s="106"/>
      <c r="F634" s="106"/>
      <c r="G634" s="106"/>
      <c r="H634" s="106"/>
    </row>
    <row r="635">
      <c r="A635" s="80"/>
      <c r="B635" s="80"/>
      <c r="C635" s="106"/>
      <c r="D635" s="80"/>
      <c r="E635" s="106"/>
      <c r="F635" s="106"/>
      <c r="G635" s="106"/>
      <c r="H635" s="106"/>
    </row>
    <row r="636">
      <c r="A636" s="80"/>
      <c r="B636" s="80"/>
      <c r="C636" s="106"/>
      <c r="D636" s="80"/>
      <c r="E636" s="106"/>
      <c r="F636" s="106"/>
      <c r="G636" s="106"/>
      <c r="H636" s="106"/>
    </row>
    <row r="637">
      <c r="A637" s="80"/>
      <c r="B637" s="80"/>
      <c r="C637" s="106"/>
      <c r="D637" s="80"/>
      <c r="E637" s="106"/>
      <c r="F637" s="106"/>
      <c r="G637" s="106"/>
      <c r="H637" s="106"/>
    </row>
    <row r="638">
      <c r="A638" s="80"/>
      <c r="B638" s="80"/>
      <c r="C638" s="106"/>
      <c r="D638" s="80"/>
      <c r="E638" s="106"/>
      <c r="F638" s="106"/>
      <c r="G638" s="106"/>
      <c r="H638" s="106"/>
    </row>
    <row r="639">
      <c r="A639" s="80"/>
      <c r="B639" s="80"/>
      <c r="C639" s="106"/>
      <c r="D639" s="80"/>
      <c r="E639" s="106"/>
      <c r="F639" s="106"/>
      <c r="G639" s="106"/>
      <c r="H639" s="106"/>
    </row>
    <row r="640">
      <c r="A640" s="80"/>
      <c r="B640" s="80"/>
      <c r="C640" s="106"/>
      <c r="D640" s="80"/>
      <c r="E640" s="106"/>
      <c r="F640" s="106"/>
      <c r="G640" s="106"/>
      <c r="H640" s="106"/>
    </row>
    <row r="641">
      <c r="A641" s="80"/>
      <c r="B641" s="80"/>
      <c r="C641" s="106"/>
      <c r="D641" s="80"/>
      <c r="E641" s="106"/>
      <c r="F641" s="106"/>
      <c r="G641" s="106"/>
      <c r="H641" s="106"/>
    </row>
    <row r="642">
      <c r="A642" s="80"/>
      <c r="B642" s="80"/>
      <c r="C642" s="106"/>
      <c r="D642" s="80"/>
      <c r="E642" s="106"/>
      <c r="F642" s="106"/>
      <c r="G642" s="106"/>
      <c r="H642" s="106"/>
    </row>
    <row r="643">
      <c r="A643" s="80"/>
      <c r="B643" s="80"/>
      <c r="C643" s="106"/>
      <c r="D643" s="80"/>
      <c r="E643" s="106"/>
      <c r="F643" s="106"/>
      <c r="G643" s="106"/>
      <c r="H643" s="106"/>
    </row>
    <row r="644">
      <c r="A644" s="80"/>
      <c r="B644" s="80"/>
      <c r="C644" s="106"/>
      <c r="D644" s="80"/>
      <c r="E644" s="106"/>
      <c r="F644" s="106"/>
      <c r="G644" s="106"/>
      <c r="H644" s="106"/>
    </row>
    <row r="645">
      <c r="A645" s="80"/>
      <c r="B645" s="80"/>
      <c r="C645" s="106"/>
      <c r="D645" s="80"/>
      <c r="E645" s="106"/>
      <c r="F645" s="106"/>
      <c r="G645" s="106"/>
      <c r="H645" s="106"/>
    </row>
    <row r="646">
      <c r="A646" s="80"/>
      <c r="B646" s="80"/>
      <c r="C646" s="106"/>
      <c r="D646" s="80"/>
      <c r="E646" s="106"/>
      <c r="F646" s="106"/>
      <c r="G646" s="106"/>
      <c r="H646" s="106"/>
    </row>
    <row r="647">
      <c r="A647" s="80"/>
      <c r="B647" s="80"/>
      <c r="C647" s="106"/>
      <c r="D647" s="80"/>
      <c r="E647" s="106"/>
      <c r="F647" s="106"/>
      <c r="G647" s="106"/>
      <c r="H647" s="106"/>
    </row>
    <row r="648">
      <c r="A648" s="80"/>
      <c r="B648" s="80"/>
      <c r="C648" s="106"/>
      <c r="D648" s="80"/>
      <c r="E648" s="106"/>
      <c r="F648" s="106"/>
      <c r="G648" s="106"/>
      <c r="H648" s="106"/>
    </row>
    <row r="649">
      <c r="A649" s="80"/>
      <c r="B649" s="80"/>
      <c r="C649" s="106"/>
      <c r="D649" s="80"/>
      <c r="E649" s="106"/>
      <c r="F649" s="106"/>
      <c r="G649" s="106"/>
      <c r="H649" s="106"/>
    </row>
    <row r="650">
      <c r="A650" s="80"/>
      <c r="B650" s="80"/>
      <c r="C650" s="106"/>
      <c r="D650" s="80"/>
      <c r="E650" s="106"/>
      <c r="F650" s="106"/>
      <c r="G650" s="106"/>
      <c r="H650" s="106"/>
    </row>
    <row r="651">
      <c r="A651" s="80"/>
      <c r="B651" s="80"/>
      <c r="C651" s="106"/>
      <c r="D651" s="80"/>
      <c r="E651" s="106"/>
      <c r="F651" s="106"/>
      <c r="G651" s="106"/>
      <c r="H651" s="106"/>
    </row>
    <row r="652">
      <c r="A652" s="80"/>
      <c r="B652" s="80"/>
      <c r="C652" s="106"/>
      <c r="D652" s="80"/>
      <c r="E652" s="106"/>
      <c r="F652" s="106"/>
      <c r="G652" s="106"/>
      <c r="H652" s="106"/>
    </row>
    <row r="653">
      <c r="A653" s="80"/>
      <c r="B653" s="80"/>
      <c r="C653" s="106"/>
      <c r="D653" s="80"/>
      <c r="E653" s="106"/>
      <c r="F653" s="106"/>
      <c r="G653" s="106"/>
      <c r="H653" s="106"/>
    </row>
    <row r="654">
      <c r="A654" s="80"/>
      <c r="B654" s="80"/>
      <c r="C654" s="106"/>
      <c r="D654" s="80"/>
      <c r="E654" s="106"/>
      <c r="F654" s="106"/>
      <c r="G654" s="106"/>
      <c r="H654" s="106"/>
    </row>
    <row r="655">
      <c r="A655" s="80"/>
      <c r="B655" s="80"/>
      <c r="C655" s="106"/>
      <c r="D655" s="80"/>
      <c r="E655" s="106"/>
      <c r="F655" s="106"/>
      <c r="G655" s="106"/>
      <c r="H655" s="106"/>
    </row>
    <row r="656">
      <c r="A656" s="80"/>
      <c r="B656" s="80"/>
      <c r="C656" s="106"/>
      <c r="D656" s="80"/>
      <c r="E656" s="106"/>
      <c r="F656" s="106"/>
      <c r="G656" s="106"/>
      <c r="H656" s="106"/>
    </row>
    <row r="657">
      <c r="A657" s="80"/>
      <c r="B657" s="80"/>
      <c r="C657" s="106"/>
      <c r="D657" s="80"/>
      <c r="E657" s="106"/>
      <c r="F657" s="106"/>
      <c r="G657" s="106"/>
      <c r="H657" s="106"/>
    </row>
    <row r="658">
      <c r="A658" s="80"/>
      <c r="B658" s="80"/>
      <c r="C658" s="106"/>
      <c r="D658" s="80"/>
      <c r="E658" s="106"/>
      <c r="F658" s="106"/>
      <c r="G658" s="106"/>
      <c r="H658" s="106"/>
    </row>
    <row r="659">
      <c r="A659" s="80"/>
      <c r="B659" s="80"/>
      <c r="C659" s="106"/>
      <c r="D659" s="80"/>
      <c r="E659" s="106"/>
      <c r="F659" s="106"/>
      <c r="G659" s="106"/>
      <c r="H659" s="106"/>
    </row>
    <row r="660">
      <c r="A660" s="80"/>
      <c r="B660" s="80"/>
      <c r="C660" s="106"/>
      <c r="D660" s="80"/>
      <c r="E660" s="106"/>
      <c r="F660" s="106"/>
      <c r="G660" s="106"/>
      <c r="H660" s="106"/>
    </row>
    <row r="661">
      <c r="A661" s="80"/>
      <c r="B661" s="80"/>
      <c r="C661" s="106"/>
      <c r="D661" s="80"/>
      <c r="E661" s="106"/>
      <c r="F661" s="106"/>
      <c r="G661" s="106"/>
      <c r="H661" s="106"/>
    </row>
    <row r="662">
      <c r="A662" s="80"/>
      <c r="B662" s="80"/>
      <c r="C662" s="106"/>
      <c r="D662" s="80"/>
      <c r="E662" s="106"/>
      <c r="F662" s="106"/>
      <c r="G662" s="106"/>
      <c r="H662" s="106"/>
    </row>
    <row r="663">
      <c r="A663" s="80"/>
      <c r="B663" s="80"/>
      <c r="C663" s="106"/>
      <c r="D663" s="80"/>
      <c r="E663" s="106"/>
      <c r="F663" s="106"/>
      <c r="G663" s="106"/>
      <c r="H663" s="106"/>
    </row>
    <row r="664">
      <c r="A664" s="80"/>
      <c r="B664" s="80"/>
      <c r="C664" s="106"/>
      <c r="D664" s="80"/>
      <c r="E664" s="106"/>
      <c r="F664" s="106"/>
      <c r="G664" s="106"/>
      <c r="H664" s="106"/>
    </row>
    <row r="665">
      <c r="A665" s="80"/>
      <c r="B665" s="80"/>
      <c r="C665" s="106"/>
      <c r="D665" s="80"/>
      <c r="E665" s="106"/>
      <c r="F665" s="106"/>
      <c r="G665" s="106"/>
      <c r="H665" s="106"/>
    </row>
    <row r="666">
      <c r="A666" s="80"/>
      <c r="B666" s="80"/>
      <c r="C666" s="106"/>
      <c r="D666" s="80"/>
      <c r="E666" s="106"/>
      <c r="F666" s="106"/>
      <c r="G666" s="106"/>
      <c r="H666" s="106"/>
    </row>
    <row r="667">
      <c r="A667" s="80"/>
      <c r="B667" s="80"/>
      <c r="C667" s="106"/>
      <c r="D667" s="80"/>
      <c r="E667" s="106"/>
      <c r="F667" s="106"/>
      <c r="G667" s="106"/>
      <c r="H667" s="106"/>
    </row>
    <row r="668">
      <c r="A668" s="80"/>
      <c r="B668" s="80"/>
      <c r="C668" s="106"/>
      <c r="D668" s="80"/>
      <c r="E668" s="106"/>
      <c r="F668" s="106"/>
      <c r="G668" s="106"/>
      <c r="H668" s="106"/>
    </row>
    <row r="669">
      <c r="A669" s="80"/>
      <c r="B669" s="80"/>
      <c r="C669" s="106"/>
      <c r="D669" s="80"/>
      <c r="E669" s="106"/>
      <c r="F669" s="106"/>
      <c r="G669" s="106"/>
      <c r="H669" s="106"/>
    </row>
    <row r="670">
      <c r="A670" s="80"/>
      <c r="B670" s="80"/>
      <c r="C670" s="106"/>
      <c r="D670" s="80"/>
      <c r="E670" s="106"/>
      <c r="F670" s="106"/>
      <c r="G670" s="106"/>
      <c r="H670" s="106"/>
    </row>
    <row r="671">
      <c r="A671" s="80"/>
      <c r="B671" s="80"/>
      <c r="C671" s="106"/>
      <c r="D671" s="80"/>
      <c r="E671" s="106"/>
      <c r="F671" s="106"/>
      <c r="G671" s="106"/>
      <c r="H671" s="106"/>
    </row>
    <row r="672">
      <c r="A672" s="80"/>
      <c r="B672" s="80"/>
      <c r="C672" s="106"/>
      <c r="D672" s="80"/>
      <c r="E672" s="106"/>
      <c r="F672" s="106"/>
      <c r="G672" s="106"/>
      <c r="H672" s="106"/>
    </row>
    <row r="673">
      <c r="A673" s="80"/>
      <c r="B673" s="80"/>
      <c r="C673" s="106"/>
      <c r="D673" s="80"/>
      <c r="E673" s="106"/>
      <c r="F673" s="106"/>
      <c r="G673" s="106"/>
      <c r="H673" s="106"/>
    </row>
    <row r="674">
      <c r="A674" s="80"/>
      <c r="B674" s="80"/>
      <c r="C674" s="106"/>
      <c r="D674" s="80"/>
      <c r="E674" s="106"/>
      <c r="F674" s="106"/>
      <c r="G674" s="106"/>
      <c r="H674" s="106"/>
    </row>
    <row r="675">
      <c r="A675" s="80"/>
      <c r="B675" s="80"/>
      <c r="C675" s="106"/>
      <c r="D675" s="80"/>
      <c r="E675" s="106"/>
      <c r="F675" s="106"/>
      <c r="G675" s="106"/>
      <c r="H675" s="106"/>
    </row>
    <row r="676">
      <c r="A676" s="80"/>
      <c r="B676" s="80"/>
      <c r="C676" s="106"/>
      <c r="D676" s="80"/>
      <c r="E676" s="106"/>
      <c r="F676" s="106"/>
      <c r="G676" s="106"/>
      <c r="H676" s="106"/>
    </row>
    <row r="677">
      <c r="A677" s="80"/>
      <c r="B677" s="80"/>
      <c r="C677" s="106"/>
      <c r="D677" s="80"/>
      <c r="E677" s="106"/>
      <c r="F677" s="106"/>
      <c r="G677" s="106"/>
      <c r="H677" s="106"/>
    </row>
    <row r="678">
      <c r="A678" s="80"/>
      <c r="B678" s="80"/>
      <c r="C678" s="106"/>
      <c r="D678" s="80"/>
      <c r="E678" s="106"/>
      <c r="F678" s="106"/>
      <c r="G678" s="106"/>
      <c r="H678" s="106"/>
    </row>
    <row r="679">
      <c r="A679" s="80"/>
      <c r="B679" s="80"/>
      <c r="C679" s="106"/>
      <c r="D679" s="80"/>
      <c r="E679" s="106"/>
      <c r="F679" s="106"/>
      <c r="G679" s="106"/>
      <c r="H679" s="106"/>
    </row>
    <row r="680">
      <c r="A680" s="80"/>
      <c r="B680" s="80"/>
      <c r="C680" s="106"/>
      <c r="D680" s="80"/>
      <c r="E680" s="106"/>
      <c r="F680" s="106"/>
      <c r="G680" s="106"/>
      <c r="H680" s="106"/>
    </row>
    <row r="681">
      <c r="A681" s="80"/>
      <c r="B681" s="80"/>
      <c r="C681" s="106"/>
      <c r="D681" s="80"/>
      <c r="E681" s="106"/>
      <c r="F681" s="106"/>
      <c r="G681" s="106"/>
      <c r="H681" s="106"/>
    </row>
    <row r="682">
      <c r="A682" s="80"/>
      <c r="B682" s="80"/>
      <c r="C682" s="106"/>
      <c r="D682" s="80"/>
      <c r="E682" s="106"/>
      <c r="F682" s="106"/>
      <c r="G682" s="106"/>
      <c r="H682" s="106"/>
    </row>
    <row r="683">
      <c r="A683" s="80"/>
      <c r="B683" s="80"/>
      <c r="C683" s="106"/>
      <c r="D683" s="80"/>
      <c r="E683" s="106"/>
      <c r="F683" s="106"/>
      <c r="G683" s="106"/>
      <c r="H683" s="106"/>
    </row>
    <row r="684">
      <c r="A684" s="80"/>
      <c r="B684" s="80"/>
      <c r="C684" s="106"/>
      <c r="D684" s="80"/>
      <c r="E684" s="106"/>
      <c r="F684" s="106"/>
      <c r="G684" s="106"/>
      <c r="H684" s="106"/>
    </row>
    <row r="685">
      <c r="A685" s="80"/>
      <c r="B685" s="80"/>
      <c r="C685" s="106"/>
      <c r="D685" s="80"/>
      <c r="E685" s="106"/>
      <c r="F685" s="106"/>
      <c r="G685" s="106"/>
      <c r="H685" s="106"/>
    </row>
    <row r="686">
      <c r="A686" s="80"/>
      <c r="B686" s="80"/>
      <c r="C686" s="106"/>
      <c r="D686" s="80"/>
      <c r="E686" s="106"/>
      <c r="F686" s="106"/>
      <c r="G686" s="106"/>
      <c r="H686" s="106"/>
    </row>
    <row r="687">
      <c r="A687" s="80"/>
      <c r="B687" s="80"/>
      <c r="C687" s="106"/>
      <c r="D687" s="80"/>
      <c r="E687" s="106"/>
      <c r="F687" s="106"/>
      <c r="G687" s="106"/>
      <c r="H687" s="106"/>
    </row>
    <row r="688">
      <c r="A688" s="80"/>
      <c r="B688" s="80"/>
      <c r="C688" s="106"/>
      <c r="D688" s="80"/>
      <c r="E688" s="106"/>
      <c r="F688" s="106"/>
      <c r="G688" s="106"/>
      <c r="H688" s="106"/>
    </row>
    <row r="689">
      <c r="A689" s="80"/>
      <c r="B689" s="80"/>
      <c r="C689" s="106"/>
      <c r="D689" s="80"/>
      <c r="E689" s="106"/>
      <c r="F689" s="106"/>
      <c r="G689" s="106"/>
      <c r="H689" s="106"/>
    </row>
    <row r="690">
      <c r="A690" s="80"/>
      <c r="B690" s="80"/>
      <c r="C690" s="106"/>
      <c r="D690" s="80"/>
      <c r="E690" s="106"/>
      <c r="F690" s="106"/>
      <c r="G690" s="106"/>
      <c r="H690" s="106"/>
    </row>
    <row r="691">
      <c r="A691" s="80"/>
      <c r="B691" s="80"/>
      <c r="C691" s="106"/>
      <c r="D691" s="80"/>
      <c r="E691" s="106"/>
      <c r="F691" s="106"/>
      <c r="G691" s="106"/>
      <c r="H691" s="106"/>
    </row>
    <row r="692">
      <c r="A692" s="80"/>
      <c r="B692" s="80"/>
      <c r="C692" s="106"/>
      <c r="D692" s="80"/>
      <c r="E692" s="106"/>
      <c r="F692" s="106"/>
      <c r="G692" s="106"/>
      <c r="H692" s="106"/>
    </row>
    <row r="693">
      <c r="A693" s="80"/>
      <c r="B693" s="80"/>
      <c r="C693" s="106"/>
      <c r="D693" s="80"/>
      <c r="E693" s="106"/>
      <c r="F693" s="106"/>
      <c r="G693" s="106"/>
      <c r="H693" s="106"/>
    </row>
    <row r="694">
      <c r="A694" s="80"/>
      <c r="B694" s="80"/>
      <c r="C694" s="106"/>
      <c r="D694" s="80"/>
      <c r="E694" s="106"/>
      <c r="F694" s="106"/>
      <c r="G694" s="106"/>
      <c r="H694" s="106"/>
    </row>
    <row r="695">
      <c r="A695" s="80"/>
      <c r="B695" s="80"/>
      <c r="C695" s="106"/>
      <c r="D695" s="80"/>
      <c r="E695" s="106"/>
      <c r="F695" s="106"/>
      <c r="G695" s="106"/>
      <c r="H695" s="106"/>
    </row>
    <row r="696">
      <c r="A696" s="80"/>
      <c r="B696" s="80"/>
      <c r="C696" s="106"/>
      <c r="D696" s="80"/>
      <c r="E696" s="106"/>
      <c r="F696" s="106"/>
      <c r="G696" s="106"/>
      <c r="H696" s="106"/>
    </row>
    <row r="697">
      <c r="A697" s="80"/>
      <c r="B697" s="80"/>
      <c r="C697" s="106"/>
      <c r="D697" s="80"/>
      <c r="E697" s="106"/>
      <c r="F697" s="106"/>
      <c r="G697" s="106"/>
      <c r="H697" s="106"/>
    </row>
    <row r="698">
      <c r="A698" s="80"/>
      <c r="B698" s="80"/>
      <c r="C698" s="106"/>
      <c r="D698" s="80"/>
      <c r="E698" s="106"/>
      <c r="F698" s="106"/>
      <c r="G698" s="106"/>
      <c r="H698" s="106"/>
    </row>
    <row r="699">
      <c r="A699" s="80"/>
      <c r="B699" s="80"/>
      <c r="C699" s="106"/>
      <c r="D699" s="80"/>
      <c r="E699" s="106"/>
      <c r="F699" s="106"/>
      <c r="G699" s="106"/>
      <c r="H699" s="106"/>
    </row>
    <row r="700">
      <c r="A700" s="80"/>
      <c r="B700" s="80"/>
      <c r="C700" s="106"/>
      <c r="D700" s="80"/>
      <c r="E700" s="106"/>
      <c r="F700" s="106"/>
      <c r="G700" s="106"/>
      <c r="H700" s="106"/>
    </row>
    <row r="701">
      <c r="A701" s="80"/>
      <c r="B701" s="80"/>
      <c r="C701" s="106"/>
      <c r="D701" s="80"/>
      <c r="E701" s="106"/>
      <c r="F701" s="106"/>
      <c r="G701" s="106"/>
      <c r="H701" s="106"/>
    </row>
    <row r="702">
      <c r="A702" s="80"/>
      <c r="B702" s="80"/>
      <c r="C702" s="106"/>
      <c r="D702" s="80"/>
      <c r="E702" s="106"/>
      <c r="F702" s="106"/>
      <c r="G702" s="106"/>
      <c r="H702" s="106"/>
    </row>
    <row r="703">
      <c r="A703" s="80"/>
      <c r="B703" s="80"/>
      <c r="C703" s="106"/>
      <c r="D703" s="80"/>
      <c r="E703" s="106"/>
      <c r="F703" s="106"/>
      <c r="G703" s="106"/>
      <c r="H703" s="106"/>
    </row>
    <row r="704">
      <c r="A704" s="80"/>
      <c r="B704" s="80"/>
      <c r="C704" s="106"/>
      <c r="D704" s="80"/>
      <c r="E704" s="106"/>
      <c r="F704" s="106"/>
      <c r="G704" s="106"/>
      <c r="H704" s="106"/>
    </row>
    <row r="705">
      <c r="A705" s="80"/>
      <c r="B705" s="80"/>
      <c r="C705" s="106"/>
      <c r="D705" s="80"/>
      <c r="E705" s="106"/>
      <c r="F705" s="106"/>
      <c r="G705" s="106"/>
      <c r="H705" s="106"/>
    </row>
    <row r="706">
      <c r="A706" s="80"/>
      <c r="B706" s="80"/>
      <c r="C706" s="106"/>
      <c r="D706" s="80"/>
      <c r="E706" s="106"/>
      <c r="F706" s="106"/>
      <c r="G706" s="106"/>
      <c r="H706" s="106"/>
    </row>
    <row r="707">
      <c r="A707" s="80"/>
      <c r="B707" s="80"/>
      <c r="C707" s="106"/>
      <c r="D707" s="80"/>
      <c r="E707" s="106"/>
      <c r="F707" s="106"/>
      <c r="G707" s="106"/>
      <c r="H707" s="106"/>
    </row>
    <row r="708">
      <c r="A708" s="80"/>
      <c r="B708" s="80"/>
      <c r="C708" s="106"/>
      <c r="D708" s="80"/>
      <c r="E708" s="106"/>
      <c r="F708" s="106"/>
      <c r="G708" s="106"/>
      <c r="H708" s="106"/>
    </row>
    <row r="709">
      <c r="A709" s="80"/>
      <c r="B709" s="80"/>
      <c r="C709" s="106"/>
      <c r="D709" s="80"/>
      <c r="E709" s="106"/>
      <c r="F709" s="106"/>
      <c r="G709" s="106"/>
      <c r="H709" s="106"/>
    </row>
    <row r="710">
      <c r="A710" s="80"/>
      <c r="B710" s="80"/>
      <c r="C710" s="106"/>
      <c r="D710" s="80"/>
      <c r="E710" s="106"/>
      <c r="F710" s="106"/>
      <c r="G710" s="106"/>
      <c r="H710" s="106"/>
    </row>
    <row r="711">
      <c r="A711" s="80"/>
      <c r="B711" s="80"/>
      <c r="C711" s="106"/>
      <c r="D711" s="80"/>
      <c r="E711" s="106"/>
      <c r="F711" s="106"/>
      <c r="G711" s="106"/>
      <c r="H711" s="106"/>
    </row>
    <row r="712">
      <c r="A712" s="80"/>
      <c r="B712" s="80"/>
      <c r="C712" s="106"/>
      <c r="D712" s="80"/>
      <c r="E712" s="106"/>
      <c r="F712" s="106"/>
      <c r="G712" s="106"/>
      <c r="H712" s="106"/>
    </row>
    <row r="713">
      <c r="A713" s="80"/>
      <c r="B713" s="80"/>
      <c r="C713" s="106"/>
      <c r="D713" s="80"/>
      <c r="E713" s="106"/>
      <c r="F713" s="106"/>
      <c r="G713" s="106"/>
      <c r="H713" s="106"/>
    </row>
    <row r="714">
      <c r="A714" s="80"/>
      <c r="B714" s="80"/>
      <c r="C714" s="106"/>
      <c r="D714" s="80"/>
      <c r="E714" s="106"/>
      <c r="F714" s="106"/>
      <c r="G714" s="106"/>
      <c r="H714" s="106"/>
    </row>
    <row r="715">
      <c r="A715" s="80"/>
      <c r="B715" s="80"/>
      <c r="C715" s="106"/>
      <c r="D715" s="80"/>
      <c r="E715" s="106"/>
      <c r="F715" s="106"/>
      <c r="G715" s="106"/>
      <c r="H715" s="106"/>
    </row>
    <row r="716">
      <c r="A716" s="80"/>
      <c r="B716" s="80"/>
      <c r="C716" s="106"/>
      <c r="D716" s="80"/>
      <c r="E716" s="106"/>
      <c r="F716" s="106"/>
      <c r="G716" s="106"/>
      <c r="H716" s="106"/>
    </row>
    <row r="717">
      <c r="A717" s="80"/>
      <c r="B717" s="80"/>
      <c r="C717" s="106"/>
      <c r="D717" s="80"/>
      <c r="E717" s="106"/>
      <c r="F717" s="106"/>
      <c r="G717" s="106"/>
      <c r="H717" s="106"/>
    </row>
    <row r="718">
      <c r="A718" s="80"/>
      <c r="B718" s="80"/>
      <c r="C718" s="106"/>
      <c r="D718" s="80"/>
      <c r="E718" s="106"/>
      <c r="F718" s="106"/>
      <c r="G718" s="106"/>
      <c r="H718" s="106"/>
    </row>
    <row r="719">
      <c r="A719" s="80"/>
      <c r="B719" s="80"/>
      <c r="C719" s="106"/>
      <c r="D719" s="80"/>
      <c r="E719" s="106"/>
      <c r="F719" s="106"/>
      <c r="G719" s="106"/>
      <c r="H719" s="106"/>
    </row>
    <row r="720">
      <c r="A720" s="80"/>
      <c r="B720" s="80"/>
      <c r="C720" s="106"/>
      <c r="D720" s="80"/>
      <c r="E720" s="106"/>
      <c r="F720" s="106"/>
      <c r="G720" s="106"/>
      <c r="H720" s="106"/>
    </row>
    <row r="721">
      <c r="A721" s="80"/>
      <c r="B721" s="80"/>
      <c r="C721" s="106"/>
      <c r="D721" s="80"/>
      <c r="E721" s="106"/>
      <c r="F721" s="106"/>
      <c r="G721" s="106"/>
      <c r="H721" s="106"/>
    </row>
    <row r="722">
      <c r="A722" s="80"/>
      <c r="B722" s="80"/>
      <c r="C722" s="106"/>
      <c r="D722" s="80"/>
      <c r="E722" s="106"/>
      <c r="F722" s="106"/>
      <c r="G722" s="106"/>
      <c r="H722" s="106"/>
    </row>
    <row r="723">
      <c r="A723" s="80"/>
      <c r="B723" s="80"/>
      <c r="C723" s="106"/>
      <c r="D723" s="80"/>
      <c r="E723" s="106"/>
      <c r="F723" s="106"/>
      <c r="G723" s="106"/>
      <c r="H723" s="106"/>
    </row>
    <row r="724">
      <c r="A724" s="80"/>
      <c r="B724" s="80"/>
      <c r="C724" s="106"/>
      <c r="D724" s="80"/>
      <c r="E724" s="106"/>
      <c r="F724" s="106"/>
      <c r="G724" s="106"/>
      <c r="H724" s="106"/>
    </row>
    <row r="725">
      <c r="A725" s="80"/>
      <c r="B725" s="80"/>
      <c r="C725" s="106"/>
      <c r="D725" s="80"/>
      <c r="E725" s="106"/>
      <c r="F725" s="106"/>
      <c r="G725" s="106"/>
      <c r="H725" s="106"/>
    </row>
    <row r="726">
      <c r="A726" s="80"/>
      <c r="B726" s="80"/>
      <c r="C726" s="106"/>
      <c r="D726" s="80"/>
      <c r="E726" s="106"/>
      <c r="F726" s="106"/>
      <c r="G726" s="106"/>
      <c r="H726" s="106"/>
    </row>
    <row r="727">
      <c r="A727" s="80"/>
      <c r="B727" s="80"/>
      <c r="C727" s="106"/>
      <c r="D727" s="80"/>
      <c r="E727" s="106"/>
      <c r="F727" s="106"/>
      <c r="G727" s="106"/>
      <c r="H727" s="106"/>
    </row>
    <row r="728">
      <c r="A728" s="80"/>
      <c r="B728" s="80"/>
      <c r="C728" s="106"/>
      <c r="D728" s="80"/>
      <c r="E728" s="106"/>
      <c r="F728" s="106"/>
      <c r="G728" s="106"/>
      <c r="H728" s="106"/>
    </row>
    <row r="729">
      <c r="A729" s="80"/>
      <c r="B729" s="80"/>
      <c r="C729" s="106"/>
      <c r="D729" s="80"/>
      <c r="E729" s="106"/>
      <c r="F729" s="106"/>
      <c r="G729" s="106"/>
      <c r="H729" s="106"/>
    </row>
    <row r="730">
      <c r="A730" s="80"/>
      <c r="B730" s="80"/>
      <c r="C730" s="106"/>
      <c r="D730" s="80"/>
      <c r="E730" s="106"/>
      <c r="F730" s="106"/>
      <c r="G730" s="106"/>
      <c r="H730" s="106"/>
    </row>
    <row r="731">
      <c r="A731" s="80"/>
      <c r="B731" s="80"/>
      <c r="C731" s="106"/>
      <c r="D731" s="80"/>
      <c r="E731" s="106"/>
      <c r="F731" s="106"/>
      <c r="G731" s="106"/>
      <c r="H731" s="106"/>
    </row>
    <row r="732">
      <c r="A732" s="80"/>
      <c r="B732" s="80"/>
      <c r="C732" s="106"/>
      <c r="D732" s="80"/>
      <c r="E732" s="106"/>
      <c r="F732" s="106"/>
      <c r="G732" s="106"/>
      <c r="H732" s="106"/>
    </row>
    <row r="733">
      <c r="A733" s="80"/>
      <c r="B733" s="80"/>
      <c r="C733" s="106"/>
      <c r="D733" s="80"/>
      <c r="E733" s="106"/>
      <c r="F733" s="106"/>
      <c r="G733" s="106"/>
      <c r="H733" s="106"/>
    </row>
    <row r="734">
      <c r="A734" s="80"/>
      <c r="B734" s="80"/>
      <c r="C734" s="106"/>
      <c r="D734" s="80"/>
      <c r="E734" s="106"/>
      <c r="F734" s="106"/>
      <c r="G734" s="106"/>
      <c r="H734" s="106"/>
    </row>
    <row r="735">
      <c r="A735" s="80"/>
      <c r="B735" s="80"/>
      <c r="C735" s="106"/>
      <c r="D735" s="80"/>
      <c r="E735" s="106"/>
      <c r="F735" s="106"/>
      <c r="G735" s="106"/>
      <c r="H735" s="106"/>
    </row>
    <row r="736">
      <c r="A736" s="80"/>
      <c r="B736" s="80"/>
      <c r="C736" s="106"/>
      <c r="D736" s="80"/>
      <c r="E736" s="106"/>
      <c r="F736" s="106"/>
      <c r="G736" s="106"/>
      <c r="H736" s="106"/>
    </row>
    <row r="737">
      <c r="A737" s="80"/>
      <c r="B737" s="80"/>
      <c r="C737" s="106"/>
      <c r="D737" s="80"/>
      <c r="E737" s="106"/>
      <c r="F737" s="106"/>
      <c r="G737" s="106"/>
      <c r="H737" s="106"/>
    </row>
    <row r="738">
      <c r="A738" s="80"/>
      <c r="B738" s="80"/>
      <c r="C738" s="106"/>
      <c r="D738" s="80"/>
      <c r="E738" s="106"/>
      <c r="F738" s="106"/>
      <c r="G738" s="106"/>
      <c r="H738" s="106"/>
    </row>
    <row r="739">
      <c r="A739" s="80"/>
      <c r="B739" s="80"/>
      <c r="C739" s="106"/>
      <c r="D739" s="80"/>
      <c r="E739" s="106"/>
      <c r="F739" s="106"/>
      <c r="G739" s="106"/>
      <c r="H739" s="106"/>
    </row>
    <row r="740">
      <c r="A740" s="80"/>
      <c r="B740" s="80"/>
      <c r="C740" s="106"/>
      <c r="D740" s="80"/>
      <c r="E740" s="106"/>
      <c r="F740" s="106"/>
      <c r="G740" s="106"/>
      <c r="H740" s="106"/>
    </row>
    <row r="741">
      <c r="A741" s="80"/>
      <c r="B741" s="80"/>
      <c r="C741" s="106"/>
      <c r="D741" s="80"/>
      <c r="E741" s="106"/>
      <c r="F741" s="106"/>
      <c r="G741" s="106"/>
      <c r="H741" s="106"/>
    </row>
    <row r="742">
      <c r="A742" s="80"/>
      <c r="B742" s="80"/>
      <c r="C742" s="106"/>
      <c r="D742" s="80"/>
      <c r="E742" s="106"/>
      <c r="F742" s="106"/>
      <c r="G742" s="106"/>
      <c r="H742" s="106"/>
    </row>
    <row r="743">
      <c r="A743" s="80"/>
      <c r="B743" s="80"/>
      <c r="C743" s="106"/>
      <c r="D743" s="80"/>
      <c r="E743" s="106"/>
      <c r="F743" s="106"/>
      <c r="G743" s="106"/>
      <c r="H743" s="106"/>
    </row>
    <row r="744">
      <c r="A744" s="80"/>
      <c r="B744" s="80"/>
      <c r="C744" s="106"/>
      <c r="D744" s="80"/>
      <c r="E744" s="106"/>
      <c r="F744" s="106"/>
      <c r="G744" s="106"/>
      <c r="H744" s="106"/>
    </row>
    <row r="745">
      <c r="A745" s="80"/>
      <c r="B745" s="80"/>
      <c r="C745" s="106"/>
      <c r="D745" s="80"/>
      <c r="E745" s="106"/>
      <c r="F745" s="106"/>
      <c r="G745" s="106"/>
      <c r="H745" s="106"/>
    </row>
    <row r="746">
      <c r="A746" s="80"/>
      <c r="B746" s="80"/>
      <c r="C746" s="106"/>
      <c r="D746" s="80"/>
      <c r="E746" s="106"/>
      <c r="F746" s="106"/>
      <c r="G746" s="106"/>
      <c r="H746" s="106"/>
    </row>
    <row r="747">
      <c r="A747" s="80"/>
      <c r="B747" s="80"/>
      <c r="C747" s="106"/>
      <c r="D747" s="80"/>
      <c r="E747" s="106"/>
      <c r="F747" s="106"/>
      <c r="G747" s="106"/>
      <c r="H747" s="106"/>
    </row>
    <row r="748">
      <c r="A748" s="80"/>
      <c r="B748" s="80"/>
      <c r="C748" s="106"/>
      <c r="D748" s="80"/>
      <c r="E748" s="106"/>
      <c r="F748" s="106"/>
      <c r="G748" s="106"/>
      <c r="H748" s="106"/>
    </row>
    <row r="749">
      <c r="A749" s="80"/>
      <c r="B749" s="80"/>
      <c r="C749" s="106"/>
      <c r="D749" s="80"/>
      <c r="E749" s="106"/>
      <c r="F749" s="106"/>
      <c r="G749" s="106"/>
      <c r="H749" s="106"/>
    </row>
    <row r="750">
      <c r="A750" s="80"/>
      <c r="B750" s="80"/>
      <c r="C750" s="106"/>
      <c r="D750" s="80"/>
      <c r="E750" s="106"/>
      <c r="F750" s="106"/>
      <c r="G750" s="106"/>
      <c r="H750" s="106"/>
    </row>
    <row r="751">
      <c r="A751" s="80"/>
      <c r="B751" s="80"/>
      <c r="C751" s="106"/>
      <c r="D751" s="80"/>
      <c r="E751" s="106"/>
      <c r="F751" s="106"/>
      <c r="G751" s="106"/>
      <c r="H751" s="106"/>
    </row>
    <row r="752">
      <c r="A752" s="80"/>
      <c r="B752" s="80"/>
      <c r="C752" s="106"/>
      <c r="D752" s="80"/>
      <c r="E752" s="106"/>
      <c r="F752" s="106"/>
      <c r="G752" s="106"/>
      <c r="H752" s="106"/>
    </row>
    <row r="753">
      <c r="A753" s="80"/>
      <c r="B753" s="80"/>
      <c r="C753" s="106"/>
      <c r="D753" s="80"/>
      <c r="E753" s="106"/>
      <c r="F753" s="106"/>
      <c r="G753" s="106"/>
      <c r="H753" s="106"/>
    </row>
    <row r="754">
      <c r="A754" s="80"/>
      <c r="B754" s="80"/>
      <c r="C754" s="106"/>
      <c r="D754" s="80"/>
      <c r="E754" s="106"/>
      <c r="F754" s="106"/>
      <c r="G754" s="106"/>
      <c r="H754" s="106"/>
    </row>
    <row r="755">
      <c r="A755" s="80"/>
      <c r="B755" s="80"/>
      <c r="C755" s="106"/>
      <c r="D755" s="80"/>
      <c r="E755" s="106"/>
      <c r="F755" s="106"/>
      <c r="G755" s="106"/>
      <c r="H755" s="106"/>
    </row>
    <row r="756">
      <c r="A756" s="80"/>
      <c r="B756" s="80"/>
      <c r="C756" s="106"/>
      <c r="D756" s="80"/>
      <c r="E756" s="106"/>
      <c r="F756" s="106"/>
      <c r="G756" s="106"/>
      <c r="H756" s="106"/>
    </row>
    <row r="757">
      <c r="A757" s="80"/>
      <c r="B757" s="80"/>
      <c r="C757" s="106"/>
      <c r="D757" s="80"/>
      <c r="E757" s="106"/>
      <c r="F757" s="106"/>
      <c r="G757" s="106"/>
      <c r="H757" s="106"/>
    </row>
    <row r="758">
      <c r="A758" s="80"/>
      <c r="B758" s="80"/>
      <c r="C758" s="106"/>
      <c r="D758" s="80"/>
      <c r="E758" s="106"/>
      <c r="F758" s="106"/>
      <c r="G758" s="106"/>
      <c r="H758" s="106"/>
    </row>
    <row r="759">
      <c r="A759" s="80"/>
      <c r="B759" s="80"/>
      <c r="C759" s="106"/>
      <c r="D759" s="80"/>
      <c r="E759" s="106"/>
      <c r="F759" s="106"/>
      <c r="G759" s="106"/>
      <c r="H759" s="106"/>
    </row>
    <row r="760">
      <c r="A760" s="80"/>
      <c r="B760" s="80"/>
      <c r="C760" s="106"/>
      <c r="D760" s="80"/>
      <c r="E760" s="106"/>
      <c r="F760" s="106"/>
      <c r="G760" s="106"/>
      <c r="H760" s="106"/>
    </row>
    <row r="761">
      <c r="A761" s="80"/>
      <c r="B761" s="80"/>
      <c r="C761" s="106"/>
      <c r="D761" s="80"/>
      <c r="E761" s="106"/>
      <c r="F761" s="106"/>
      <c r="G761" s="106"/>
      <c r="H761" s="106"/>
    </row>
    <row r="762">
      <c r="A762" s="80"/>
      <c r="B762" s="80"/>
      <c r="C762" s="106"/>
      <c r="D762" s="80"/>
      <c r="E762" s="106"/>
      <c r="F762" s="106"/>
      <c r="G762" s="106"/>
      <c r="H762" s="106"/>
    </row>
    <row r="763">
      <c r="A763" s="80"/>
      <c r="B763" s="80"/>
      <c r="C763" s="106"/>
      <c r="D763" s="80"/>
      <c r="E763" s="106"/>
      <c r="F763" s="106"/>
      <c r="G763" s="106"/>
      <c r="H763" s="106"/>
    </row>
    <row r="764">
      <c r="A764" s="80"/>
      <c r="B764" s="80"/>
      <c r="C764" s="106"/>
      <c r="D764" s="80"/>
      <c r="E764" s="106"/>
      <c r="F764" s="106"/>
      <c r="G764" s="106"/>
      <c r="H764" s="106"/>
    </row>
    <row r="765">
      <c r="A765" s="80"/>
      <c r="B765" s="80"/>
      <c r="C765" s="106"/>
      <c r="D765" s="80"/>
      <c r="E765" s="106"/>
      <c r="F765" s="106"/>
      <c r="G765" s="106"/>
      <c r="H765" s="106"/>
    </row>
    <row r="766">
      <c r="A766" s="80"/>
      <c r="B766" s="80"/>
      <c r="C766" s="106"/>
      <c r="D766" s="80"/>
      <c r="E766" s="106"/>
      <c r="F766" s="106"/>
      <c r="G766" s="106"/>
      <c r="H766" s="106"/>
    </row>
    <row r="767">
      <c r="A767" s="80"/>
      <c r="B767" s="80"/>
      <c r="C767" s="106"/>
      <c r="D767" s="80"/>
      <c r="E767" s="106"/>
      <c r="F767" s="106"/>
      <c r="G767" s="106"/>
      <c r="H767" s="106"/>
    </row>
    <row r="768">
      <c r="A768" s="80"/>
      <c r="B768" s="80"/>
      <c r="C768" s="106"/>
      <c r="D768" s="80"/>
      <c r="E768" s="106"/>
      <c r="F768" s="106"/>
      <c r="G768" s="106"/>
      <c r="H768" s="106"/>
    </row>
    <row r="769">
      <c r="A769" s="80"/>
      <c r="B769" s="80"/>
      <c r="C769" s="106"/>
      <c r="D769" s="80"/>
      <c r="E769" s="106"/>
      <c r="F769" s="106"/>
      <c r="G769" s="106"/>
      <c r="H769" s="106"/>
    </row>
    <row r="770">
      <c r="A770" s="80"/>
      <c r="B770" s="80"/>
      <c r="C770" s="106"/>
      <c r="D770" s="80"/>
      <c r="E770" s="106"/>
      <c r="F770" s="106"/>
      <c r="G770" s="106"/>
      <c r="H770" s="106"/>
    </row>
    <row r="771">
      <c r="A771" s="80"/>
      <c r="B771" s="80"/>
      <c r="C771" s="106"/>
      <c r="D771" s="80"/>
      <c r="E771" s="106"/>
      <c r="F771" s="106"/>
      <c r="G771" s="106"/>
      <c r="H771" s="106"/>
    </row>
    <row r="772">
      <c r="A772" s="80"/>
      <c r="B772" s="80"/>
      <c r="C772" s="106"/>
      <c r="D772" s="80"/>
      <c r="E772" s="106"/>
      <c r="F772" s="106"/>
      <c r="G772" s="106"/>
      <c r="H772" s="106"/>
    </row>
    <row r="773">
      <c r="A773" s="80"/>
      <c r="B773" s="80"/>
      <c r="C773" s="106"/>
      <c r="D773" s="80"/>
      <c r="E773" s="106"/>
      <c r="F773" s="106"/>
      <c r="G773" s="106"/>
      <c r="H773" s="106"/>
    </row>
    <row r="774">
      <c r="A774" s="80"/>
      <c r="B774" s="80"/>
      <c r="C774" s="106"/>
      <c r="D774" s="80"/>
      <c r="E774" s="106"/>
      <c r="F774" s="106"/>
      <c r="G774" s="106"/>
      <c r="H774" s="106"/>
    </row>
    <row r="775">
      <c r="A775" s="80"/>
      <c r="B775" s="80"/>
      <c r="C775" s="106"/>
      <c r="D775" s="80"/>
      <c r="E775" s="106"/>
      <c r="F775" s="106"/>
      <c r="G775" s="106"/>
      <c r="H775" s="106"/>
    </row>
    <row r="776">
      <c r="A776" s="80"/>
      <c r="B776" s="80"/>
      <c r="C776" s="106"/>
      <c r="D776" s="80"/>
      <c r="E776" s="106"/>
      <c r="F776" s="106"/>
      <c r="G776" s="106"/>
      <c r="H776" s="106"/>
    </row>
    <row r="777">
      <c r="A777" s="80"/>
      <c r="B777" s="80"/>
      <c r="C777" s="106"/>
      <c r="D777" s="80"/>
      <c r="E777" s="106"/>
      <c r="F777" s="106"/>
      <c r="G777" s="106"/>
      <c r="H777" s="106"/>
    </row>
    <row r="778">
      <c r="A778" s="80"/>
      <c r="B778" s="80"/>
      <c r="C778" s="106"/>
      <c r="D778" s="80"/>
      <c r="E778" s="106"/>
      <c r="F778" s="106"/>
      <c r="G778" s="106"/>
      <c r="H778" s="106"/>
    </row>
    <row r="779">
      <c r="A779" s="80"/>
      <c r="B779" s="80"/>
      <c r="C779" s="106"/>
      <c r="D779" s="80"/>
      <c r="E779" s="106"/>
      <c r="F779" s="106"/>
      <c r="G779" s="106"/>
      <c r="H779" s="106"/>
    </row>
    <row r="780">
      <c r="A780" s="80"/>
      <c r="B780" s="80"/>
      <c r="C780" s="106"/>
      <c r="D780" s="80"/>
      <c r="E780" s="106"/>
      <c r="F780" s="106"/>
      <c r="G780" s="106"/>
      <c r="H780" s="106"/>
    </row>
    <row r="781">
      <c r="A781" s="80"/>
      <c r="B781" s="80"/>
      <c r="C781" s="106"/>
      <c r="D781" s="80"/>
      <c r="E781" s="106"/>
      <c r="F781" s="106"/>
      <c r="G781" s="106"/>
      <c r="H781" s="106"/>
    </row>
    <row r="782">
      <c r="A782" s="80"/>
      <c r="B782" s="80"/>
      <c r="C782" s="106"/>
      <c r="D782" s="80"/>
      <c r="E782" s="106"/>
      <c r="F782" s="106"/>
      <c r="G782" s="106"/>
      <c r="H782" s="106"/>
    </row>
    <row r="783">
      <c r="A783" s="80"/>
      <c r="B783" s="80"/>
      <c r="C783" s="106"/>
      <c r="D783" s="80"/>
      <c r="E783" s="106"/>
      <c r="F783" s="106"/>
      <c r="G783" s="106"/>
      <c r="H783" s="106"/>
    </row>
    <row r="784">
      <c r="A784" s="80"/>
      <c r="B784" s="80"/>
      <c r="C784" s="106"/>
      <c r="D784" s="80"/>
      <c r="E784" s="106"/>
      <c r="F784" s="106"/>
      <c r="G784" s="106"/>
      <c r="H784" s="106"/>
    </row>
    <row r="785">
      <c r="A785" s="80"/>
      <c r="B785" s="80"/>
      <c r="C785" s="106"/>
      <c r="D785" s="80"/>
      <c r="E785" s="106"/>
      <c r="F785" s="106"/>
      <c r="G785" s="106"/>
      <c r="H785" s="106"/>
    </row>
    <row r="786">
      <c r="A786" s="80"/>
      <c r="B786" s="80"/>
      <c r="C786" s="106"/>
      <c r="D786" s="80"/>
      <c r="E786" s="106"/>
      <c r="F786" s="106"/>
      <c r="G786" s="106"/>
      <c r="H786" s="106"/>
    </row>
    <row r="787">
      <c r="A787" s="80"/>
      <c r="B787" s="80"/>
      <c r="C787" s="106"/>
      <c r="D787" s="80"/>
      <c r="E787" s="106"/>
      <c r="F787" s="106"/>
      <c r="G787" s="106"/>
      <c r="H787" s="106"/>
    </row>
    <row r="788">
      <c r="A788" s="80"/>
      <c r="B788" s="80"/>
      <c r="C788" s="106"/>
      <c r="D788" s="80"/>
      <c r="E788" s="106"/>
      <c r="F788" s="106"/>
      <c r="G788" s="106"/>
      <c r="H788" s="106"/>
    </row>
    <row r="789">
      <c r="A789" s="80"/>
      <c r="B789" s="80"/>
      <c r="C789" s="106"/>
      <c r="D789" s="80"/>
      <c r="E789" s="106"/>
      <c r="F789" s="106"/>
      <c r="G789" s="106"/>
      <c r="H789" s="106"/>
    </row>
    <row r="790">
      <c r="A790" s="80"/>
      <c r="B790" s="80"/>
      <c r="C790" s="106"/>
      <c r="D790" s="80"/>
      <c r="E790" s="106"/>
      <c r="F790" s="106"/>
      <c r="G790" s="106"/>
      <c r="H790" s="106"/>
    </row>
    <row r="791">
      <c r="A791" s="80"/>
      <c r="B791" s="80"/>
      <c r="C791" s="106"/>
      <c r="D791" s="80"/>
      <c r="E791" s="106"/>
      <c r="F791" s="106"/>
      <c r="G791" s="106"/>
      <c r="H791" s="106"/>
    </row>
    <row r="792">
      <c r="A792" s="80"/>
      <c r="B792" s="80"/>
      <c r="C792" s="106"/>
      <c r="D792" s="80"/>
      <c r="E792" s="106"/>
      <c r="F792" s="106"/>
      <c r="G792" s="106"/>
      <c r="H792" s="106"/>
    </row>
    <row r="793">
      <c r="A793" s="80"/>
      <c r="B793" s="80"/>
      <c r="C793" s="106"/>
      <c r="D793" s="80"/>
      <c r="E793" s="106"/>
      <c r="F793" s="106"/>
      <c r="G793" s="106"/>
      <c r="H793" s="106"/>
    </row>
    <row r="794">
      <c r="A794" s="80"/>
      <c r="B794" s="80"/>
      <c r="C794" s="106"/>
      <c r="D794" s="80"/>
      <c r="E794" s="106"/>
      <c r="F794" s="106"/>
      <c r="G794" s="106"/>
      <c r="H794" s="106"/>
    </row>
    <row r="795">
      <c r="A795" s="80"/>
      <c r="B795" s="80"/>
      <c r="C795" s="106"/>
      <c r="D795" s="80"/>
      <c r="E795" s="106"/>
      <c r="F795" s="106"/>
      <c r="G795" s="106"/>
      <c r="H795" s="106"/>
    </row>
    <row r="796">
      <c r="A796" s="80"/>
      <c r="B796" s="80"/>
      <c r="C796" s="106"/>
      <c r="D796" s="80"/>
      <c r="E796" s="106"/>
      <c r="F796" s="106"/>
      <c r="G796" s="106"/>
      <c r="H796" s="106"/>
    </row>
    <row r="797">
      <c r="A797" s="80"/>
      <c r="B797" s="80"/>
      <c r="C797" s="106"/>
      <c r="D797" s="80"/>
      <c r="E797" s="106"/>
      <c r="F797" s="106"/>
      <c r="G797" s="106"/>
      <c r="H797" s="106"/>
    </row>
    <row r="798">
      <c r="A798" s="80"/>
      <c r="B798" s="80"/>
      <c r="C798" s="106"/>
      <c r="D798" s="80"/>
      <c r="E798" s="106"/>
      <c r="F798" s="106"/>
      <c r="G798" s="106"/>
      <c r="H798" s="106"/>
    </row>
    <row r="799">
      <c r="A799" s="80"/>
      <c r="B799" s="80"/>
      <c r="C799" s="106"/>
      <c r="D799" s="80"/>
      <c r="E799" s="106"/>
      <c r="F799" s="106"/>
      <c r="G799" s="106"/>
      <c r="H799" s="106"/>
    </row>
    <row r="800">
      <c r="A800" s="80"/>
      <c r="B800" s="80"/>
      <c r="C800" s="106"/>
      <c r="D800" s="80"/>
      <c r="E800" s="106"/>
      <c r="F800" s="106"/>
      <c r="G800" s="106"/>
      <c r="H800" s="106"/>
    </row>
    <row r="801">
      <c r="A801" s="80"/>
      <c r="B801" s="80"/>
      <c r="C801" s="106"/>
      <c r="D801" s="80"/>
      <c r="E801" s="106"/>
      <c r="F801" s="106"/>
      <c r="G801" s="106"/>
      <c r="H801" s="106"/>
    </row>
    <row r="802">
      <c r="A802" s="80"/>
      <c r="B802" s="80"/>
      <c r="C802" s="106"/>
      <c r="D802" s="80"/>
      <c r="E802" s="106"/>
      <c r="F802" s="106"/>
      <c r="G802" s="106"/>
      <c r="H802" s="106"/>
    </row>
    <row r="803">
      <c r="A803" s="80"/>
      <c r="B803" s="80"/>
      <c r="C803" s="106"/>
      <c r="D803" s="80"/>
      <c r="E803" s="106"/>
      <c r="F803" s="106"/>
      <c r="G803" s="106"/>
      <c r="H803" s="106"/>
    </row>
    <row r="804">
      <c r="A804" s="80"/>
      <c r="B804" s="80"/>
      <c r="C804" s="106"/>
      <c r="D804" s="80"/>
      <c r="E804" s="106"/>
      <c r="F804" s="106"/>
      <c r="G804" s="106"/>
      <c r="H804" s="106"/>
    </row>
    <row r="805">
      <c r="A805" s="80"/>
      <c r="B805" s="80"/>
      <c r="C805" s="106"/>
      <c r="D805" s="80"/>
      <c r="E805" s="106"/>
      <c r="F805" s="106"/>
      <c r="G805" s="106"/>
      <c r="H805" s="106"/>
    </row>
    <row r="806">
      <c r="A806" s="80"/>
      <c r="B806" s="80"/>
      <c r="C806" s="106"/>
      <c r="D806" s="80"/>
      <c r="E806" s="106"/>
      <c r="F806" s="106"/>
      <c r="G806" s="106"/>
      <c r="H806" s="106"/>
    </row>
    <row r="807">
      <c r="A807" s="80"/>
      <c r="B807" s="80"/>
      <c r="C807" s="106"/>
      <c r="D807" s="80"/>
      <c r="E807" s="106"/>
      <c r="F807" s="106"/>
      <c r="G807" s="106"/>
      <c r="H807" s="106"/>
    </row>
    <row r="808">
      <c r="A808" s="80"/>
      <c r="B808" s="80"/>
      <c r="C808" s="106"/>
      <c r="D808" s="80"/>
      <c r="E808" s="106"/>
      <c r="F808" s="106"/>
      <c r="G808" s="106"/>
      <c r="H808" s="106"/>
    </row>
    <row r="809">
      <c r="A809" s="80"/>
      <c r="B809" s="80"/>
      <c r="C809" s="106"/>
      <c r="D809" s="80"/>
      <c r="E809" s="106"/>
      <c r="F809" s="106"/>
      <c r="G809" s="106"/>
      <c r="H809" s="106"/>
    </row>
    <row r="810">
      <c r="A810" s="80"/>
      <c r="B810" s="80"/>
      <c r="C810" s="106"/>
      <c r="D810" s="80"/>
      <c r="E810" s="106"/>
      <c r="F810" s="106"/>
      <c r="G810" s="106"/>
      <c r="H810" s="106"/>
    </row>
    <row r="811">
      <c r="A811" s="80"/>
      <c r="B811" s="80"/>
      <c r="C811" s="106"/>
      <c r="D811" s="80"/>
      <c r="E811" s="106"/>
      <c r="F811" s="106"/>
      <c r="G811" s="106"/>
      <c r="H811" s="106"/>
    </row>
    <row r="812">
      <c r="A812" s="80"/>
      <c r="B812" s="80"/>
      <c r="C812" s="106"/>
      <c r="D812" s="80"/>
      <c r="E812" s="106"/>
      <c r="F812" s="106"/>
      <c r="G812" s="106"/>
      <c r="H812" s="106"/>
    </row>
    <row r="813">
      <c r="A813" s="80"/>
      <c r="B813" s="80"/>
      <c r="C813" s="106"/>
      <c r="D813" s="80"/>
      <c r="E813" s="106"/>
      <c r="F813" s="106"/>
      <c r="G813" s="106"/>
      <c r="H813" s="106"/>
    </row>
    <row r="814">
      <c r="A814" s="80"/>
      <c r="B814" s="80"/>
      <c r="C814" s="106"/>
      <c r="D814" s="80"/>
      <c r="E814" s="106"/>
      <c r="F814" s="106"/>
      <c r="G814" s="106"/>
      <c r="H814" s="106"/>
    </row>
    <row r="815">
      <c r="A815" s="80"/>
      <c r="B815" s="80"/>
      <c r="C815" s="106"/>
      <c r="D815" s="80"/>
      <c r="E815" s="106"/>
      <c r="F815" s="106"/>
      <c r="G815" s="106"/>
      <c r="H815" s="106"/>
    </row>
    <row r="816">
      <c r="A816" s="80"/>
      <c r="B816" s="80"/>
      <c r="C816" s="106"/>
      <c r="D816" s="80"/>
      <c r="E816" s="106"/>
      <c r="F816" s="106"/>
      <c r="G816" s="106"/>
      <c r="H816" s="106"/>
    </row>
    <row r="817">
      <c r="A817" s="80"/>
      <c r="B817" s="80"/>
      <c r="C817" s="106"/>
      <c r="D817" s="80"/>
      <c r="E817" s="106"/>
      <c r="F817" s="106"/>
      <c r="G817" s="106"/>
      <c r="H817" s="106"/>
    </row>
    <row r="818">
      <c r="A818" s="80"/>
      <c r="B818" s="80"/>
      <c r="C818" s="106"/>
      <c r="D818" s="80"/>
      <c r="E818" s="106"/>
      <c r="F818" s="106"/>
      <c r="G818" s="106"/>
      <c r="H818" s="106"/>
    </row>
    <row r="819">
      <c r="A819" s="80"/>
      <c r="B819" s="80"/>
      <c r="C819" s="106"/>
      <c r="D819" s="80"/>
      <c r="E819" s="106"/>
      <c r="F819" s="106"/>
      <c r="G819" s="106"/>
      <c r="H819" s="106"/>
    </row>
    <row r="820">
      <c r="A820" s="80"/>
      <c r="B820" s="80"/>
      <c r="C820" s="106"/>
      <c r="D820" s="80"/>
      <c r="E820" s="106"/>
      <c r="F820" s="106"/>
      <c r="G820" s="106"/>
      <c r="H820" s="106"/>
    </row>
    <row r="821">
      <c r="A821" s="80"/>
      <c r="B821" s="80"/>
      <c r="C821" s="106"/>
      <c r="D821" s="80"/>
      <c r="E821" s="106"/>
      <c r="F821" s="106"/>
      <c r="G821" s="106"/>
      <c r="H821" s="106"/>
    </row>
    <row r="822">
      <c r="A822" s="80"/>
      <c r="B822" s="80"/>
      <c r="C822" s="106"/>
      <c r="D822" s="80"/>
      <c r="E822" s="106"/>
      <c r="F822" s="106"/>
      <c r="G822" s="106"/>
      <c r="H822" s="106"/>
    </row>
    <row r="823">
      <c r="A823" s="80"/>
      <c r="B823" s="80"/>
      <c r="C823" s="106"/>
      <c r="D823" s="80"/>
      <c r="E823" s="106"/>
      <c r="F823" s="106"/>
      <c r="G823" s="106"/>
      <c r="H823" s="106"/>
    </row>
    <row r="824">
      <c r="A824" s="80"/>
      <c r="B824" s="80"/>
      <c r="C824" s="106"/>
      <c r="D824" s="80"/>
      <c r="E824" s="106"/>
      <c r="F824" s="106"/>
      <c r="G824" s="106"/>
      <c r="H824" s="106"/>
    </row>
    <row r="825">
      <c r="A825" s="80"/>
      <c r="B825" s="80"/>
      <c r="C825" s="106"/>
      <c r="D825" s="80"/>
      <c r="E825" s="106"/>
      <c r="F825" s="106"/>
      <c r="G825" s="106"/>
      <c r="H825" s="106"/>
    </row>
    <row r="826">
      <c r="A826" s="80"/>
      <c r="B826" s="80"/>
      <c r="C826" s="106"/>
      <c r="D826" s="80"/>
      <c r="E826" s="106"/>
      <c r="F826" s="106"/>
      <c r="G826" s="106"/>
      <c r="H826" s="106"/>
    </row>
    <row r="827">
      <c r="A827" s="80"/>
      <c r="B827" s="80"/>
      <c r="C827" s="106"/>
      <c r="D827" s="80"/>
      <c r="E827" s="106"/>
      <c r="F827" s="106"/>
      <c r="G827" s="106"/>
      <c r="H827" s="106"/>
    </row>
    <row r="828">
      <c r="A828" s="80"/>
      <c r="B828" s="80"/>
      <c r="C828" s="106"/>
      <c r="D828" s="80"/>
      <c r="E828" s="106"/>
      <c r="F828" s="106"/>
      <c r="G828" s="106"/>
      <c r="H828" s="106"/>
    </row>
    <row r="829">
      <c r="A829" s="80"/>
      <c r="B829" s="80"/>
      <c r="C829" s="106"/>
      <c r="D829" s="80"/>
      <c r="E829" s="106"/>
      <c r="F829" s="106"/>
      <c r="G829" s="106"/>
      <c r="H829" s="106"/>
    </row>
    <row r="830">
      <c r="A830" s="80"/>
      <c r="B830" s="80"/>
      <c r="C830" s="106"/>
      <c r="D830" s="80"/>
      <c r="E830" s="106"/>
      <c r="F830" s="106"/>
      <c r="G830" s="106"/>
      <c r="H830" s="106"/>
    </row>
    <row r="831">
      <c r="A831" s="80"/>
      <c r="B831" s="80"/>
      <c r="C831" s="106"/>
      <c r="D831" s="80"/>
      <c r="E831" s="106"/>
      <c r="F831" s="106"/>
      <c r="G831" s="106"/>
      <c r="H831" s="106"/>
    </row>
    <row r="832">
      <c r="A832" s="80"/>
      <c r="B832" s="80"/>
      <c r="C832" s="106"/>
      <c r="D832" s="80"/>
      <c r="E832" s="106"/>
      <c r="F832" s="106"/>
      <c r="G832" s="106"/>
      <c r="H832" s="106"/>
    </row>
    <row r="833">
      <c r="A833" s="80"/>
      <c r="B833" s="80"/>
      <c r="C833" s="106"/>
      <c r="D833" s="80"/>
      <c r="E833" s="106"/>
      <c r="F833" s="106"/>
      <c r="G833" s="106"/>
      <c r="H833" s="106"/>
    </row>
    <row r="834">
      <c r="A834" s="80"/>
      <c r="B834" s="80"/>
      <c r="C834" s="106"/>
      <c r="D834" s="80"/>
      <c r="E834" s="106"/>
      <c r="F834" s="106"/>
      <c r="G834" s="106"/>
      <c r="H834" s="106"/>
    </row>
    <row r="835">
      <c r="A835" s="80"/>
      <c r="B835" s="80"/>
      <c r="C835" s="106"/>
      <c r="D835" s="80"/>
      <c r="E835" s="106"/>
      <c r="F835" s="106"/>
      <c r="G835" s="106"/>
      <c r="H835" s="106"/>
    </row>
    <row r="836">
      <c r="A836" s="80"/>
      <c r="B836" s="80"/>
      <c r="C836" s="106"/>
      <c r="D836" s="80"/>
      <c r="E836" s="106"/>
      <c r="F836" s="106"/>
      <c r="G836" s="106"/>
      <c r="H836" s="106"/>
    </row>
    <row r="837">
      <c r="A837" s="80"/>
      <c r="B837" s="80"/>
      <c r="C837" s="106"/>
      <c r="D837" s="80"/>
      <c r="E837" s="106"/>
      <c r="F837" s="106"/>
      <c r="G837" s="106"/>
      <c r="H837" s="106"/>
    </row>
    <row r="838">
      <c r="A838" s="80"/>
      <c r="B838" s="80"/>
      <c r="C838" s="106"/>
      <c r="D838" s="80"/>
      <c r="E838" s="106"/>
      <c r="F838" s="106"/>
      <c r="G838" s="106"/>
      <c r="H838" s="106"/>
    </row>
    <row r="839">
      <c r="A839" s="80"/>
      <c r="B839" s="80"/>
      <c r="C839" s="106"/>
      <c r="D839" s="80"/>
      <c r="E839" s="106"/>
      <c r="F839" s="106"/>
      <c r="G839" s="106"/>
      <c r="H839" s="106"/>
    </row>
    <row r="840">
      <c r="A840" s="80"/>
      <c r="B840" s="80"/>
      <c r="C840" s="106"/>
      <c r="D840" s="80"/>
      <c r="E840" s="106"/>
      <c r="F840" s="106"/>
      <c r="G840" s="106"/>
      <c r="H840" s="106"/>
    </row>
    <row r="841">
      <c r="A841" s="80"/>
      <c r="B841" s="80"/>
      <c r="C841" s="106"/>
      <c r="D841" s="80"/>
      <c r="E841" s="106"/>
      <c r="F841" s="106"/>
      <c r="G841" s="106"/>
      <c r="H841" s="106"/>
    </row>
    <row r="842">
      <c r="A842" s="80"/>
      <c r="B842" s="80"/>
      <c r="C842" s="106"/>
      <c r="D842" s="80"/>
      <c r="E842" s="106"/>
      <c r="F842" s="106"/>
      <c r="G842" s="106"/>
      <c r="H842" s="106"/>
    </row>
    <row r="843">
      <c r="A843" s="80"/>
      <c r="B843" s="80"/>
      <c r="C843" s="106"/>
      <c r="D843" s="80"/>
      <c r="E843" s="106"/>
      <c r="F843" s="106"/>
      <c r="G843" s="106"/>
      <c r="H843" s="106"/>
    </row>
    <row r="844">
      <c r="A844" s="80"/>
      <c r="B844" s="80"/>
      <c r="C844" s="106"/>
      <c r="D844" s="80"/>
      <c r="E844" s="106"/>
      <c r="F844" s="106"/>
      <c r="G844" s="106"/>
      <c r="H844" s="106"/>
    </row>
    <row r="845">
      <c r="A845" s="80"/>
      <c r="B845" s="80"/>
      <c r="C845" s="106"/>
      <c r="D845" s="80"/>
      <c r="E845" s="106"/>
      <c r="F845" s="106"/>
      <c r="G845" s="106"/>
      <c r="H845" s="106"/>
    </row>
    <row r="846">
      <c r="A846" s="80"/>
      <c r="B846" s="80"/>
      <c r="C846" s="106"/>
      <c r="D846" s="80"/>
      <c r="E846" s="106"/>
      <c r="F846" s="106"/>
      <c r="G846" s="106"/>
      <c r="H846" s="106"/>
    </row>
    <row r="847">
      <c r="A847" s="80"/>
      <c r="B847" s="80"/>
      <c r="C847" s="106"/>
      <c r="D847" s="80"/>
      <c r="E847" s="106"/>
      <c r="F847" s="106"/>
      <c r="G847" s="106"/>
      <c r="H847" s="106"/>
    </row>
    <row r="848">
      <c r="A848" s="80"/>
      <c r="B848" s="80"/>
      <c r="C848" s="106"/>
      <c r="D848" s="80"/>
      <c r="E848" s="106"/>
      <c r="F848" s="106"/>
      <c r="G848" s="106"/>
      <c r="H848" s="106"/>
    </row>
    <row r="849">
      <c r="A849" s="80"/>
      <c r="B849" s="80"/>
      <c r="C849" s="106"/>
      <c r="D849" s="80"/>
      <c r="E849" s="106"/>
      <c r="F849" s="106"/>
      <c r="G849" s="106"/>
      <c r="H849" s="106"/>
    </row>
    <row r="850">
      <c r="A850" s="80"/>
      <c r="B850" s="80"/>
      <c r="C850" s="106"/>
      <c r="D850" s="80"/>
      <c r="E850" s="106"/>
      <c r="F850" s="106"/>
      <c r="G850" s="106"/>
      <c r="H850" s="106"/>
    </row>
    <row r="851">
      <c r="A851" s="80"/>
      <c r="B851" s="80"/>
      <c r="C851" s="106"/>
      <c r="D851" s="80"/>
      <c r="E851" s="106"/>
      <c r="F851" s="106"/>
      <c r="G851" s="106"/>
      <c r="H851" s="106"/>
    </row>
    <row r="852">
      <c r="A852" s="80"/>
      <c r="B852" s="80"/>
      <c r="C852" s="106"/>
      <c r="D852" s="80"/>
      <c r="E852" s="106"/>
      <c r="F852" s="106"/>
      <c r="G852" s="106"/>
      <c r="H852" s="106"/>
    </row>
    <row r="853">
      <c r="A853" s="80"/>
      <c r="B853" s="80"/>
      <c r="C853" s="106"/>
      <c r="D853" s="80"/>
      <c r="E853" s="106"/>
      <c r="F853" s="106"/>
      <c r="G853" s="106"/>
      <c r="H853" s="106"/>
    </row>
    <row r="854">
      <c r="A854" s="80"/>
      <c r="B854" s="80"/>
      <c r="C854" s="106"/>
      <c r="D854" s="80"/>
      <c r="E854" s="106"/>
      <c r="F854" s="106"/>
      <c r="G854" s="106"/>
      <c r="H854" s="106"/>
    </row>
    <row r="855">
      <c r="A855" s="80"/>
      <c r="B855" s="80"/>
      <c r="C855" s="106"/>
      <c r="D855" s="80"/>
      <c r="E855" s="106"/>
      <c r="F855" s="106"/>
      <c r="G855" s="106"/>
      <c r="H855" s="106"/>
    </row>
    <row r="856">
      <c r="A856" s="80"/>
      <c r="B856" s="80"/>
      <c r="C856" s="106"/>
      <c r="D856" s="80"/>
      <c r="E856" s="106"/>
      <c r="F856" s="106"/>
      <c r="G856" s="106"/>
      <c r="H856" s="106"/>
    </row>
    <row r="857">
      <c r="A857" s="80"/>
      <c r="B857" s="80"/>
      <c r="C857" s="106"/>
      <c r="D857" s="80"/>
      <c r="E857" s="106"/>
      <c r="F857" s="106"/>
      <c r="G857" s="106"/>
      <c r="H857" s="106"/>
    </row>
    <row r="858">
      <c r="A858" s="80"/>
      <c r="B858" s="80"/>
      <c r="C858" s="106"/>
      <c r="D858" s="80"/>
      <c r="E858" s="106"/>
      <c r="F858" s="106"/>
      <c r="G858" s="106"/>
      <c r="H858" s="106"/>
    </row>
    <row r="859">
      <c r="A859" s="80"/>
      <c r="B859" s="80"/>
      <c r="C859" s="106"/>
      <c r="D859" s="80"/>
      <c r="E859" s="106"/>
      <c r="F859" s="106"/>
      <c r="G859" s="106"/>
      <c r="H859" s="106"/>
    </row>
    <row r="860">
      <c r="A860" s="80"/>
      <c r="B860" s="80"/>
      <c r="C860" s="106"/>
      <c r="D860" s="80"/>
      <c r="E860" s="106"/>
      <c r="F860" s="106"/>
      <c r="G860" s="106"/>
      <c r="H860" s="106"/>
    </row>
    <row r="861">
      <c r="A861" s="80"/>
      <c r="B861" s="80"/>
      <c r="C861" s="106"/>
      <c r="D861" s="80"/>
      <c r="E861" s="106"/>
      <c r="F861" s="106"/>
      <c r="G861" s="106"/>
      <c r="H861" s="106"/>
    </row>
    <row r="862">
      <c r="A862" s="80"/>
      <c r="B862" s="80"/>
      <c r="C862" s="106"/>
      <c r="D862" s="80"/>
      <c r="E862" s="106"/>
      <c r="F862" s="106"/>
      <c r="G862" s="106"/>
      <c r="H862" s="106"/>
    </row>
    <row r="863">
      <c r="A863" s="80"/>
      <c r="B863" s="80"/>
      <c r="C863" s="106"/>
      <c r="D863" s="80"/>
      <c r="E863" s="106"/>
      <c r="F863" s="106"/>
      <c r="G863" s="106"/>
      <c r="H863" s="106"/>
    </row>
    <row r="864">
      <c r="A864" s="80"/>
      <c r="B864" s="80"/>
      <c r="C864" s="106"/>
      <c r="D864" s="80"/>
      <c r="E864" s="106"/>
      <c r="F864" s="106"/>
      <c r="G864" s="106"/>
      <c r="H864" s="106"/>
    </row>
    <row r="865">
      <c r="A865" s="80"/>
      <c r="B865" s="80"/>
      <c r="C865" s="106"/>
      <c r="D865" s="80"/>
      <c r="E865" s="106"/>
      <c r="F865" s="106"/>
      <c r="G865" s="106"/>
      <c r="H865" s="106"/>
    </row>
    <row r="866">
      <c r="A866" s="80"/>
      <c r="B866" s="80"/>
      <c r="C866" s="106"/>
      <c r="D866" s="80"/>
      <c r="E866" s="106"/>
      <c r="F866" s="106"/>
      <c r="G866" s="106"/>
      <c r="H866" s="106"/>
    </row>
    <row r="867">
      <c r="A867" s="80"/>
      <c r="B867" s="80"/>
      <c r="C867" s="106"/>
      <c r="D867" s="80"/>
      <c r="E867" s="106"/>
      <c r="F867" s="106"/>
      <c r="G867" s="106"/>
      <c r="H867" s="106"/>
    </row>
    <row r="868">
      <c r="A868" s="80"/>
      <c r="B868" s="80"/>
      <c r="C868" s="106"/>
      <c r="D868" s="80"/>
      <c r="E868" s="106"/>
      <c r="F868" s="106"/>
      <c r="G868" s="106"/>
      <c r="H868" s="106"/>
    </row>
    <row r="869">
      <c r="A869" s="80"/>
      <c r="B869" s="80"/>
      <c r="C869" s="106"/>
      <c r="D869" s="80"/>
      <c r="E869" s="106"/>
      <c r="F869" s="106"/>
      <c r="G869" s="106"/>
      <c r="H869" s="106"/>
    </row>
    <row r="870">
      <c r="A870" s="80"/>
      <c r="B870" s="80"/>
      <c r="C870" s="106"/>
      <c r="D870" s="80"/>
      <c r="E870" s="106"/>
      <c r="F870" s="106"/>
      <c r="G870" s="106"/>
      <c r="H870" s="106"/>
    </row>
    <row r="871">
      <c r="A871" s="80"/>
      <c r="B871" s="80"/>
      <c r="C871" s="106"/>
      <c r="D871" s="80"/>
      <c r="E871" s="106"/>
      <c r="F871" s="106"/>
      <c r="G871" s="106"/>
      <c r="H871" s="106"/>
    </row>
    <row r="872">
      <c r="A872" s="80"/>
      <c r="B872" s="80"/>
      <c r="C872" s="106"/>
      <c r="D872" s="80"/>
      <c r="E872" s="106"/>
      <c r="F872" s="106"/>
      <c r="G872" s="106"/>
      <c r="H872" s="106"/>
    </row>
    <row r="873">
      <c r="A873" s="80"/>
      <c r="B873" s="80"/>
      <c r="C873" s="106"/>
      <c r="D873" s="80"/>
      <c r="E873" s="106"/>
      <c r="F873" s="106"/>
      <c r="G873" s="106"/>
      <c r="H873" s="106"/>
    </row>
    <row r="874">
      <c r="A874" s="80"/>
      <c r="B874" s="80"/>
      <c r="C874" s="106"/>
      <c r="D874" s="80"/>
      <c r="E874" s="106"/>
      <c r="F874" s="106"/>
      <c r="G874" s="106"/>
      <c r="H874" s="106"/>
    </row>
    <row r="875">
      <c r="A875" s="80"/>
      <c r="B875" s="80"/>
      <c r="C875" s="106"/>
      <c r="D875" s="80"/>
      <c r="E875" s="106"/>
      <c r="F875" s="106"/>
      <c r="G875" s="106"/>
      <c r="H875" s="106"/>
    </row>
    <row r="876">
      <c r="A876" s="80"/>
      <c r="B876" s="80"/>
      <c r="C876" s="106"/>
      <c r="D876" s="80"/>
      <c r="E876" s="106"/>
      <c r="F876" s="106"/>
      <c r="G876" s="106"/>
      <c r="H876" s="106"/>
    </row>
    <row r="877">
      <c r="A877" s="80"/>
      <c r="B877" s="80"/>
      <c r="C877" s="106"/>
      <c r="D877" s="80"/>
      <c r="E877" s="106"/>
      <c r="F877" s="106"/>
      <c r="G877" s="106"/>
      <c r="H877" s="106"/>
    </row>
    <row r="878">
      <c r="A878" s="80"/>
      <c r="B878" s="80"/>
      <c r="C878" s="106"/>
      <c r="D878" s="80"/>
      <c r="E878" s="106"/>
      <c r="F878" s="106"/>
      <c r="G878" s="106"/>
      <c r="H878" s="106"/>
    </row>
    <row r="879">
      <c r="A879" s="80"/>
      <c r="B879" s="80"/>
      <c r="C879" s="106"/>
      <c r="D879" s="80"/>
      <c r="E879" s="106"/>
      <c r="F879" s="106"/>
      <c r="G879" s="106"/>
      <c r="H879" s="106"/>
    </row>
    <row r="880">
      <c r="A880" s="80"/>
      <c r="B880" s="80"/>
      <c r="C880" s="106"/>
      <c r="D880" s="80"/>
      <c r="E880" s="106"/>
      <c r="F880" s="106"/>
      <c r="G880" s="106"/>
      <c r="H880" s="106"/>
    </row>
    <row r="881">
      <c r="A881" s="80"/>
      <c r="B881" s="80"/>
      <c r="C881" s="106"/>
      <c r="D881" s="80"/>
      <c r="E881" s="106"/>
      <c r="F881" s="106"/>
      <c r="G881" s="106"/>
      <c r="H881" s="106"/>
    </row>
    <row r="882">
      <c r="A882" s="80"/>
      <c r="B882" s="80"/>
      <c r="C882" s="106"/>
      <c r="D882" s="80"/>
      <c r="E882" s="106"/>
      <c r="F882" s="106"/>
      <c r="G882" s="106"/>
      <c r="H882" s="106"/>
    </row>
    <row r="883">
      <c r="A883" s="80"/>
      <c r="B883" s="80"/>
      <c r="C883" s="106"/>
      <c r="D883" s="80"/>
      <c r="E883" s="106"/>
      <c r="F883" s="106"/>
      <c r="G883" s="106"/>
      <c r="H883" s="106"/>
    </row>
    <row r="884">
      <c r="A884" s="80"/>
      <c r="B884" s="80"/>
      <c r="C884" s="106"/>
      <c r="D884" s="80"/>
      <c r="E884" s="106"/>
      <c r="F884" s="106"/>
      <c r="G884" s="106"/>
      <c r="H884" s="106"/>
    </row>
    <row r="885">
      <c r="A885" s="80"/>
      <c r="B885" s="80"/>
      <c r="C885" s="106"/>
      <c r="D885" s="80"/>
      <c r="E885" s="106"/>
      <c r="F885" s="106"/>
      <c r="G885" s="106"/>
      <c r="H885" s="106"/>
    </row>
    <row r="886">
      <c r="A886" s="80"/>
      <c r="B886" s="80"/>
      <c r="C886" s="106"/>
      <c r="D886" s="80"/>
      <c r="E886" s="106"/>
      <c r="F886" s="106"/>
      <c r="G886" s="106"/>
      <c r="H886" s="106"/>
    </row>
    <row r="887">
      <c r="A887" s="80"/>
      <c r="B887" s="80"/>
      <c r="C887" s="106"/>
      <c r="D887" s="80"/>
      <c r="E887" s="106"/>
      <c r="F887" s="106"/>
      <c r="G887" s="106"/>
      <c r="H887" s="106"/>
    </row>
    <row r="888">
      <c r="A888" s="80"/>
      <c r="B888" s="80"/>
      <c r="C888" s="106"/>
      <c r="D888" s="80"/>
      <c r="E888" s="106"/>
      <c r="F888" s="106"/>
      <c r="G888" s="106"/>
      <c r="H888" s="106"/>
    </row>
    <row r="889">
      <c r="A889" s="80"/>
      <c r="B889" s="80"/>
      <c r="C889" s="106"/>
      <c r="D889" s="80"/>
      <c r="E889" s="106"/>
      <c r="F889" s="106"/>
      <c r="G889" s="106"/>
      <c r="H889" s="106"/>
    </row>
    <row r="890">
      <c r="A890" s="80"/>
      <c r="B890" s="80"/>
      <c r="C890" s="106"/>
      <c r="D890" s="80"/>
      <c r="E890" s="106"/>
      <c r="F890" s="106"/>
      <c r="G890" s="106"/>
      <c r="H890" s="106"/>
    </row>
    <row r="891">
      <c r="A891" s="80"/>
      <c r="B891" s="80"/>
      <c r="C891" s="106"/>
      <c r="D891" s="80"/>
      <c r="E891" s="106"/>
      <c r="F891" s="106"/>
      <c r="G891" s="106"/>
      <c r="H891" s="106"/>
    </row>
    <row r="892">
      <c r="A892" s="80"/>
      <c r="B892" s="80"/>
      <c r="C892" s="106"/>
      <c r="D892" s="80"/>
      <c r="E892" s="106"/>
      <c r="F892" s="106"/>
      <c r="G892" s="106"/>
      <c r="H892" s="106"/>
    </row>
    <row r="893">
      <c r="A893" s="80"/>
      <c r="B893" s="80"/>
      <c r="C893" s="106"/>
      <c r="D893" s="80"/>
      <c r="E893" s="106"/>
      <c r="F893" s="106"/>
      <c r="G893" s="106"/>
      <c r="H893" s="106"/>
    </row>
    <row r="894">
      <c r="A894" s="80"/>
      <c r="B894" s="80"/>
      <c r="C894" s="106"/>
      <c r="D894" s="80"/>
      <c r="E894" s="106"/>
      <c r="F894" s="106"/>
      <c r="G894" s="106"/>
      <c r="H894" s="106"/>
    </row>
    <row r="895">
      <c r="A895" s="80"/>
      <c r="B895" s="80"/>
      <c r="C895" s="106"/>
      <c r="D895" s="80"/>
      <c r="E895" s="106"/>
      <c r="F895" s="106"/>
      <c r="G895" s="106"/>
      <c r="H895" s="106"/>
    </row>
    <row r="896">
      <c r="A896" s="80"/>
      <c r="B896" s="80"/>
      <c r="C896" s="106"/>
      <c r="D896" s="80"/>
      <c r="E896" s="106"/>
      <c r="F896" s="106"/>
      <c r="G896" s="106"/>
      <c r="H896" s="106"/>
    </row>
    <row r="897">
      <c r="A897" s="80"/>
      <c r="B897" s="80"/>
      <c r="C897" s="106"/>
      <c r="D897" s="80"/>
      <c r="E897" s="106"/>
      <c r="F897" s="106"/>
      <c r="G897" s="106"/>
      <c r="H897" s="106"/>
    </row>
    <row r="898">
      <c r="A898" s="80"/>
      <c r="B898" s="80"/>
      <c r="C898" s="106"/>
      <c r="D898" s="80"/>
      <c r="E898" s="106"/>
      <c r="F898" s="106"/>
      <c r="G898" s="106"/>
      <c r="H898" s="106"/>
    </row>
    <row r="899">
      <c r="A899" s="80"/>
      <c r="B899" s="80"/>
      <c r="C899" s="106"/>
      <c r="D899" s="80"/>
      <c r="E899" s="106"/>
      <c r="F899" s="106"/>
      <c r="G899" s="106"/>
      <c r="H899" s="106"/>
    </row>
    <row r="900">
      <c r="A900" s="80"/>
      <c r="B900" s="80"/>
      <c r="C900" s="106"/>
      <c r="D900" s="80"/>
      <c r="E900" s="106"/>
      <c r="F900" s="106"/>
      <c r="G900" s="106"/>
      <c r="H900" s="106"/>
    </row>
    <row r="901">
      <c r="A901" s="80"/>
      <c r="B901" s="80"/>
      <c r="C901" s="106"/>
      <c r="D901" s="80"/>
      <c r="E901" s="106"/>
      <c r="F901" s="106"/>
      <c r="G901" s="106"/>
      <c r="H901" s="106"/>
    </row>
    <row r="902">
      <c r="A902" s="80"/>
      <c r="B902" s="80"/>
      <c r="C902" s="106"/>
      <c r="D902" s="80"/>
      <c r="E902" s="106"/>
      <c r="F902" s="106"/>
      <c r="G902" s="106"/>
      <c r="H902" s="106"/>
    </row>
    <row r="903">
      <c r="A903" s="80"/>
      <c r="B903" s="80"/>
      <c r="C903" s="106"/>
      <c r="D903" s="80"/>
      <c r="E903" s="106"/>
      <c r="F903" s="106"/>
      <c r="G903" s="106"/>
      <c r="H903" s="106"/>
    </row>
    <row r="904">
      <c r="A904" s="80"/>
      <c r="B904" s="80"/>
      <c r="C904" s="106"/>
      <c r="D904" s="80"/>
      <c r="E904" s="106"/>
      <c r="F904" s="106"/>
      <c r="G904" s="106"/>
      <c r="H904" s="106"/>
    </row>
    <row r="905">
      <c r="A905" s="80"/>
      <c r="B905" s="80"/>
      <c r="C905" s="106"/>
      <c r="D905" s="80"/>
      <c r="E905" s="106"/>
      <c r="F905" s="106"/>
      <c r="G905" s="106"/>
      <c r="H905" s="106"/>
    </row>
    <row r="906">
      <c r="A906" s="80"/>
      <c r="B906" s="80"/>
      <c r="C906" s="106"/>
      <c r="D906" s="80"/>
      <c r="E906" s="106"/>
      <c r="F906" s="106"/>
      <c r="G906" s="106"/>
      <c r="H906" s="106"/>
    </row>
    <row r="907">
      <c r="A907" s="80"/>
      <c r="B907" s="80"/>
      <c r="C907" s="106"/>
      <c r="D907" s="80"/>
      <c r="E907" s="106"/>
      <c r="F907" s="106"/>
      <c r="G907" s="106"/>
      <c r="H907" s="106"/>
    </row>
    <row r="908">
      <c r="A908" s="80"/>
      <c r="B908" s="80"/>
      <c r="C908" s="106"/>
      <c r="D908" s="80"/>
      <c r="E908" s="106"/>
      <c r="F908" s="106"/>
      <c r="G908" s="106"/>
      <c r="H908" s="106"/>
    </row>
    <row r="909">
      <c r="A909" s="80"/>
      <c r="B909" s="80"/>
      <c r="C909" s="106"/>
      <c r="D909" s="80"/>
      <c r="E909" s="106"/>
      <c r="F909" s="106"/>
      <c r="G909" s="106"/>
      <c r="H909" s="106"/>
    </row>
    <row r="910">
      <c r="A910" s="80"/>
      <c r="B910" s="80"/>
      <c r="C910" s="106"/>
      <c r="D910" s="80"/>
      <c r="E910" s="106"/>
      <c r="F910" s="106"/>
      <c r="G910" s="106"/>
      <c r="H910" s="106"/>
    </row>
    <row r="911">
      <c r="A911" s="80"/>
      <c r="B911" s="80"/>
      <c r="C911" s="106"/>
      <c r="D911" s="80"/>
      <c r="E911" s="106"/>
      <c r="F911" s="106"/>
      <c r="G911" s="106"/>
      <c r="H911" s="106"/>
    </row>
    <row r="912">
      <c r="A912" s="80"/>
      <c r="B912" s="80"/>
      <c r="C912" s="106"/>
      <c r="D912" s="80"/>
      <c r="E912" s="106"/>
      <c r="F912" s="106"/>
      <c r="G912" s="106"/>
      <c r="H912" s="106"/>
    </row>
    <row r="913">
      <c r="A913" s="80"/>
      <c r="B913" s="80"/>
      <c r="C913" s="106"/>
      <c r="D913" s="80"/>
      <c r="E913" s="106"/>
      <c r="F913" s="106"/>
      <c r="G913" s="106"/>
      <c r="H913" s="106"/>
    </row>
    <row r="914">
      <c r="A914" s="80"/>
      <c r="B914" s="80"/>
      <c r="C914" s="106"/>
      <c r="D914" s="80"/>
      <c r="E914" s="106"/>
      <c r="F914" s="106"/>
      <c r="G914" s="106"/>
      <c r="H914" s="106"/>
    </row>
    <row r="915">
      <c r="A915" s="80"/>
      <c r="B915" s="80"/>
      <c r="C915" s="106"/>
      <c r="D915" s="80"/>
      <c r="E915" s="106"/>
      <c r="F915" s="106"/>
      <c r="G915" s="106"/>
      <c r="H915" s="106"/>
    </row>
    <row r="916">
      <c r="A916" s="80"/>
      <c r="B916" s="80"/>
      <c r="C916" s="106"/>
      <c r="D916" s="80"/>
      <c r="E916" s="106"/>
      <c r="F916" s="106"/>
      <c r="G916" s="106"/>
      <c r="H916" s="106"/>
    </row>
    <row r="917">
      <c r="A917" s="80"/>
      <c r="B917" s="80"/>
      <c r="C917" s="106"/>
      <c r="D917" s="80"/>
      <c r="E917" s="106"/>
      <c r="F917" s="106"/>
      <c r="G917" s="106"/>
      <c r="H917" s="106"/>
    </row>
    <row r="918">
      <c r="A918" s="80"/>
      <c r="B918" s="80"/>
      <c r="C918" s="106"/>
      <c r="D918" s="80"/>
      <c r="E918" s="106"/>
      <c r="F918" s="106"/>
      <c r="G918" s="106"/>
      <c r="H918" s="106"/>
    </row>
    <row r="919">
      <c r="A919" s="80"/>
      <c r="B919" s="80"/>
      <c r="C919" s="106"/>
      <c r="D919" s="80"/>
      <c r="E919" s="106"/>
      <c r="F919" s="106"/>
      <c r="G919" s="106"/>
      <c r="H919" s="106"/>
    </row>
    <row r="920">
      <c r="A920" s="80"/>
      <c r="B920" s="80"/>
      <c r="C920" s="106"/>
      <c r="D920" s="80"/>
      <c r="E920" s="106"/>
      <c r="F920" s="106"/>
      <c r="G920" s="106"/>
      <c r="H920" s="106"/>
    </row>
    <row r="921">
      <c r="A921" s="80"/>
      <c r="B921" s="80"/>
      <c r="C921" s="106"/>
      <c r="D921" s="80"/>
      <c r="E921" s="106"/>
      <c r="F921" s="106"/>
      <c r="G921" s="106"/>
      <c r="H921" s="106"/>
    </row>
    <row r="922">
      <c r="A922" s="80"/>
      <c r="B922" s="80"/>
      <c r="C922" s="106"/>
      <c r="D922" s="80"/>
      <c r="E922" s="106"/>
      <c r="F922" s="106"/>
      <c r="G922" s="106"/>
      <c r="H922" s="106"/>
    </row>
    <row r="923">
      <c r="A923" s="80"/>
      <c r="B923" s="80"/>
      <c r="C923" s="106"/>
      <c r="D923" s="80"/>
      <c r="E923" s="106"/>
      <c r="F923" s="106"/>
      <c r="G923" s="106"/>
      <c r="H923" s="106"/>
    </row>
    <row r="924">
      <c r="A924" s="80"/>
      <c r="B924" s="80"/>
      <c r="C924" s="106"/>
      <c r="D924" s="80"/>
      <c r="E924" s="106"/>
      <c r="F924" s="106"/>
      <c r="G924" s="106"/>
      <c r="H924" s="106"/>
    </row>
    <row r="925">
      <c r="A925" s="80"/>
      <c r="B925" s="80"/>
      <c r="C925" s="106"/>
      <c r="D925" s="80"/>
      <c r="E925" s="106"/>
      <c r="F925" s="106"/>
      <c r="G925" s="106"/>
      <c r="H925" s="106"/>
    </row>
    <row r="926">
      <c r="A926" s="80"/>
      <c r="B926" s="80"/>
      <c r="C926" s="106"/>
      <c r="D926" s="80"/>
      <c r="E926" s="106"/>
      <c r="F926" s="106"/>
      <c r="G926" s="106"/>
      <c r="H926" s="106"/>
    </row>
    <row r="927">
      <c r="A927" s="80"/>
      <c r="B927" s="80"/>
      <c r="C927" s="106"/>
      <c r="D927" s="80"/>
      <c r="E927" s="106"/>
      <c r="F927" s="106"/>
      <c r="G927" s="106"/>
      <c r="H927" s="106"/>
    </row>
    <row r="928">
      <c r="A928" s="80"/>
      <c r="B928" s="80"/>
      <c r="C928" s="106"/>
      <c r="D928" s="80"/>
      <c r="E928" s="106"/>
      <c r="F928" s="106"/>
      <c r="G928" s="106"/>
      <c r="H928" s="106"/>
    </row>
    <row r="929">
      <c r="A929" s="80"/>
      <c r="B929" s="80"/>
      <c r="C929" s="106"/>
      <c r="D929" s="80"/>
      <c r="E929" s="106"/>
      <c r="F929" s="106"/>
      <c r="G929" s="106"/>
      <c r="H929" s="106"/>
    </row>
    <row r="930">
      <c r="A930" s="80"/>
      <c r="B930" s="80"/>
      <c r="C930" s="106"/>
      <c r="D930" s="80"/>
      <c r="E930" s="106"/>
      <c r="F930" s="106"/>
      <c r="G930" s="106"/>
      <c r="H930" s="106"/>
    </row>
    <row r="931">
      <c r="A931" s="80"/>
      <c r="B931" s="80"/>
      <c r="C931" s="106"/>
      <c r="D931" s="80"/>
      <c r="E931" s="106"/>
      <c r="F931" s="106"/>
      <c r="G931" s="106"/>
      <c r="H931" s="106"/>
    </row>
    <row r="932">
      <c r="A932" s="80"/>
      <c r="B932" s="80"/>
      <c r="C932" s="106"/>
      <c r="D932" s="80"/>
      <c r="E932" s="106"/>
      <c r="F932" s="106"/>
      <c r="G932" s="106"/>
      <c r="H932" s="106"/>
    </row>
    <row r="933">
      <c r="A933" s="80"/>
      <c r="B933" s="80"/>
      <c r="C933" s="106"/>
      <c r="D933" s="80"/>
      <c r="E933" s="106"/>
      <c r="F933" s="106"/>
      <c r="G933" s="106"/>
      <c r="H933" s="106"/>
    </row>
    <row r="934">
      <c r="A934" s="80"/>
      <c r="B934" s="80"/>
      <c r="C934" s="106"/>
      <c r="D934" s="80"/>
      <c r="E934" s="106"/>
      <c r="F934" s="106"/>
      <c r="G934" s="106"/>
      <c r="H934" s="106"/>
    </row>
    <row r="935">
      <c r="A935" s="80"/>
      <c r="B935" s="80"/>
      <c r="C935" s="106"/>
      <c r="D935" s="80"/>
      <c r="E935" s="106"/>
      <c r="F935" s="106"/>
      <c r="G935" s="106"/>
      <c r="H935" s="106"/>
    </row>
    <row r="936">
      <c r="A936" s="80"/>
      <c r="B936" s="80"/>
      <c r="C936" s="106"/>
      <c r="D936" s="80"/>
      <c r="E936" s="106"/>
      <c r="F936" s="106"/>
      <c r="G936" s="106"/>
      <c r="H936" s="106"/>
    </row>
    <row r="937">
      <c r="A937" s="80"/>
      <c r="B937" s="80"/>
      <c r="C937" s="106"/>
      <c r="D937" s="80"/>
      <c r="E937" s="106"/>
      <c r="F937" s="106"/>
      <c r="G937" s="106"/>
      <c r="H937" s="106"/>
    </row>
    <row r="938">
      <c r="A938" s="80"/>
      <c r="B938" s="80"/>
      <c r="C938" s="106"/>
      <c r="D938" s="80"/>
      <c r="E938" s="106"/>
      <c r="F938" s="106"/>
      <c r="G938" s="106"/>
      <c r="H938" s="106"/>
    </row>
    <row r="939">
      <c r="A939" s="80"/>
      <c r="B939" s="80"/>
      <c r="C939" s="106"/>
      <c r="D939" s="80"/>
      <c r="E939" s="106"/>
      <c r="F939" s="106"/>
      <c r="G939" s="106"/>
      <c r="H939" s="106"/>
    </row>
    <row r="940">
      <c r="A940" s="80"/>
      <c r="B940" s="80"/>
      <c r="C940" s="106"/>
      <c r="D940" s="80"/>
      <c r="E940" s="106"/>
      <c r="F940" s="106"/>
      <c r="G940" s="106"/>
      <c r="H940" s="106"/>
    </row>
    <row r="941">
      <c r="A941" s="80"/>
      <c r="B941" s="80"/>
      <c r="C941" s="106"/>
      <c r="D941" s="80"/>
      <c r="E941" s="106"/>
      <c r="F941" s="106"/>
      <c r="G941" s="106"/>
      <c r="H941" s="106"/>
    </row>
    <row r="942">
      <c r="A942" s="80"/>
      <c r="B942" s="80"/>
      <c r="C942" s="106"/>
      <c r="D942" s="80"/>
      <c r="E942" s="106"/>
      <c r="F942" s="106"/>
      <c r="G942" s="106"/>
      <c r="H942" s="106"/>
    </row>
    <row r="943">
      <c r="A943" s="80"/>
      <c r="B943" s="80"/>
      <c r="C943" s="106"/>
      <c r="D943" s="80"/>
      <c r="E943" s="106"/>
      <c r="F943" s="106"/>
      <c r="G943" s="106"/>
      <c r="H943" s="106"/>
    </row>
    <row r="944">
      <c r="A944" s="80"/>
      <c r="B944" s="80"/>
      <c r="C944" s="106"/>
      <c r="D944" s="80"/>
      <c r="E944" s="106"/>
      <c r="F944" s="106"/>
      <c r="G944" s="106"/>
      <c r="H944" s="106"/>
    </row>
    <row r="945">
      <c r="A945" s="80"/>
      <c r="B945" s="80"/>
      <c r="C945" s="106"/>
      <c r="D945" s="80"/>
      <c r="E945" s="106"/>
      <c r="F945" s="106"/>
      <c r="G945" s="106"/>
      <c r="H945" s="106"/>
    </row>
    <row r="946">
      <c r="A946" s="80"/>
      <c r="B946" s="80"/>
      <c r="C946" s="106"/>
      <c r="D946" s="80"/>
      <c r="E946" s="106"/>
      <c r="F946" s="106"/>
      <c r="G946" s="106"/>
      <c r="H946" s="106"/>
    </row>
    <row r="947">
      <c r="A947" s="80"/>
      <c r="B947" s="80"/>
      <c r="C947" s="106"/>
      <c r="D947" s="80"/>
      <c r="E947" s="106"/>
      <c r="F947" s="106"/>
      <c r="G947" s="106"/>
      <c r="H947" s="106"/>
    </row>
    <row r="948">
      <c r="A948" s="80"/>
      <c r="B948" s="80"/>
      <c r="C948" s="106"/>
      <c r="D948" s="80"/>
      <c r="E948" s="106"/>
      <c r="F948" s="106"/>
      <c r="G948" s="106"/>
      <c r="H948" s="106"/>
    </row>
    <row r="949">
      <c r="A949" s="80"/>
      <c r="B949" s="80"/>
      <c r="C949" s="106"/>
      <c r="D949" s="80"/>
      <c r="E949" s="106"/>
      <c r="F949" s="106"/>
      <c r="G949" s="106"/>
      <c r="H949" s="106"/>
    </row>
    <row r="950">
      <c r="A950" s="80"/>
      <c r="B950" s="80"/>
      <c r="C950" s="106"/>
      <c r="D950" s="80"/>
      <c r="E950" s="106"/>
      <c r="F950" s="106"/>
      <c r="G950" s="106"/>
      <c r="H950" s="106"/>
    </row>
    <row r="951">
      <c r="A951" s="80"/>
      <c r="B951" s="80"/>
      <c r="C951" s="106"/>
      <c r="D951" s="80"/>
      <c r="E951" s="106"/>
      <c r="F951" s="106"/>
      <c r="G951" s="106"/>
      <c r="H951" s="106"/>
    </row>
    <row r="952">
      <c r="A952" s="80"/>
      <c r="B952" s="80"/>
      <c r="C952" s="106"/>
      <c r="D952" s="80"/>
      <c r="E952" s="106"/>
      <c r="F952" s="106"/>
      <c r="G952" s="106"/>
      <c r="H952" s="106"/>
    </row>
    <row r="953">
      <c r="A953" s="80"/>
      <c r="B953" s="80"/>
      <c r="C953" s="106"/>
      <c r="D953" s="80"/>
      <c r="E953" s="106"/>
      <c r="F953" s="106"/>
      <c r="G953" s="106"/>
      <c r="H953" s="106"/>
    </row>
    <row r="954">
      <c r="A954" s="80"/>
      <c r="B954" s="80"/>
      <c r="C954" s="106"/>
      <c r="D954" s="80"/>
      <c r="E954" s="106"/>
      <c r="F954" s="106"/>
      <c r="G954" s="106"/>
      <c r="H954" s="106"/>
    </row>
    <row r="955">
      <c r="A955" s="80"/>
      <c r="B955" s="80"/>
      <c r="C955" s="106"/>
      <c r="D955" s="80"/>
      <c r="E955" s="106"/>
      <c r="F955" s="106"/>
      <c r="G955" s="106"/>
      <c r="H955" s="106"/>
    </row>
    <row r="956">
      <c r="A956" s="80"/>
      <c r="B956" s="80"/>
      <c r="C956" s="106"/>
      <c r="D956" s="80"/>
      <c r="E956" s="106"/>
      <c r="F956" s="106"/>
      <c r="G956" s="106"/>
      <c r="H956" s="106"/>
    </row>
    <row r="957">
      <c r="A957" s="80"/>
      <c r="B957" s="80"/>
      <c r="C957" s="106"/>
      <c r="D957" s="80"/>
      <c r="E957" s="106"/>
      <c r="F957" s="106"/>
      <c r="G957" s="106"/>
      <c r="H957" s="106"/>
    </row>
    <row r="958">
      <c r="A958" s="80"/>
      <c r="B958" s="80"/>
      <c r="C958" s="106"/>
      <c r="D958" s="80"/>
      <c r="E958" s="106"/>
      <c r="F958" s="106"/>
      <c r="G958" s="106"/>
      <c r="H958" s="106"/>
    </row>
    <row r="959">
      <c r="A959" s="80"/>
      <c r="B959" s="80"/>
      <c r="C959" s="106"/>
      <c r="D959" s="80"/>
      <c r="E959" s="106"/>
      <c r="F959" s="106"/>
      <c r="G959" s="106"/>
      <c r="H959" s="106"/>
    </row>
    <row r="960">
      <c r="A960" s="80"/>
      <c r="B960" s="80"/>
      <c r="C960" s="106"/>
      <c r="D960" s="80"/>
      <c r="E960" s="106"/>
      <c r="F960" s="106"/>
      <c r="G960" s="106"/>
      <c r="H960" s="106"/>
    </row>
    <row r="961">
      <c r="A961" s="80"/>
      <c r="B961" s="80"/>
      <c r="C961" s="106"/>
      <c r="D961" s="80"/>
      <c r="E961" s="106"/>
      <c r="F961" s="106"/>
      <c r="G961" s="106"/>
      <c r="H961" s="106"/>
    </row>
    <row r="962">
      <c r="A962" s="80"/>
      <c r="B962" s="80"/>
      <c r="C962" s="106"/>
      <c r="D962" s="80"/>
      <c r="E962" s="106"/>
      <c r="F962" s="106"/>
      <c r="G962" s="106"/>
      <c r="H962" s="106"/>
    </row>
    <row r="963">
      <c r="A963" s="80"/>
      <c r="B963" s="80"/>
      <c r="C963" s="106"/>
      <c r="D963" s="80"/>
      <c r="E963" s="106"/>
      <c r="F963" s="106"/>
      <c r="G963" s="106"/>
      <c r="H963" s="106"/>
    </row>
    <row r="964">
      <c r="A964" s="80"/>
      <c r="B964" s="80"/>
      <c r="C964" s="106"/>
      <c r="D964" s="80"/>
      <c r="E964" s="106"/>
      <c r="F964" s="106"/>
      <c r="G964" s="106"/>
      <c r="H964" s="106"/>
    </row>
    <row r="965">
      <c r="A965" s="80"/>
      <c r="B965" s="80"/>
      <c r="C965" s="106"/>
      <c r="D965" s="80"/>
      <c r="E965" s="106"/>
      <c r="F965" s="106"/>
      <c r="G965" s="106"/>
      <c r="H965" s="106"/>
    </row>
    <row r="966">
      <c r="A966" s="80"/>
      <c r="B966" s="80"/>
      <c r="C966" s="106"/>
      <c r="D966" s="80"/>
      <c r="E966" s="106"/>
      <c r="F966" s="106"/>
      <c r="G966" s="106"/>
      <c r="H966" s="106"/>
    </row>
    <row r="967">
      <c r="A967" s="80"/>
      <c r="B967" s="80"/>
      <c r="C967" s="106"/>
      <c r="D967" s="80"/>
      <c r="E967" s="106"/>
      <c r="F967" s="106"/>
      <c r="G967" s="106"/>
      <c r="H967" s="106"/>
    </row>
    <row r="968">
      <c r="A968" s="80"/>
      <c r="B968" s="80"/>
      <c r="C968" s="106"/>
      <c r="D968" s="80"/>
      <c r="E968" s="106"/>
      <c r="F968" s="106"/>
      <c r="G968" s="106"/>
      <c r="H968" s="106"/>
    </row>
    <row r="969">
      <c r="A969" s="80"/>
      <c r="B969" s="80"/>
      <c r="C969" s="106"/>
      <c r="D969" s="80"/>
      <c r="E969" s="106"/>
      <c r="F969" s="106"/>
      <c r="G969" s="106"/>
      <c r="H969" s="106"/>
    </row>
    <row r="970">
      <c r="A970" s="80"/>
      <c r="B970" s="80"/>
      <c r="C970" s="106"/>
      <c r="D970" s="80"/>
      <c r="E970" s="106"/>
      <c r="F970" s="106"/>
      <c r="G970" s="106"/>
      <c r="H970" s="106"/>
    </row>
    <row r="971">
      <c r="A971" s="80"/>
      <c r="B971" s="80"/>
      <c r="C971" s="106"/>
      <c r="D971" s="80"/>
      <c r="E971" s="106"/>
      <c r="F971" s="106"/>
      <c r="G971" s="106"/>
      <c r="H971" s="106"/>
    </row>
    <row r="972">
      <c r="A972" s="80"/>
      <c r="B972" s="80"/>
      <c r="C972" s="106"/>
      <c r="D972" s="80"/>
      <c r="E972" s="106"/>
      <c r="F972" s="106"/>
      <c r="G972" s="106"/>
      <c r="H972" s="106"/>
    </row>
    <row r="973">
      <c r="A973" s="80"/>
      <c r="B973" s="80"/>
      <c r="C973" s="106"/>
      <c r="D973" s="80"/>
      <c r="E973" s="106"/>
      <c r="F973" s="106"/>
      <c r="G973" s="106"/>
      <c r="H973" s="106"/>
    </row>
    <row r="974">
      <c r="A974" s="80"/>
      <c r="B974" s="80"/>
      <c r="C974" s="106"/>
      <c r="D974" s="80"/>
      <c r="E974" s="106"/>
      <c r="F974" s="106"/>
      <c r="G974" s="106"/>
      <c r="H974" s="106"/>
    </row>
    <row r="975">
      <c r="A975" s="80"/>
      <c r="B975" s="80"/>
      <c r="C975" s="106"/>
      <c r="D975" s="80"/>
      <c r="E975" s="106"/>
      <c r="F975" s="106"/>
      <c r="G975" s="106"/>
      <c r="H975" s="106"/>
    </row>
    <row r="976">
      <c r="A976" s="80"/>
      <c r="B976" s="80"/>
      <c r="C976" s="106"/>
      <c r="D976" s="80"/>
      <c r="E976" s="106"/>
      <c r="F976" s="106"/>
      <c r="G976" s="106"/>
      <c r="H976" s="106"/>
    </row>
    <row r="977">
      <c r="A977" s="80"/>
      <c r="B977" s="80"/>
      <c r="C977" s="106"/>
      <c r="D977" s="80"/>
      <c r="E977" s="106"/>
      <c r="F977" s="106"/>
      <c r="G977" s="106"/>
      <c r="H977" s="106"/>
    </row>
    <row r="978">
      <c r="A978" s="80"/>
      <c r="B978" s="80"/>
      <c r="C978" s="106"/>
      <c r="D978" s="80"/>
      <c r="E978" s="106"/>
      <c r="F978" s="106"/>
      <c r="G978" s="106"/>
      <c r="H978" s="106"/>
    </row>
    <row r="979">
      <c r="A979" s="80"/>
      <c r="B979" s="80"/>
      <c r="C979" s="106"/>
      <c r="D979" s="80"/>
      <c r="E979" s="106"/>
      <c r="F979" s="106"/>
      <c r="G979" s="106"/>
      <c r="H979" s="106"/>
    </row>
    <row r="980">
      <c r="A980" s="80"/>
      <c r="B980" s="80"/>
      <c r="C980" s="106"/>
      <c r="D980" s="80"/>
      <c r="E980" s="106"/>
      <c r="F980" s="106"/>
      <c r="G980" s="106"/>
      <c r="H980" s="106"/>
    </row>
    <row r="981">
      <c r="A981" s="80"/>
      <c r="B981" s="80"/>
      <c r="C981" s="106"/>
      <c r="D981" s="80"/>
      <c r="E981" s="106"/>
      <c r="F981" s="106"/>
      <c r="G981" s="106"/>
      <c r="H981" s="106"/>
    </row>
    <row r="982">
      <c r="A982" s="80"/>
      <c r="B982" s="80"/>
      <c r="C982" s="106"/>
      <c r="D982" s="80"/>
      <c r="E982" s="106"/>
      <c r="F982" s="106"/>
      <c r="G982" s="106"/>
      <c r="H982" s="106"/>
    </row>
    <row r="983">
      <c r="A983" s="80"/>
      <c r="B983" s="80"/>
      <c r="C983" s="106"/>
      <c r="D983" s="80"/>
      <c r="E983" s="106"/>
      <c r="F983" s="106"/>
      <c r="G983" s="106"/>
      <c r="H983" s="106"/>
    </row>
    <row r="984">
      <c r="A984" s="80"/>
      <c r="B984" s="80"/>
      <c r="C984" s="106"/>
      <c r="D984" s="80"/>
      <c r="E984" s="106"/>
      <c r="F984" s="106"/>
      <c r="G984" s="106"/>
      <c r="H984" s="106"/>
    </row>
    <row r="985">
      <c r="A985" s="80"/>
      <c r="B985" s="80"/>
      <c r="C985" s="106"/>
      <c r="D985" s="80"/>
      <c r="E985" s="106"/>
      <c r="F985" s="106"/>
      <c r="G985" s="106"/>
      <c r="H985" s="106"/>
    </row>
    <row r="986">
      <c r="A986" s="80"/>
      <c r="B986" s="80"/>
      <c r="C986" s="106"/>
      <c r="D986" s="80"/>
      <c r="E986" s="106"/>
      <c r="F986" s="106"/>
      <c r="G986" s="106"/>
      <c r="H986" s="106"/>
    </row>
    <row r="987">
      <c r="A987" s="80"/>
      <c r="B987" s="80"/>
      <c r="C987" s="106"/>
      <c r="D987" s="80"/>
      <c r="E987" s="106"/>
      <c r="F987" s="106"/>
      <c r="G987" s="106"/>
      <c r="H987" s="106"/>
    </row>
    <row r="988">
      <c r="A988" s="80"/>
      <c r="B988" s="80"/>
      <c r="C988" s="106"/>
      <c r="D988" s="80"/>
      <c r="E988" s="106"/>
      <c r="F988" s="106"/>
      <c r="G988" s="106"/>
      <c r="H988" s="106"/>
    </row>
    <row r="989">
      <c r="A989" s="80"/>
      <c r="B989" s="80"/>
      <c r="C989" s="106"/>
      <c r="D989" s="80"/>
      <c r="E989" s="106"/>
      <c r="F989" s="106"/>
      <c r="G989" s="106"/>
      <c r="H989" s="106"/>
    </row>
    <row r="990">
      <c r="A990" s="80"/>
      <c r="B990" s="80"/>
      <c r="C990" s="106"/>
      <c r="D990" s="80"/>
      <c r="E990" s="106"/>
      <c r="F990" s="106"/>
      <c r="G990" s="106"/>
      <c r="H990" s="106"/>
    </row>
    <row r="991">
      <c r="A991" s="80"/>
      <c r="B991" s="80"/>
      <c r="C991" s="106"/>
      <c r="D991" s="80"/>
      <c r="E991" s="106"/>
      <c r="F991" s="106"/>
      <c r="G991" s="106"/>
      <c r="H991" s="106"/>
    </row>
    <row r="992">
      <c r="A992" s="80"/>
      <c r="B992" s="80"/>
      <c r="C992" s="106"/>
      <c r="D992" s="80"/>
      <c r="E992" s="106"/>
      <c r="F992" s="106"/>
      <c r="G992" s="106"/>
      <c r="H992" s="106"/>
    </row>
    <row r="993">
      <c r="A993" s="80"/>
      <c r="B993" s="80"/>
      <c r="C993" s="106"/>
      <c r="D993" s="80"/>
      <c r="E993" s="106"/>
      <c r="F993" s="106"/>
      <c r="G993" s="106"/>
      <c r="H993" s="106"/>
    </row>
    <row r="994">
      <c r="A994" s="80"/>
      <c r="B994" s="80"/>
      <c r="C994" s="106"/>
      <c r="D994" s="80"/>
      <c r="E994" s="106"/>
      <c r="F994" s="106"/>
      <c r="G994" s="106"/>
      <c r="H994" s="106"/>
    </row>
    <row r="995">
      <c r="A995" s="80"/>
      <c r="B995" s="80"/>
      <c r="C995" s="106"/>
      <c r="D995" s="80"/>
      <c r="E995" s="106"/>
      <c r="F995" s="106"/>
      <c r="G995" s="106"/>
      <c r="H995" s="106"/>
    </row>
    <row r="996">
      <c r="A996" s="80"/>
      <c r="B996" s="80"/>
      <c r="C996" s="106"/>
      <c r="D996" s="80"/>
      <c r="E996" s="106"/>
      <c r="F996" s="106"/>
      <c r="G996" s="106"/>
      <c r="H996" s="106"/>
    </row>
    <row r="997">
      <c r="A997" s="80"/>
      <c r="B997" s="80"/>
      <c r="C997" s="106"/>
      <c r="D997" s="80"/>
      <c r="E997" s="106"/>
      <c r="F997" s="106"/>
      <c r="G997" s="106"/>
      <c r="H997" s="106"/>
    </row>
    <row r="998">
      <c r="A998" s="80"/>
      <c r="B998" s="80"/>
      <c r="D998" s="80"/>
    </row>
    <row r="999">
      <c r="A999" s="80"/>
      <c r="B999" s="80"/>
      <c r="D999" s="80"/>
    </row>
  </sheetData>
  <mergeCells count="4">
    <mergeCell ref="A2:A21"/>
    <mergeCell ref="A22:A41"/>
    <mergeCell ref="A42:A51"/>
    <mergeCell ref="A52:A6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4.38"/>
    <col customWidth="1" min="9" max="9" width="14.0"/>
    <col customWidth="1" min="11" max="11" width="15.25"/>
    <col customWidth="1" min="12" max="12" width="11.0"/>
    <col customWidth="1" min="13" max="13" width="14.0"/>
    <col customWidth="1" min="14" max="14" width="12.88"/>
    <col customWidth="1" min="15" max="15" width="15.88"/>
    <col customWidth="1" min="23" max="23" width="18.0"/>
    <col customWidth="1" min="24" max="24" width="19.25"/>
    <col customWidth="1" min="25" max="25" width="21.0"/>
    <col customWidth="1" min="27" max="27" width="14.63"/>
    <col customWidth="1" min="29" max="29" width="14.38"/>
    <col customWidth="1" min="31" max="31" width="18.13"/>
    <col customWidth="1" min="33" max="33" width="13.38"/>
  </cols>
  <sheetData>
    <row r="1">
      <c r="A1" s="130" t="s">
        <v>2</v>
      </c>
      <c r="B1" s="130" t="s">
        <v>487</v>
      </c>
      <c r="C1" s="441" t="s">
        <v>105</v>
      </c>
      <c r="D1" s="441" t="s">
        <v>106</v>
      </c>
      <c r="E1" s="441" t="s">
        <v>107</v>
      </c>
      <c r="F1" s="441" t="s">
        <v>108</v>
      </c>
      <c r="G1" s="441" t="s">
        <v>109</v>
      </c>
      <c r="H1" s="515" t="s">
        <v>679</v>
      </c>
      <c r="I1" s="516" t="s">
        <v>680</v>
      </c>
      <c r="J1" s="516" t="s">
        <v>681</v>
      </c>
      <c r="K1" s="516" t="s">
        <v>682</v>
      </c>
      <c r="L1" s="516" t="s">
        <v>683</v>
      </c>
      <c r="M1" s="516" t="s">
        <v>684</v>
      </c>
      <c r="N1" s="516" t="s">
        <v>685</v>
      </c>
      <c r="O1" s="517" t="s">
        <v>686</v>
      </c>
      <c r="P1" s="407" t="s">
        <v>654</v>
      </c>
      <c r="Q1" s="407" t="s">
        <v>655</v>
      </c>
      <c r="R1" s="407" t="s">
        <v>505</v>
      </c>
      <c r="S1" s="407" t="s">
        <v>656</v>
      </c>
      <c r="T1" s="407" t="s">
        <v>657</v>
      </c>
      <c r="U1" s="442" t="s">
        <v>508</v>
      </c>
      <c r="V1" s="518" t="s">
        <v>221</v>
      </c>
      <c r="W1" s="518" t="s">
        <v>687</v>
      </c>
      <c r="X1" s="518" t="s">
        <v>223</v>
      </c>
      <c r="Y1" s="518" t="s">
        <v>688</v>
      </c>
      <c r="Z1" s="518" t="s">
        <v>224</v>
      </c>
      <c r="AA1" s="518" t="s">
        <v>689</v>
      </c>
      <c r="AB1" s="518" t="s">
        <v>225</v>
      </c>
      <c r="AC1" s="518" t="s">
        <v>690</v>
      </c>
      <c r="AD1" s="518" t="s">
        <v>227</v>
      </c>
      <c r="AE1" s="518" t="s">
        <v>691</v>
      </c>
      <c r="AF1" s="518" t="s">
        <v>228</v>
      </c>
      <c r="AG1" s="518" t="s">
        <v>692</v>
      </c>
      <c r="AH1" s="518"/>
    </row>
    <row r="2">
      <c r="A2" s="36">
        <v>1.0</v>
      </c>
      <c r="B2" s="36" t="s">
        <v>510</v>
      </c>
      <c r="C2" s="448">
        <v>0.0</v>
      </c>
      <c r="D2" s="448">
        <v>1.0</v>
      </c>
      <c r="E2" s="448">
        <v>0.0</v>
      </c>
      <c r="F2" s="448">
        <v>0.0</v>
      </c>
      <c r="G2" s="448">
        <v>0.0</v>
      </c>
      <c r="H2" s="450">
        <v>3.0</v>
      </c>
      <c r="I2" s="451">
        <v>5.0</v>
      </c>
      <c r="J2" s="451">
        <v>41.67</v>
      </c>
      <c r="K2" s="451">
        <v>38.89</v>
      </c>
      <c r="L2" s="451">
        <v>65.0</v>
      </c>
      <c r="M2" s="451">
        <v>72.5</v>
      </c>
      <c r="N2" s="451">
        <v>-0.25</v>
      </c>
      <c r="O2" s="519">
        <v>-0.38</v>
      </c>
      <c r="P2" s="453">
        <v>10.0</v>
      </c>
      <c r="Q2" s="453">
        <v>10.0</v>
      </c>
      <c r="R2" s="453">
        <v>10.0</v>
      </c>
      <c r="S2" s="423">
        <v>9.0</v>
      </c>
      <c r="T2" s="423">
        <v>10.0</v>
      </c>
      <c r="U2" s="454">
        <v>9.3</v>
      </c>
      <c r="V2" s="356" t="s">
        <v>229</v>
      </c>
      <c r="W2" s="356">
        <f t="shared" ref="W2:W31" si="1">VALUE(LEFT(V2,2))*60 + VALUE(MID(V2,4,5))</f>
        <v>238.84</v>
      </c>
      <c r="X2" s="36" t="s">
        <v>230</v>
      </c>
      <c r="Y2" s="36">
        <f t="shared" ref="Y2:Y31" si="2">VALUE(LEFT(X2,2))*60 + VALUE(MID(X2,4,5))</f>
        <v>218.58</v>
      </c>
      <c r="Z2" s="36" t="s">
        <v>231</v>
      </c>
      <c r="AA2" s="36">
        <f t="shared" ref="AA2:AA31" si="3">VALUE(LEFT(Z2,2))*60 + VALUE(MID(Z2,4,5))</f>
        <v>32.24</v>
      </c>
      <c r="AB2" s="36" t="s">
        <v>232</v>
      </c>
      <c r="AC2" s="36">
        <f t="shared" ref="AC2:AC31" si="4">VALUE(LEFT(AB2,2))*60 + VALUE(MID(AB2,4,5))</f>
        <v>379.87</v>
      </c>
      <c r="AD2" s="36" t="s">
        <v>233</v>
      </c>
      <c r="AE2" s="36">
        <f t="shared" ref="AE2:AE31" si="5">VALUE(LEFT(AD2,2))*60 + VALUE(MID(AD2,4,5))</f>
        <v>237.55</v>
      </c>
      <c r="AF2" s="36" t="s">
        <v>234</v>
      </c>
      <c r="AG2" s="36">
        <f t="shared" ref="AG2:AG31" si="6">VALUE(LEFT(AF2,2))*60 + VALUE(MID(AF2,4,5))</f>
        <v>72.81</v>
      </c>
      <c r="AH2" s="36"/>
    </row>
    <row r="3">
      <c r="A3" s="36">
        <v>2.0</v>
      </c>
      <c r="B3" s="36" t="s">
        <v>517</v>
      </c>
      <c r="C3" s="448">
        <v>0.0</v>
      </c>
      <c r="D3" s="448">
        <v>0.0</v>
      </c>
      <c r="E3" s="448">
        <v>0.0</v>
      </c>
      <c r="F3" s="448">
        <v>1.0</v>
      </c>
      <c r="G3" s="448">
        <v>0.0</v>
      </c>
      <c r="H3" s="450">
        <v>3.0</v>
      </c>
      <c r="I3" s="451">
        <v>5.0</v>
      </c>
      <c r="J3" s="451">
        <v>66.67</v>
      </c>
      <c r="K3" s="451">
        <v>41.67</v>
      </c>
      <c r="L3" s="451">
        <v>52.5</v>
      </c>
      <c r="M3" s="451">
        <v>90.0</v>
      </c>
      <c r="N3" s="451">
        <v>1.25</v>
      </c>
      <c r="O3" s="519">
        <v>1.5</v>
      </c>
      <c r="P3" s="453">
        <v>8.0</v>
      </c>
      <c r="Q3" s="453">
        <v>6.0</v>
      </c>
      <c r="R3" s="453">
        <v>7.4</v>
      </c>
      <c r="S3" s="423">
        <v>6.0</v>
      </c>
      <c r="T3" s="423">
        <v>3.0</v>
      </c>
      <c r="U3" s="454">
        <v>5.1</v>
      </c>
      <c r="V3" s="356" t="s">
        <v>235</v>
      </c>
      <c r="W3" s="356">
        <f t="shared" si="1"/>
        <v>469.63</v>
      </c>
      <c r="X3" s="36" t="s">
        <v>236</v>
      </c>
      <c r="Y3" s="36">
        <f t="shared" si="2"/>
        <v>430.14</v>
      </c>
      <c r="Z3" s="36" t="s">
        <v>237</v>
      </c>
      <c r="AA3" s="36">
        <f t="shared" si="3"/>
        <v>142.26</v>
      </c>
      <c r="AB3" s="36" t="s">
        <v>238</v>
      </c>
      <c r="AC3" s="36">
        <f t="shared" si="4"/>
        <v>1431.61</v>
      </c>
      <c r="AD3" s="36" t="s">
        <v>240</v>
      </c>
      <c r="AE3" s="36">
        <f t="shared" si="5"/>
        <v>564.82</v>
      </c>
      <c r="AF3" s="36" t="s">
        <v>241</v>
      </c>
      <c r="AG3" s="36">
        <f t="shared" si="6"/>
        <v>136.3</v>
      </c>
      <c r="AH3" s="36"/>
    </row>
    <row r="4">
      <c r="A4" s="36">
        <v>4.0</v>
      </c>
      <c r="B4" s="36" t="s">
        <v>524</v>
      </c>
      <c r="C4" s="448">
        <v>0.0</v>
      </c>
      <c r="D4" s="448">
        <v>0.0</v>
      </c>
      <c r="E4" s="448">
        <v>0.0</v>
      </c>
      <c r="F4" s="448">
        <v>1.0</v>
      </c>
      <c r="G4" s="448">
        <v>0.0</v>
      </c>
      <c r="H4" s="450">
        <v>3.0</v>
      </c>
      <c r="I4" s="451">
        <v>6.0</v>
      </c>
      <c r="J4" s="451">
        <v>58.33</v>
      </c>
      <c r="K4" s="451">
        <v>41.67</v>
      </c>
      <c r="L4" s="451">
        <v>75.0</v>
      </c>
      <c r="M4" s="451">
        <v>80.0</v>
      </c>
      <c r="N4" s="451">
        <v>0.5</v>
      </c>
      <c r="O4" s="519">
        <v>-0.25</v>
      </c>
      <c r="P4" s="453">
        <v>10.0</v>
      </c>
      <c r="Q4" s="453">
        <v>8.0</v>
      </c>
      <c r="R4" s="453">
        <v>9.4</v>
      </c>
      <c r="S4" s="423">
        <v>9.0</v>
      </c>
      <c r="T4" s="423">
        <v>6.0</v>
      </c>
      <c r="U4" s="454">
        <v>8.1</v>
      </c>
      <c r="V4" s="356" t="s">
        <v>242</v>
      </c>
      <c r="W4" s="356">
        <f t="shared" si="1"/>
        <v>641.35</v>
      </c>
      <c r="X4" s="36" t="s">
        <v>244</v>
      </c>
      <c r="Y4" s="36">
        <f t="shared" si="2"/>
        <v>345.04</v>
      </c>
      <c r="Z4" s="36" t="s">
        <v>245</v>
      </c>
      <c r="AA4" s="36">
        <f t="shared" si="3"/>
        <v>62.32</v>
      </c>
      <c r="AB4" s="36" t="s">
        <v>246</v>
      </c>
      <c r="AC4" s="36">
        <f t="shared" si="4"/>
        <v>682.44</v>
      </c>
      <c r="AD4" s="36" t="s">
        <v>247</v>
      </c>
      <c r="AE4" s="36">
        <f t="shared" si="5"/>
        <v>381.03</v>
      </c>
      <c r="AF4" s="36" t="s">
        <v>248</v>
      </c>
      <c r="AG4" s="36">
        <f t="shared" si="6"/>
        <v>145.76</v>
      </c>
      <c r="AH4" s="36"/>
    </row>
    <row r="5">
      <c r="A5" s="36">
        <v>5.0</v>
      </c>
      <c r="B5" s="36" t="s">
        <v>510</v>
      </c>
      <c r="C5" s="448">
        <v>0.0</v>
      </c>
      <c r="D5" s="448">
        <v>0.0</v>
      </c>
      <c r="E5" s="448">
        <v>0.0</v>
      </c>
      <c r="F5" s="448">
        <v>1.0</v>
      </c>
      <c r="G5" s="448">
        <v>0.0</v>
      </c>
      <c r="H5" s="450">
        <v>3.0</v>
      </c>
      <c r="I5" s="451">
        <v>5.0</v>
      </c>
      <c r="J5" s="451">
        <v>52.78</v>
      </c>
      <c r="K5" s="451">
        <v>38.89</v>
      </c>
      <c r="L5" s="451">
        <v>70.0</v>
      </c>
      <c r="M5" s="451">
        <v>75.0</v>
      </c>
      <c r="N5" s="451">
        <v>0.38</v>
      </c>
      <c r="O5" s="519">
        <v>-0.25</v>
      </c>
      <c r="P5" s="453">
        <v>7.0</v>
      </c>
      <c r="Q5" s="453">
        <v>5.0</v>
      </c>
      <c r="R5" s="453">
        <v>6.4</v>
      </c>
      <c r="S5" s="423">
        <v>9.0</v>
      </c>
      <c r="T5" s="423">
        <v>6.0</v>
      </c>
      <c r="U5" s="454">
        <v>8.1</v>
      </c>
      <c r="V5" s="356" t="s">
        <v>249</v>
      </c>
      <c r="W5" s="356">
        <f t="shared" si="1"/>
        <v>485.36</v>
      </c>
      <c r="X5" s="36" t="s">
        <v>250</v>
      </c>
      <c r="Y5" s="36">
        <f t="shared" si="2"/>
        <v>202.68</v>
      </c>
      <c r="Z5" s="36" t="s">
        <v>251</v>
      </c>
      <c r="AA5" s="36">
        <f t="shared" si="3"/>
        <v>41.1</v>
      </c>
      <c r="AB5" s="36" t="s">
        <v>252</v>
      </c>
      <c r="AC5" s="36">
        <f t="shared" si="4"/>
        <v>1251.07</v>
      </c>
      <c r="AD5" s="36" t="s">
        <v>254</v>
      </c>
      <c r="AE5" s="36">
        <f t="shared" si="5"/>
        <v>428.82</v>
      </c>
      <c r="AF5" s="36" t="s">
        <v>255</v>
      </c>
      <c r="AG5" s="36">
        <f t="shared" si="6"/>
        <v>59.74</v>
      </c>
      <c r="AH5" s="36"/>
    </row>
    <row r="6">
      <c r="A6" s="36">
        <v>6.0</v>
      </c>
      <c r="B6" s="36" t="s">
        <v>517</v>
      </c>
      <c r="C6" s="448">
        <v>0.0</v>
      </c>
      <c r="D6" s="448">
        <v>0.0</v>
      </c>
      <c r="E6" s="448">
        <v>1.0</v>
      </c>
      <c r="F6" s="448">
        <v>0.0</v>
      </c>
      <c r="G6" s="448">
        <v>0.0</v>
      </c>
      <c r="H6" s="450">
        <v>5.0</v>
      </c>
      <c r="I6" s="451">
        <v>6.0</v>
      </c>
      <c r="J6" s="451">
        <v>30.56</v>
      </c>
      <c r="K6" s="451">
        <v>25.0</v>
      </c>
      <c r="L6" s="451">
        <v>95.0</v>
      </c>
      <c r="M6" s="451">
        <v>97.5</v>
      </c>
      <c r="N6" s="451">
        <v>2.63</v>
      </c>
      <c r="O6" s="519">
        <v>2.63</v>
      </c>
      <c r="P6" s="453">
        <v>10.0</v>
      </c>
      <c r="Q6" s="453">
        <v>10.0</v>
      </c>
      <c r="R6" s="453">
        <v>10.0</v>
      </c>
      <c r="S6" s="423">
        <v>10.0</v>
      </c>
      <c r="T6" s="423">
        <v>10.0</v>
      </c>
      <c r="U6" s="454">
        <v>10.0</v>
      </c>
      <c r="V6" s="356" t="s">
        <v>256</v>
      </c>
      <c r="W6" s="356">
        <f t="shared" si="1"/>
        <v>286.25</v>
      </c>
      <c r="X6" s="36" t="s">
        <v>257</v>
      </c>
      <c r="Y6" s="36">
        <f t="shared" si="2"/>
        <v>162.24</v>
      </c>
      <c r="Z6" s="36" t="s">
        <v>258</v>
      </c>
      <c r="AA6" s="36">
        <f t="shared" si="3"/>
        <v>33.32</v>
      </c>
      <c r="AB6" s="36" t="s">
        <v>259</v>
      </c>
      <c r="AC6" s="36">
        <f t="shared" si="4"/>
        <v>428.64</v>
      </c>
      <c r="AD6" s="36" t="s">
        <v>260</v>
      </c>
      <c r="AE6" s="36">
        <f t="shared" si="5"/>
        <v>217.52</v>
      </c>
      <c r="AF6" s="36" t="s">
        <v>261</v>
      </c>
      <c r="AG6" s="36">
        <f t="shared" si="6"/>
        <v>110.93</v>
      </c>
      <c r="AH6" s="36"/>
    </row>
    <row r="7">
      <c r="A7" s="36">
        <v>7.0</v>
      </c>
      <c r="B7" s="36" t="s">
        <v>537</v>
      </c>
      <c r="C7" s="448">
        <v>0.0</v>
      </c>
      <c r="D7" s="448">
        <v>0.0</v>
      </c>
      <c r="E7" s="448">
        <v>0.0</v>
      </c>
      <c r="F7" s="448">
        <v>1.0</v>
      </c>
      <c r="G7" s="448">
        <v>0.0</v>
      </c>
      <c r="H7" s="450">
        <v>3.0</v>
      </c>
      <c r="I7" s="451">
        <v>3.0</v>
      </c>
      <c r="J7" s="451">
        <v>41.67</v>
      </c>
      <c r="K7" s="451">
        <v>58.33</v>
      </c>
      <c r="L7" s="451">
        <v>72.5</v>
      </c>
      <c r="M7" s="451">
        <v>47.5</v>
      </c>
      <c r="N7" s="451">
        <v>1.38</v>
      </c>
      <c r="O7" s="519">
        <v>0.0</v>
      </c>
      <c r="P7" s="453">
        <v>9.0</v>
      </c>
      <c r="Q7" s="453">
        <v>10.0</v>
      </c>
      <c r="R7" s="453">
        <v>9.3</v>
      </c>
      <c r="S7" s="423">
        <v>6.0</v>
      </c>
      <c r="T7" s="423">
        <v>6.0</v>
      </c>
      <c r="U7" s="454">
        <v>6.0</v>
      </c>
      <c r="V7" s="356" t="s">
        <v>262</v>
      </c>
      <c r="W7" s="356">
        <f t="shared" si="1"/>
        <v>426.56</v>
      </c>
      <c r="X7" s="36" t="s">
        <v>263</v>
      </c>
      <c r="Y7" s="36">
        <f t="shared" si="2"/>
        <v>242.82</v>
      </c>
      <c r="Z7" s="36" t="s">
        <v>264</v>
      </c>
      <c r="AA7" s="36">
        <f t="shared" si="3"/>
        <v>85.45</v>
      </c>
      <c r="AB7" s="36" t="s">
        <v>265</v>
      </c>
      <c r="AC7" s="36">
        <f t="shared" si="4"/>
        <v>426.99</v>
      </c>
      <c r="AD7" s="36" t="s">
        <v>266</v>
      </c>
      <c r="AE7" s="36">
        <f t="shared" si="5"/>
        <v>370.84</v>
      </c>
      <c r="AF7" s="36" t="s">
        <v>267</v>
      </c>
      <c r="AG7" s="36">
        <f t="shared" si="6"/>
        <v>118.31</v>
      </c>
      <c r="AH7" s="36"/>
    </row>
    <row r="8">
      <c r="A8" s="36">
        <v>8.0</v>
      </c>
      <c r="B8" s="36" t="s">
        <v>524</v>
      </c>
      <c r="C8" s="448">
        <v>0.0</v>
      </c>
      <c r="D8" s="448">
        <v>0.0</v>
      </c>
      <c r="E8" s="448">
        <v>0.0</v>
      </c>
      <c r="F8" s="448">
        <v>1.0</v>
      </c>
      <c r="G8" s="448">
        <v>0.0</v>
      </c>
      <c r="H8" s="450">
        <v>5.0</v>
      </c>
      <c r="I8" s="451">
        <v>7.0</v>
      </c>
      <c r="J8" s="451">
        <v>36.11</v>
      </c>
      <c r="K8" s="451">
        <v>16.67</v>
      </c>
      <c r="L8" s="451">
        <v>97.5</v>
      </c>
      <c r="M8" s="451">
        <v>100.0</v>
      </c>
      <c r="N8" s="451">
        <v>1.25</v>
      </c>
      <c r="O8" s="519">
        <v>1.88</v>
      </c>
      <c r="P8" s="453">
        <v>9.0</v>
      </c>
      <c r="Q8" s="453">
        <v>10.0</v>
      </c>
      <c r="R8" s="453">
        <v>9.3</v>
      </c>
      <c r="S8" s="423">
        <v>9.0</v>
      </c>
      <c r="T8" s="423">
        <v>10.0</v>
      </c>
      <c r="U8" s="454">
        <v>9.3</v>
      </c>
      <c r="V8" s="356" t="s">
        <v>268</v>
      </c>
      <c r="W8" s="356">
        <f t="shared" si="1"/>
        <v>470.96</v>
      </c>
      <c r="X8" s="36" t="s">
        <v>269</v>
      </c>
      <c r="Y8" s="36">
        <f t="shared" si="2"/>
        <v>477.24</v>
      </c>
      <c r="Z8" s="36" t="s">
        <v>270</v>
      </c>
      <c r="AA8" s="36">
        <f t="shared" si="3"/>
        <v>52.22</v>
      </c>
      <c r="AB8" s="36" t="s">
        <v>271</v>
      </c>
      <c r="AC8" s="36">
        <f t="shared" si="4"/>
        <v>945.36</v>
      </c>
      <c r="AD8" s="36" t="s">
        <v>272</v>
      </c>
      <c r="AE8" s="36">
        <f t="shared" si="5"/>
        <v>522.42</v>
      </c>
      <c r="AF8" s="36" t="s">
        <v>273</v>
      </c>
      <c r="AG8" s="36">
        <f t="shared" si="6"/>
        <v>184.88</v>
      </c>
      <c r="AH8" s="36"/>
    </row>
    <row r="9">
      <c r="A9" s="36">
        <v>9.0</v>
      </c>
      <c r="B9" s="36" t="s">
        <v>510</v>
      </c>
      <c r="C9" s="448">
        <v>0.0</v>
      </c>
      <c r="D9" s="448">
        <v>0.0</v>
      </c>
      <c r="E9" s="448">
        <v>1.0</v>
      </c>
      <c r="F9" s="448">
        <v>0.0</v>
      </c>
      <c r="G9" s="448">
        <v>0.0</v>
      </c>
      <c r="H9" s="450">
        <v>4.0</v>
      </c>
      <c r="I9" s="451">
        <v>6.0</v>
      </c>
      <c r="J9" s="451">
        <v>47.22</v>
      </c>
      <c r="K9" s="451">
        <v>27.78</v>
      </c>
      <c r="L9" s="451">
        <v>75.0</v>
      </c>
      <c r="M9" s="451">
        <v>90.0</v>
      </c>
      <c r="N9" s="451">
        <v>-1.25</v>
      </c>
      <c r="O9" s="519">
        <v>0.38</v>
      </c>
      <c r="P9" s="453">
        <v>9.0</v>
      </c>
      <c r="Q9" s="453">
        <v>10.0</v>
      </c>
      <c r="R9" s="453">
        <v>9.3</v>
      </c>
      <c r="S9" s="423">
        <v>10.0</v>
      </c>
      <c r="T9" s="423">
        <v>10.0</v>
      </c>
      <c r="U9" s="454">
        <v>10.0</v>
      </c>
      <c r="V9" s="356" t="s">
        <v>274</v>
      </c>
      <c r="W9" s="356">
        <f t="shared" si="1"/>
        <v>486.58</v>
      </c>
      <c r="X9" s="36" t="s">
        <v>275</v>
      </c>
      <c r="Y9" s="36">
        <f t="shared" si="2"/>
        <v>316.55</v>
      </c>
      <c r="Z9" s="36" t="s">
        <v>276</v>
      </c>
      <c r="AA9" s="36">
        <f t="shared" si="3"/>
        <v>38.96</v>
      </c>
      <c r="AB9" s="36" t="s">
        <v>277</v>
      </c>
      <c r="AC9" s="36">
        <f t="shared" si="4"/>
        <v>752.95</v>
      </c>
      <c r="AD9" s="36" t="s">
        <v>278</v>
      </c>
      <c r="AE9" s="36">
        <f t="shared" si="5"/>
        <v>269.89</v>
      </c>
      <c r="AF9" s="36" t="s">
        <v>279</v>
      </c>
      <c r="AG9" s="36">
        <f t="shared" si="6"/>
        <v>93.9</v>
      </c>
      <c r="AH9" s="36"/>
    </row>
    <row r="10">
      <c r="A10" s="36">
        <v>10.0</v>
      </c>
      <c r="B10" s="36" t="s">
        <v>517</v>
      </c>
      <c r="C10" s="448">
        <v>1.0</v>
      </c>
      <c r="D10" s="448">
        <v>0.0</v>
      </c>
      <c r="E10" s="448">
        <v>0.0</v>
      </c>
      <c r="F10" s="448">
        <v>0.0</v>
      </c>
      <c r="G10" s="448">
        <v>0.0</v>
      </c>
      <c r="H10" s="450">
        <v>6.0</v>
      </c>
      <c r="I10" s="451">
        <v>6.0</v>
      </c>
      <c r="J10" s="451">
        <v>11.11</v>
      </c>
      <c r="K10" s="451">
        <v>19.44</v>
      </c>
      <c r="L10" s="451">
        <v>90.0</v>
      </c>
      <c r="M10" s="451">
        <v>82.5</v>
      </c>
      <c r="N10" s="451">
        <v>0.5</v>
      </c>
      <c r="O10" s="519">
        <v>0.88</v>
      </c>
      <c r="P10" s="453">
        <v>9.0</v>
      </c>
      <c r="Q10" s="453">
        <v>10.0</v>
      </c>
      <c r="R10" s="453">
        <v>9.3</v>
      </c>
      <c r="S10" s="423">
        <v>9.0</v>
      </c>
      <c r="T10" s="423">
        <v>6.0</v>
      </c>
      <c r="U10" s="454">
        <v>8.1</v>
      </c>
      <c r="V10" s="356" t="s">
        <v>280</v>
      </c>
      <c r="W10" s="356">
        <f t="shared" si="1"/>
        <v>452.18</v>
      </c>
      <c r="X10" s="36" t="s">
        <v>281</v>
      </c>
      <c r="Y10" s="36">
        <f t="shared" si="2"/>
        <v>244.72</v>
      </c>
      <c r="Z10" s="36" t="s">
        <v>282</v>
      </c>
      <c r="AA10" s="36">
        <f t="shared" si="3"/>
        <v>52.69</v>
      </c>
      <c r="AB10" s="36" t="s">
        <v>283</v>
      </c>
      <c r="AC10" s="36">
        <f t="shared" si="4"/>
        <v>443.71</v>
      </c>
      <c r="AD10" s="36" t="s">
        <v>284</v>
      </c>
      <c r="AE10" s="36">
        <f t="shared" si="5"/>
        <v>234.64</v>
      </c>
      <c r="AF10" s="36" t="s">
        <v>285</v>
      </c>
      <c r="AG10" s="36">
        <f t="shared" si="6"/>
        <v>118.35</v>
      </c>
      <c r="AH10" s="36"/>
    </row>
    <row r="11">
      <c r="A11" s="36">
        <v>11.0</v>
      </c>
      <c r="B11" s="36" t="s">
        <v>537</v>
      </c>
      <c r="C11" s="448">
        <v>0.0</v>
      </c>
      <c r="D11" s="448">
        <v>1.0</v>
      </c>
      <c r="E11" s="448">
        <v>0.0</v>
      </c>
      <c r="F11" s="448">
        <v>0.0</v>
      </c>
      <c r="G11" s="448">
        <v>0.0</v>
      </c>
      <c r="H11" s="450">
        <v>6.0</v>
      </c>
      <c r="I11" s="451">
        <v>5.0</v>
      </c>
      <c r="J11" s="451">
        <v>38.89</v>
      </c>
      <c r="K11" s="451">
        <v>19.44</v>
      </c>
      <c r="L11" s="451">
        <v>97.5</v>
      </c>
      <c r="M11" s="451">
        <v>92.5</v>
      </c>
      <c r="N11" s="451">
        <v>0.63</v>
      </c>
      <c r="O11" s="519">
        <v>-0.25</v>
      </c>
      <c r="P11" s="453">
        <v>8.0</v>
      </c>
      <c r="Q11" s="453">
        <v>3.0</v>
      </c>
      <c r="R11" s="453">
        <v>6.5</v>
      </c>
      <c r="S11" s="423">
        <v>8.0</v>
      </c>
      <c r="T11" s="423">
        <v>10.0</v>
      </c>
      <c r="U11" s="454">
        <v>8.6</v>
      </c>
      <c r="V11" s="356" t="s">
        <v>286</v>
      </c>
      <c r="W11" s="356">
        <f t="shared" si="1"/>
        <v>627.38</v>
      </c>
      <c r="X11" s="36" t="s">
        <v>287</v>
      </c>
      <c r="Y11" s="36">
        <f t="shared" si="2"/>
        <v>218.79</v>
      </c>
      <c r="Z11" s="36" t="s">
        <v>288</v>
      </c>
      <c r="AA11" s="36">
        <f t="shared" si="3"/>
        <v>56.96</v>
      </c>
      <c r="AB11" s="36" t="s">
        <v>289</v>
      </c>
      <c r="AC11" s="36">
        <f t="shared" si="4"/>
        <v>620.1</v>
      </c>
      <c r="AD11" s="36" t="s">
        <v>290</v>
      </c>
      <c r="AE11" s="36">
        <f t="shared" si="5"/>
        <v>371.15</v>
      </c>
      <c r="AF11" s="36" t="s">
        <v>291</v>
      </c>
      <c r="AG11" s="36">
        <f t="shared" si="6"/>
        <v>145.19</v>
      </c>
      <c r="AH11" s="36"/>
    </row>
    <row r="12">
      <c r="A12" s="199">
        <v>12.0</v>
      </c>
      <c r="B12" s="199" t="s">
        <v>524</v>
      </c>
      <c r="C12" s="448">
        <v>0.0</v>
      </c>
      <c r="D12" s="448">
        <v>0.0</v>
      </c>
      <c r="E12" s="448">
        <v>1.0</v>
      </c>
      <c r="F12" s="448">
        <v>0.0</v>
      </c>
      <c r="G12" s="448">
        <v>0.0</v>
      </c>
      <c r="H12" s="450">
        <v>6.0</v>
      </c>
      <c r="I12" s="451">
        <v>5.0</v>
      </c>
      <c r="J12" s="451">
        <v>25.0</v>
      </c>
      <c r="K12" s="451">
        <v>22.22</v>
      </c>
      <c r="L12" s="451">
        <v>90.0</v>
      </c>
      <c r="M12" s="451">
        <v>90.0</v>
      </c>
      <c r="N12" s="451">
        <v>1.25</v>
      </c>
      <c r="O12" s="519">
        <v>1.25</v>
      </c>
      <c r="P12" s="453">
        <v>10.0</v>
      </c>
      <c r="Q12" s="453">
        <v>10.0</v>
      </c>
      <c r="R12" s="453">
        <v>10.0</v>
      </c>
      <c r="S12" s="423">
        <v>10.0</v>
      </c>
      <c r="T12" s="423">
        <v>10.0</v>
      </c>
      <c r="U12" s="454">
        <v>10.0</v>
      </c>
      <c r="V12" s="356" t="s">
        <v>292</v>
      </c>
      <c r="W12" s="356">
        <f t="shared" si="1"/>
        <v>365.47</v>
      </c>
      <c r="X12" s="36" t="s">
        <v>293</v>
      </c>
      <c r="Y12" s="36">
        <f t="shared" si="2"/>
        <v>185.08</v>
      </c>
      <c r="Z12" s="36" t="s">
        <v>294</v>
      </c>
      <c r="AA12" s="36">
        <f t="shared" si="3"/>
        <v>44.41</v>
      </c>
      <c r="AB12" s="36" t="s">
        <v>295</v>
      </c>
      <c r="AC12" s="36">
        <f t="shared" si="4"/>
        <v>498.98</v>
      </c>
      <c r="AD12" s="36" t="s">
        <v>296</v>
      </c>
      <c r="AE12" s="36">
        <f t="shared" si="5"/>
        <v>265.15</v>
      </c>
      <c r="AF12" s="36" t="s">
        <v>297</v>
      </c>
      <c r="AG12" s="36">
        <f t="shared" si="6"/>
        <v>79.85</v>
      </c>
      <c r="AH12" s="36"/>
    </row>
    <row r="13">
      <c r="A13" s="36">
        <v>13.0</v>
      </c>
      <c r="B13" s="36" t="s">
        <v>510</v>
      </c>
      <c r="C13" s="448">
        <v>0.0</v>
      </c>
      <c r="D13" s="448">
        <v>1.0</v>
      </c>
      <c r="E13" s="448">
        <v>0.0</v>
      </c>
      <c r="F13" s="448">
        <v>0.0</v>
      </c>
      <c r="G13" s="448">
        <v>0.0</v>
      </c>
      <c r="H13" s="450">
        <v>4.0</v>
      </c>
      <c r="I13" s="451">
        <v>6.0</v>
      </c>
      <c r="J13" s="451">
        <v>38.89</v>
      </c>
      <c r="K13" s="451">
        <v>30.56</v>
      </c>
      <c r="L13" s="451">
        <v>95.0</v>
      </c>
      <c r="M13" s="451">
        <v>95.0</v>
      </c>
      <c r="N13" s="451">
        <v>2.25</v>
      </c>
      <c r="O13" s="519">
        <v>2.25</v>
      </c>
      <c r="P13" s="453">
        <v>10.0</v>
      </c>
      <c r="Q13" s="453">
        <v>10.0</v>
      </c>
      <c r="R13" s="453">
        <v>10.0</v>
      </c>
      <c r="S13" s="423">
        <v>10.0</v>
      </c>
      <c r="T13" s="423">
        <v>10.0</v>
      </c>
      <c r="U13" s="454">
        <v>10.0</v>
      </c>
      <c r="V13" s="356" t="s">
        <v>298</v>
      </c>
      <c r="W13" s="356">
        <f t="shared" si="1"/>
        <v>380.67</v>
      </c>
      <c r="X13" s="36" t="s">
        <v>299</v>
      </c>
      <c r="Y13" s="36">
        <f t="shared" si="2"/>
        <v>148.5</v>
      </c>
      <c r="Z13" s="36" t="s">
        <v>300</v>
      </c>
      <c r="AA13" s="36">
        <f t="shared" si="3"/>
        <v>31.31</v>
      </c>
      <c r="AB13" s="36" t="s">
        <v>301</v>
      </c>
      <c r="AC13" s="36">
        <f t="shared" si="4"/>
        <v>380.9</v>
      </c>
      <c r="AD13" s="36" t="s">
        <v>302</v>
      </c>
      <c r="AE13" s="36">
        <f t="shared" si="5"/>
        <v>224.16</v>
      </c>
      <c r="AF13" s="36" t="s">
        <v>303</v>
      </c>
      <c r="AG13" s="36">
        <f t="shared" si="6"/>
        <v>61.17</v>
      </c>
      <c r="AH13" s="36"/>
    </row>
    <row r="14">
      <c r="A14" s="36">
        <v>14.0</v>
      </c>
      <c r="B14" s="36" t="s">
        <v>517</v>
      </c>
      <c r="C14" s="448">
        <v>0.0</v>
      </c>
      <c r="D14" s="448">
        <v>0.0</v>
      </c>
      <c r="E14" s="448">
        <v>1.0</v>
      </c>
      <c r="F14" s="448">
        <v>0.0</v>
      </c>
      <c r="G14" s="448">
        <v>0.0</v>
      </c>
      <c r="H14" s="450">
        <v>4.0</v>
      </c>
      <c r="I14" s="451">
        <v>4.0</v>
      </c>
      <c r="J14" s="451">
        <v>52.78</v>
      </c>
      <c r="K14" s="451">
        <v>44.44</v>
      </c>
      <c r="L14" s="451">
        <v>57.5</v>
      </c>
      <c r="M14" s="451">
        <v>35.0</v>
      </c>
      <c r="N14" s="451">
        <v>1.0</v>
      </c>
      <c r="O14" s="519">
        <v>0.38</v>
      </c>
      <c r="P14" s="453">
        <v>6.0</v>
      </c>
      <c r="Q14" s="453">
        <v>5.0</v>
      </c>
      <c r="R14" s="453">
        <v>5.7</v>
      </c>
      <c r="S14" s="423">
        <v>8.0</v>
      </c>
      <c r="T14" s="423">
        <v>5.0</v>
      </c>
      <c r="U14" s="454">
        <v>7.1</v>
      </c>
      <c r="V14" s="356" t="s">
        <v>304</v>
      </c>
      <c r="W14" s="356">
        <f t="shared" si="1"/>
        <v>516.16</v>
      </c>
      <c r="X14" s="36" t="s">
        <v>305</v>
      </c>
      <c r="Y14" s="36">
        <f t="shared" si="2"/>
        <v>260.74</v>
      </c>
      <c r="Z14" s="36" t="s">
        <v>306</v>
      </c>
      <c r="AA14" s="36">
        <f t="shared" si="3"/>
        <v>64.68</v>
      </c>
      <c r="AB14" s="36" t="s">
        <v>307</v>
      </c>
      <c r="AC14" s="36">
        <f t="shared" si="4"/>
        <v>745.99</v>
      </c>
      <c r="AD14" s="36" t="s">
        <v>309</v>
      </c>
      <c r="AE14" s="36">
        <f t="shared" si="5"/>
        <v>233.99</v>
      </c>
      <c r="AF14" s="36" t="s">
        <v>310</v>
      </c>
      <c r="AG14" s="36">
        <f t="shared" si="6"/>
        <v>156.29</v>
      </c>
      <c r="AH14" s="36"/>
    </row>
    <row r="15">
      <c r="A15" s="36">
        <v>15.0</v>
      </c>
      <c r="B15" s="36" t="s">
        <v>537</v>
      </c>
      <c r="C15" s="448">
        <v>0.0</v>
      </c>
      <c r="D15" s="448">
        <v>0.0</v>
      </c>
      <c r="E15" s="448">
        <v>0.0</v>
      </c>
      <c r="F15" s="448">
        <v>1.0</v>
      </c>
      <c r="G15" s="448">
        <v>0.0</v>
      </c>
      <c r="H15" s="450">
        <v>6.0</v>
      </c>
      <c r="I15" s="451">
        <v>7.0</v>
      </c>
      <c r="J15" s="451">
        <v>25.0</v>
      </c>
      <c r="K15" s="451">
        <v>22.22</v>
      </c>
      <c r="L15" s="451">
        <v>97.5</v>
      </c>
      <c r="M15" s="451">
        <v>95.0</v>
      </c>
      <c r="N15" s="451">
        <v>1.88</v>
      </c>
      <c r="O15" s="519">
        <v>1.63</v>
      </c>
      <c r="P15" s="453">
        <v>9.0</v>
      </c>
      <c r="Q15" s="453">
        <v>10.0</v>
      </c>
      <c r="R15" s="453">
        <v>9.3</v>
      </c>
      <c r="S15" s="423">
        <v>8.0</v>
      </c>
      <c r="T15" s="423">
        <v>6.0</v>
      </c>
      <c r="U15" s="454">
        <v>7.4</v>
      </c>
      <c r="V15" s="356" t="s">
        <v>311</v>
      </c>
      <c r="W15" s="356">
        <f t="shared" si="1"/>
        <v>433.74</v>
      </c>
      <c r="X15" s="36" t="s">
        <v>312</v>
      </c>
      <c r="Y15" s="36">
        <f t="shared" si="2"/>
        <v>464.33</v>
      </c>
      <c r="Z15" s="36" t="s">
        <v>313</v>
      </c>
      <c r="AA15" s="36">
        <f t="shared" si="3"/>
        <v>50.96</v>
      </c>
      <c r="AB15" s="36" t="s">
        <v>314</v>
      </c>
      <c r="AC15" s="36">
        <f t="shared" si="4"/>
        <v>468.45</v>
      </c>
      <c r="AD15" s="36" t="s">
        <v>315</v>
      </c>
      <c r="AE15" s="36">
        <f t="shared" si="5"/>
        <v>303.66</v>
      </c>
      <c r="AF15" s="36" t="s">
        <v>316</v>
      </c>
      <c r="AG15" s="36">
        <f t="shared" si="6"/>
        <v>99.13</v>
      </c>
      <c r="AH15" s="36"/>
    </row>
    <row r="16">
      <c r="A16" s="36">
        <v>16.0</v>
      </c>
      <c r="B16" s="36" t="s">
        <v>524</v>
      </c>
      <c r="C16" s="448">
        <v>0.0</v>
      </c>
      <c r="D16" s="448">
        <v>0.0</v>
      </c>
      <c r="E16" s="448">
        <v>0.0</v>
      </c>
      <c r="F16" s="448">
        <v>1.0</v>
      </c>
      <c r="G16" s="448">
        <v>0.0</v>
      </c>
      <c r="H16" s="450">
        <v>5.0</v>
      </c>
      <c r="I16" s="451">
        <v>6.0</v>
      </c>
      <c r="J16" s="451">
        <v>22.22</v>
      </c>
      <c r="K16" s="451">
        <v>25.0</v>
      </c>
      <c r="L16" s="451">
        <v>80.0</v>
      </c>
      <c r="M16" s="451">
        <v>87.5</v>
      </c>
      <c r="N16" s="451">
        <v>0.63</v>
      </c>
      <c r="O16" s="519">
        <v>0.75</v>
      </c>
      <c r="P16" s="453">
        <v>8.0</v>
      </c>
      <c r="Q16" s="453">
        <v>6.0</v>
      </c>
      <c r="R16" s="453">
        <v>7.4</v>
      </c>
      <c r="S16" s="423">
        <v>9.0</v>
      </c>
      <c r="T16" s="423">
        <v>6.0</v>
      </c>
      <c r="U16" s="454">
        <v>8.1</v>
      </c>
      <c r="V16" s="356" t="s">
        <v>317</v>
      </c>
      <c r="W16" s="356">
        <f t="shared" si="1"/>
        <v>458.35</v>
      </c>
      <c r="X16" s="36" t="s">
        <v>318</v>
      </c>
      <c r="Y16" s="36">
        <f t="shared" si="2"/>
        <v>381.25</v>
      </c>
      <c r="Z16" s="36" t="s">
        <v>319</v>
      </c>
      <c r="AA16" s="36">
        <f t="shared" si="3"/>
        <v>45.02</v>
      </c>
      <c r="AB16" s="36" t="s">
        <v>320</v>
      </c>
      <c r="AC16" s="36">
        <f t="shared" si="4"/>
        <v>732.46</v>
      </c>
      <c r="AD16" s="36" t="s">
        <v>322</v>
      </c>
      <c r="AE16" s="36">
        <f t="shared" si="5"/>
        <v>328.35</v>
      </c>
      <c r="AF16" s="36" t="s">
        <v>323</v>
      </c>
      <c r="AG16" s="36">
        <f t="shared" si="6"/>
        <v>101.72</v>
      </c>
      <c r="AH16" s="36"/>
    </row>
    <row r="17">
      <c r="A17" s="36">
        <v>17.0</v>
      </c>
      <c r="B17" s="36" t="s">
        <v>510</v>
      </c>
      <c r="C17" s="448">
        <v>0.0</v>
      </c>
      <c r="D17" s="448">
        <v>1.0</v>
      </c>
      <c r="E17" s="448">
        <v>1.0</v>
      </c>
      <c r="F17" s="448">
        <v>0.0</v>
      </c>
      <c r="G17" s="448">
        <v>0.0</v>
      </c>
      <c r="H17" s="450">
        <v>5.0</v>
      </c>
      <c r="I17" s="451">
        <v>6.0</v>
      </c>
      <c r="J17" s="451">
        <v>50.0</v>
      </c>
      <c r="K17" s="451">
        <v>36.11</v>
      </c>
      <c r="L17" s="451">
        <v>65.0</v>
      </c>
      <c r="M17" s="451">
        <v>82.5</v>
      </c>
      <c r="N17" s="451">
        <v>-0.38</v>
      </c>
      <c r="O17" s="519">
        <v>0.63</v>
      </c>
      <c r="P17" s="453">
        <v>9.0</v>
      </c>
      <c r="Q17" s="453">
        <v>10.0</v>
      </c>
      <c r="R17" s="453">
        <v>9.3</v>
      </c>
      <c r="S17" s="423">
        <v>10.0</v>
      </c>
      <c r="T17" s="423">
        <v>10.0</v>
      </c>
      <c r="U17" s="454">
        <v>10.0</v>
      </c>
      <c r="V17" s="356" t="s">
        <v>324</v>
      </c>
      <c r="W17" s="356">
        <f t="shared" si="1"/>
        <v>314.2</v>
      </c>
      <c r="X17" s="36" t="s">
        <v>325</v>
      </c>
      <c r="Y17" s="36">
        <f t="shared" si="2"/>
        <v>206.67</v>
      </c>
      <c r="Z17" s="36" t="s">
        <v>326</v>
      </c>
      <c r="AA17" s="36">
        <f t="shared" si="3"/>
        <v>34.29</v>
      </c>
      <c r="AB17" s="36" t="s">
        <v>327</v>
      </c>
      <c r="AC17" s="36">
        <f t="shared" si="4"/>
        <v>473.43</v>
      </c>
      <c r="AD17" s="36" t="s">
        <v>328</v>
      </c>
      <c r="AE17" s="36">
        <f t="shared" si="5"/>
        <v>426.1</v>
      </c>
      <c r="AF17" s="36" t="s">
        <v>329</v>
      </c>
      <c r="AG17" s="36">
        <f t="shared" si="6"/>
        <v>106.8</v>
      </c>
      <c r="AH17" s="36"/>
    </row>
    <row r="18">
      <c r="A18" s="36">
        <v>18.0</v>
      </c>
      <c r="B18" s="36" t="s">
        <v>517</v>
      </c>
      <c r="C18" s="448">
        <v>0.0</v>
      </c>
      <c r="D18" s="448">
        <v>0.0</v>
      </c>
      <c r="E18" s="448">
        <v>0.0</v>
      </c>
      <c r="F18" s="448">
        <v>1.0</v>
      </c>
      <c r="G18" s="448">
        <v>0.0</v>
      </c>
      <c r="H18" s="450">
        <v>5.0</v>
      </c>
      <c r="I18" s="451">
        <v>4.0</v>
      </c>
      <c r="J18" s="451">
        <v>38.89</v>
      </c>
      <c r="K18" s="451">
        <v>41.67</v>
      </c>
      <c r="L18" s="451">
        <v>60.0</v>
      </c>
      <c r="M18" s="451">
        <v>72.5</v>
      </c>
      <c r="N18" s="451">
        <v>1.25</v>
      </c>
      <c r="O18" s="519">
        <v>1.0</v>
      </c>
      <c r="P18" s="453">
        <v>7.0</v>
      </c>
      <c r="Q18" s="453">
        <v>6.0</v>
      </c>
      <c r="R18" s="453">
        <v>6.7</v>
      </c>
      <c r="S18" s="423">
        <v>9.0</v>
      </c>
      <c r="T18" s="423">
        <v>6.0</v>
      </c>
      <c r="U18" s="454">
        <v>8.1</v>
      </c>
      <c r="V18" s="356" t="s">
        <v>330</v>
      </c>
      <c r="W18" s="356">
        <f t="shared" si="1"/>
        <v>534.06</v>
      </c>
      <c r="X18" s="36" t="s">
        <v>331</v>
      </c>
      <c r="Y18" s="36">
        <f t="shared" si="2"/>
        <v>192.78</v>
      </c>
      <c r="Z18" s="36" t="s">
        <v>332</v>
      </c>
      <c r="AA18" s="36">
        <f t="shared" si="3"/>
        <v>69.39</v>
      </c>
      <c r="AB18" s="36" t="s">
        <v>333</v>
      </c>
      <c r="AC18" s="36">
        <f t="shared" si="4"/>
        <v>703.47</v>
      </c>
      <c r="AD18" s="36" t="s">
        <v>334</v>
      </c>
      <c r="AE18" s="36">
        <f t="shared" si="5"/>
        <v>388.61</v>
      </c>
      <c r="AF18" s="36" t="s">
        <v>335</v>
      </c>
      <c r="AG18" s="36">
        <f t="shared" si="6"/>
        <v>109.76</v>
      </c>
      <c r="AH18" s="36"/>
    </row>
    <row r="19">
      <c r="A19" s="36">
        <v>19.0</v>
      </c>
      <c r="B19" s="36" t="s">
        <v>537</v>
      </c>
      <c r="C19" s="448">
        <v>0.0</v>
      </c>
      <c r="D19" s="448">
        <v>1.0</v>
      </c>
      <c r="E19" s="448">
        <v>0.0</v>
      </c>
      <c r="F19" s="448">
        <v>0.0</v>
      </c>
      <c r="G19" s="448">
        <v>0.0</v>
      </c>
      <c r="H19" s="450">
        <v>5.0</v>
      </c>
      <c r="I19" s="451">
        <v>7.0</v>
      </c>
      <c r="J19" s="451">
        <v>50.0</v>
      </c>
      <c r="K19" s="451">
        <v>36.11</v>
      </c>
      <c r="L19" s="451">
        <v>67.5</v>
      </c>
      <c r="M19" s="451">
        <v>77.5</v>
      </c>
      <c r="N19" s="451">
        <v>1.63</v>
      </c>
      <c r="O19" s="519">
        <v>2.13</v>
      </c>
      <c r="P19" s="453">
        <v>9.0</v>
      </c>
      <c r="Q19" s="453">
        <v>10.0</v>
      </c>
      <c r="R19" s="453">
        <v>9.3</v>
      </c>
      <c r="S19" s="423">
        <v>9.0</v>
      </c>
      <c r="T19" s="423">
        <v>6.0</v>
      </c>
      <c r="U19" s="454">
        <v>8.1</v>
      </c>
      <c r="V19" s="356" t="s">
        <v>336</v>
      </c>
      <c r="W19" s="356">
        <f t="shared" si="1"/>
        <v>335.99</v>
      </c>
      <c r="X19" s="36" t="s">
        <v>337</v>
      </c>
      <c r="Y19" s="36">
        <f t="shared" si="2"/>
        <v>220.24</v>
      </c>
      <c r="Z19" s="36" t="s">
        <v>338</v>
      </c>
      <c r="AA19" s="36">
        <f t="shared" si="3"/>
        <v>52.75</v>
      </c>
      <c r="AB19" s="36" t="s">
        <v>339</v>
      </c>
      <c r="AC19" s="36">
        <f t="shared" si="4"/>
        <v>540.76</v>
      </c>
      <c r="AD19" s="36" t="s">
        <v>340</v>
      </c>
      <c r="AE19" s="36">
        <f t="shared" si="5"/>
        <v>550.3</v>
      </c>
      <c r="AF19" s="36" t="s">
        <v>341</v>
      </c>
      <c r="AG19" s="36">
        <f t="shared" si="6"/>
        <v>122.87</v>
      </c>
      <c r="AH19" s="36"/>
    </row>
    <row r="20">
      <c r="A20" s="36">
        <v>20.0</v>
      </c>
      <c r="B20" s="36" t="s">
        <v>524</v>
      </c>
      <c r="C20" s="448">
        <v>0.0</v>
      </c>
      <c r="D20" s="448">
        <v>0.0</v>
      </c>
      <c r="E20" s="448">
        <v>0.0</v>
      </c>
      <c r="F20" s="448">
        <v>1.0</v>
      </c>
      <c r="G20" s="448">
        <v>0.0</v>
      </c>
      <c r="H20" s="450">
        <v>6.0</v>
      </c>
      <c r="I20" s="451">
        <v>7.0</v>
      </c>
      <c r="J20" s="451">
        <v>50.0</v>
      </c>
      <c r="K20" s="451">
        <v>38.89</v>
      </c>
      <c r="L20" s="451">
        <v>77.5</v>
      </c>
      <c r="M20" s="451">
        <v>87.5</v>
      </c>
      <c r="N20" s="451">
        <v>1.0</v>
      </c>
      <c r="O20" s="519">
        <v>1.63</v>
      </c>
      <c r="P20" s="453">
        <v>9.0</v>
      </c>
      <c r="Q20" s="453">
        <v>6.0</v>
      </c>
      <c r="R20" s="453">
        <v>8.1</v>
      </c>
      <c r="S20" s="423">
        <v>9.0</v>
      </c>
      <c r="T20" s="423">
        <v>6.0</v>
      </c>
      <c r="U20" s="454">
        <v>8.1</v>
      </c>
      <c r="V20" s="356" t="s">
        <v>342</v>
      </c>
      <c r="W20" s="356">
        <f t="shared" si="1"/>
        <v>695.96</v>
      </c>
      <c r="X20" s="36" t="s">
        <v>343</v>
      </c>
      <c r="Y20" s="36">
        <f t="shared" si="2"/>
        <v>440.59</v>
      </c>
      <c r="Z20" s="36" t="s">
        <v>344</v>
      </c>
      <c r="AA20" s="36">
        <f t="shared" si="3"/>
        <v>78.83</v>
      </c>
      <c r="AB20" s="36" t="s">
        <v>345</v>
      </c>
      <c r="AC20" s="36">
        <f t="shared" si="4"/>
        <v>895.98</v>
      </c>
      <c r="AD20" s="36" t="s">
        <v>347</v>
      </c>
      <c r="AE20" s="36">
        <f t="shared" si="5"/>
        <v>376.81</v>
      </c>
      <c r="AF20" s="36" t="s">
        <v>348</v>
      </c>
      <c r="AG20" s="36">
        <f t="shared" si="6"/>
        <v>116.05</v>
      </c>
      <c r="AH20" s="36"/>
    </row>
    <row r="21">
      <c r="A21" s="36">
        <v>21.0</v>
      </c>
      <c r="B21" s="36" t="s">
        <v>537</v>
      </c>
      <c r="C21" s="448">
        <v>0.0</v>
      </c>
      <c r="D21" s="448">
        <v>1.0</v>
      </c>
      <c r="E21" s="448">
        <v>0.0</v>
      </c>
      <c r="F21" s="448">
        <v>0.0</v>
      </c>
      <c r="G21" s="448">
        <v>0.0</v>
      </c>
      <c r="H21" s="450">
        <v>6.0</v>
      </c>
      <c r="I21" s="451">
        <v>2.0</v>
      </c>
      <c r="J21" s="451">
        <v>41.67</v>
      </c>
      <c r="K21" s="451">
        <v>52.78</v>
      </c>
      <c r="L21" s="451">
        <v>92.5</v>
      </c>
      <c r="M21" s="451">
        <v>37.5</v>
      </c>
      <c r="N21" s="451">
        <v>1.25</v>
      </c>
      <c r="O21" s="519">
        <v>-1.0</v>
      </c>
      <c r="P21" s="453">
        <v>9.0</v>
      </c>
      <c r="Q21" s="453">
        <v>10.0</v>
      </c>
      <c r="R21" s="453">
        <v>9.3</v>
      </c>
      <c r="S21" s="423">
        <v>10.0</v>
      </c>
      <c r="T21" s="423">
        <v>10.0</v>
      </c>
      <c r="U21" s="454">
        <v>10.0</v>
      </c>
      <c r="V21" s="356" t="s">
        <v>349</v>
      </c>
      <c r="W21" s="356">
        <f t="shared" si="1"/>
        <v>451.59</v>
      </c>
      <c r="X21" s="36" t="s">
        <v>351</v>
      </c>
      <c r="Y21" s="36">
        <f t="shared" si="2"/>
        <v>220.59</v>
      </c>
      <c r="Z21" s="36" t="s">
        <v>352</v>
      </c>
      <c r="AA21" s="36">
        <f t="shared" si="3"/>
        <v>42.94</v>
      </c>
      <c r="AB21" s="36" t="s">
        <v>353</v>
      </c>
      <c r="AC21" s="36">
        <f t="shared" si="4"/>
        <v>459.67</v>
      </c>
      <c r="AD21" s="36" t="s">
        <v>354</v>
      </c>
      <c r="AE21" s="36">
        <f t="shared" si="5"/>
        <v>341.18</v>
      </c>
      <c r="AF21" s="36" t="s">
        <v>355</v>
      </c>
      <c r="AG21" s="36">
        <f t="shared" si="6"/>
        <v>113.51</v>
      </c>
      <c r="AH21" s="36"/>
    </row>
    <row r="22">
      <c r="A22" s="36">
        <v>22.0</v>
      </c>
      <c r="B22" s="36" t="s">
        <v>574</v>
      </c>
      <c r="C22" s="448">
        <v>1.0</v>
      </c>
      <c r="D22" s="448">
        <v>1.0</v>
      </c>
      <c r="E22" s="448">
        <v>0.0</v>
      </c>
      <c r="F22" s="448">
        <v>0.0</v>
      </c>
      <c r="G22" s="448">
        <v>0.0</v>
      </c>
      <c r="H22" s="450">
        <v>5.0</v>
      </c>
      <c r="I22" s="451">
        <v>6.0</v>
      </c>
      <c r="J22" s="451">
        <v>36.11</v>
      </c>
      <c r="K22" s="451">
        <v>36.11</v>
      </c>
      <c r="L22" s="451">
        <v>82.5</v>
      </c>
      <c r="M22" s="451">
        <v>75.0</v>
      </c>
      <c r="N22" s="451">
        <v>1.38</v>
      </c>
      <c r="O22" s="519">
        <v>1.0</v>
      </c>
      <c r="P22" s="453">
        <v>9.0</v>
      </c>
      <c r="Q22" s="453">
        <v>10.0</v>
      </c>
      <c r="R22" s="453">
        <v>9.3</v>
      </c>
      <c r="S22" s="423">
        <v>8.0</v>
      </c>
      <c r="T22" s="423">
        <v>6.0</v>
      </c>
      <c r="U22" s="454">
        <v>7.4</v>
      </c>
      <c r="V22" s="356" t="s">
        <v>356</v>
      </c>
      <c r="W22" s="356">
        <f t="shared" si="1"/>
        <v>305.94</v>
      </c>
      <c r="X22" s="36" t="s">
        <v>357</v>
      </c>
      <c r="Y22" s="36">
        <f t="shared" si="2"/>
        <v>305.44</v>
      </c>
      <c r="Z22" s="36" t="s">
        <v>358</v>
      </c>
      <c r="AA22" s="36">
        <f t="shared" si="3"/>
        <v>39.62</v>
      </c>
      <c r="AB22" s="36" t="s">
        <v>359</v>
      </c>
      <c r="AC22" s="36">
        <f t="shared" si="4"/>
        <v>433.38</v>
      </c>
      <c r="AD22" s="36" t="s">
        <v>360</v>
      </c>
      <c r="AE22" s="36">
        <f t="shared" si="5"/>
        <v>484.8</v>
      </c>
      <c r="AF22" s="36" t="s">
        <v>361</v>
      </c>
      <c r="AG22" s="36">
        <f t="shared" si="6"/>
        <v>70.79</v>
      </c>
      <c r="AH22" s="36"/>
    </row>
    <row r="23">
      <c r="A23" s="36">
        <v>23.0</v>
      </c>
      <c r="B23" s="36" t="s">
        <v>576</v>
      </c>
      <c r="C23" s="448">
        <v>0.0</v>
      </c>
      <c r="D23" s="448">
        <v>0.0</v>
      </c>
      <c r="E23" s="448">
        <v>0.0</v>
      </c>
      <c r="F23" s="448">
        <v>1.0</v>
      </c>
      <c r="G23" s="448">
        <v>0.0</v>
      </c>
      <c r="H23" s="450">
        <v>5.0</v>
      </c>
      <c r="I23" s="451">
        <v>6.0</v>
      </c>
      <c r="J23" s="451">
        <v>50.0</v>
      </c>
      <c r="K23" s="451">
        <v>44.44</v>
      </c>
      <c r="L23" s="451">
        <v>77.5</v>
      </c>
      <c r="M23" s="451">
        <v>85.0</v>
      </c>
      <c r="N23" s="451">
        <v>1.25</v>
      </c>
      <c r="O23" s="519">
        <v>1.13</v>
      </c>
      <c r="P23" s="453">
        <v>9.0</v>
      </c>
      <c r="Q23" s="453">
        <v>10.0</v>
      </c>
      <c r="R23" s="453">
        <v>9.3</v>
      </c>
      <c r="S23" s="423">
        <v>8.0</v>
      </c>
      <c r="T23" s="423">
        <v>10.0</v>
      </c>
      <c r="U23" s="454">
        <v>8.6</v>
      </c>
      <c r="V23" s="356" t="s">
        <v>362</v>
      </c>
      <c r="W23" s="356">
        <f t="shared" si="1"/>
        <v>469.6</v>
      </c>
      <c r="X23" s="36" t="s">
        <v>363</v>
      </c>
      <c r="Y23" s="36">
        <f t="shared" si="2"/>
        <v>340.26</v>
      </c>
      <c r="Z23" s="36" t="s">
        <v>364</v>
      </c>
      <c r="AA23" s="36">
        <f t="shared" si="3"/>
        <v>53.14</v>
      </c>
      <c r="AB23" s="36" t="s">
        <v>365</v>
      </c>
      <c r="AC23" s="36">
        <f t="shared" si="4"/>
        <v>667.86</v>
      </c>
      <c r="AD23" s="36" t="s">
        <v>366</v>
      </c>
      <c r="AE23" s="36">
        <f t="shared" si="5"/>
        <v>371.11</v>
      </c>
      <c r="AF23" s="36" t="s">
        <v>367</v>
      </c>
      <c r="AG23" s="36">
        <f t="shared" si="6"/>
        <v>109.77</v>
      </c>
      <c r="AH23" s="36"/>
    </row>
    <row r="24">
      <c r="A24" s="36">
        <v>24.0</v>
      </c>
      <c r="B24" s="36" t="s">
        <v>574</v>
      </c>
      <c r="C24" s="448">
        <v>0.0</v>
      </c>
      <c r="D24" s="448">
        <v>0.0</v>
      </c>
      <c r="E24" s="448">
        <v>0.0</v>
      </c>
      <c r="F24" s="448">
        <v>1.0</v>
      </c>
      <c r="G24" s="448">
        <v>0.0</v>
      </c>
      <c r="H24" s="450">
        <v>5.0</v>
      </c>
      <c r="I24" s="451">
        <v>5.0</v>
      </c>
      <c r="J24" s="451">
        <v>58.33</v>
      </c>
      <c r="K24" s="451">
        <v>41.67</v>
      </c>
      <c r="L24" s="451">
        <v>62.5</v>
      </c>
      <c r="M24" s="451">
        <v>75.0</v>
      </c>
      <c r="N24" s="451">
        <v>1.63</v>
      </c>
      <c r="O24" s="519">
        <v>1.88</v>
      </c>
      <c r="P24" s="453">
        <v>10.0</v>
      </c>
      <c r="Q24" s="453">
        <v>10.0</v>
      </c>
      <c r="R24" s="453">
        <v>10.0</v>
      </c>
      <c r="S24" s="423">
        <v>6.0</v>
      </c>
      <c r="T24" s="423">
        <v>6.0</v>
      </c>
      <c r="U24" s="454">
        <v>6.0</v>
      </c>
      <c r="V24" s="356" t="s">
        <v>368</v>
      </c>
      <c r="W24" s="356">
        <f t="shared" si="1"/>
        <v>511.56</v>
      </c>
      <c r="X24" s="36" t="s">
        <v>369</v>
      </c>
      <c r="Y24" s="36">
        <f t="shared" si="2"/>
        <v>273.75</v>
      </c>
      <c r="Z24" s="36" t="s">
        <v>370</v>
      </c>
      <c r="AA24" s="36">
        <f t="shared" si="3"/>
        <v>45.63</v>
      </c>
      <c r="AB24" s="36" t="s">
        <v>371</v>
      </c>
      <c r="AC24" s="36">
        <f t="shared" si="4"/>
        <v>526.11</v>
      </c>
      <c r="AD24" s="36" t="s">
        <v>372</v>
      </c>
      <c r="AE24" s="36">
        <f t="shared" si="5"/>
        <v>324.48</v>
      </c>
      <c r="AF24" s="36" t="s">
        <v>373</v>
      </c>
      <c r="AG24" s="36">
        <f t="shared" si="6"/>
        <v>198.49</v>
      </c>
      <c r="AH24" s="36"/>
    </row>
    <row r="25">
      <c r="A25" s="36">
        <v>25.0</v>
      </c>
      <c r="B25" s="36" t="s">
        <v>576</v>
      </c>
      <c r="C25" s="448">
        <v>0.0</v>
      </c>
      <c r="D25" s="448">
        <v>1.0</v>
      </c>
      <c r="E25" s="448">
        <v>1.0</v>
      </c>
      <c r="F25" s="448">
        <v>0.0</v>
      </c>
      <c r="G25" s="448">
        <v>0.0</v>
      </c>
      <c r="H25" s="450">
        <v>6.0</v>
      </c>
      <c r="I25" s="451">
        <v>7.0</v>
      </c>
      <c r="J25" s="451">
        <v>25.0</v>
      </c>
      <c r="K25" s="451">
        <v>22.22</v>
      </c>
      <c r="L25" s="451">
        <v>92.5</v>
      </c>
      <c r="M25" s="451">
        <v>85.0</v>
      </c>
      <c r="N25" s="451">
        <v>0.88</v>
      </c>
      <c r="O25" s="519">
        <v>0.88</v>
      </c>
      <c r="P25" s="453">
        <v>9.0</v>
      </c>
      <c r="Q25" s="453">
        <v>10.0</v>
      </c>
      <c r="R25" s="453">
        <v>9.3</v>
      </c>
      <c r="S25" s="423">
        <v>9.0</v>
      </c>
      <c r="T25" s="423">
        <v>10.0</v>
      </c>
      <c r="U25" s="454">
        <v>9.3</v>
      </c>
      <c r="V25" s="356" t="s">
        <v>374</v>
      </c>
      <c r="W25" s="356">
        <f t="shared" si="1"/>
        <v>339.45</v>
      </c>
      <c r="X25" s="36" t="s">
        <v>375</v>
      </c>
      <c r="Y25" s="36">
        <f t="shared" si="2"/>
        <v>256.35</v>
      </c>
      <c r="Z25" s="36" t="s">
        <v>376</v>
      </c>
      <c r="AA25" s="36">
        <f t="shared" si="3"/>
        <v>61.03</v>
      </c>
      <c r="AB25" s="36" t="s">
        <v>377</v>
      </c>
      <c r="AC25" s="36">
        <f t="shared" si="4"/>
        <v>261.69</v>
      </c>
      <c r="AD25" s="36" t="s">
        <v>378</v>
      </c>
      <c r="AE25" s="36">
        <f t="shared" si="5"/>
        <v>225.85</v>
      </c>
      <c r="AF25" s="36" t="s">
        <v>379</v>
      </c>
      <c r="AG25" s="36">
        <f t="shared" si="6"/>
        <v>109.75</v>
      </c>
      <c r="AH25" s="36"/>
    </row>
    <row r="26">
      <c r="A26" s="36">
        <v>26.0</v>
      </c>
      <c r="B26" s="36" t="s">
        <v>574</v>
      </c>
      <c r="C26" s="448">
        <v>0.0</v>
      </c>
      <c r="D26" s="448">
        <v>0.0</v>
      </c>
      <c r="E26" s="448">
        <v>1.0</v>
      </c>
      <c r="F26" s="448">
        <v>0.0</v>
      </c>
      <c r="G26" s="448">
        <v>1.0</v>
      </c>
      <c r="H26" s="450">
        <v>5.0</v>
      </c>
      <c r="I26" s="451">
        <v>5.0</v>
      </c>
      <c r="J26" s="451">
        <v>41.67</v>
      </c>
      <c r="K26" s="451">
        <v>58.33</v>
      </c>
      <c r="L26" s="451">
        <v>80.0</v>
      </c>
      <c r="M26" s="451">
        <v>67.5</v>
      </c>
      <c r="N26" s="451">
        <v>1.13</v>
      </c>
      <c r="O26" s="519">
        <v>1.5</v>
      </c>
      <c r="P26" s="453">
        <v>9.0</v>
      </c>
      <c r="Q26" s="453">
        <v>10.0</v>
      </c>
      <c r="R26" s="453">
        <v>9.3</v>
      </c>
      <c r="S26" s="423">
        <v>10.0</v>
      </c>
      <c r="T26" s="423">
        <v>10.0</v>
      </c>
      <c r="U26" s="454">
        <v>10.0</v>
      </c>
      <c r="V26" s="356" t="s">
        <v>380</v>
      </c>
      <c r="W26" s="356">
        <f t="shared" si="1"/>
        <v>583.02</v>
      </c>
      <c r="X26" s="36" t="s">
        <v>381</v>
      </c>
      <c r="Y26" s="36">
        <f t="shared" si="2"/>
        <v>347.91</v>
      </c>
      <c r="Z26" s="36" t="s">
        <v>382</v>
      </c>
      <c r="AA26" s="36">
        <f t="shared" si="3"/>
        <v>60.64</v>
      </c>
      <c r="AB26" s="36" t="s">
        <v>383</v>
      </c>
      <c r="AC26" s="36">
        <f t="shared" si="4"/>
        <v>683.88</v>
      </c>
      <c r="AD26" s="36" t="s">
        <v>384</v>
      </c>
      <c r="AE26" s="36">
        <f t="shared" si="5"/>
        <v>457.47</v>
      </c>
      <c r="AF26" s="36" t="s">
        <v>385</v>
      </c>
      <c r="AG26" s="36">
        <f t="shared" si="6"/>
        <v>181.22</v>
      </c>
      <c r="AH26" s="36"/>
    </row>
    <row r="27">
      <c r="A27" s="36">
        <v>27.0</v>
      </c>
      <c r="B27" s="36" t="s">
        <v>576</v>
      </c>
      <c r="C27" s="448">
        <v>0.0</v>
      </c>
      <c r="D27" s="448">
        <v>0.0</v>
      </c>
      <c r="E27" s="448">
        <v>0.0</v>
      </c>
      <c r="F27" s="448">
        <v>1.0</v>
      </c>
      <c r="G27" s="448">
        <v>0.0</v>
      </c>
      <c r="H27" s="450">
        <v>5.0</v>
      </c>
      <c r="I27" s="451">
        <v>4.0</v>
      </c>
      <c r="J27" s="451">
        <v>36.11</v>
      </c>
      <c r="K27" s="451">
        <v>52.78</v>
      </c>
      <c r="L27" s="451">
        <v>80.0</v>
      </c>
      <c r="M27" s="451">
        <v>67.5</v>
      </c>
      <c r="N27" s="451">
        <v>2.88</v>
      </c>
      <c r="O27" s="519">
        <v>2.63</v>
      </c>
      <c r="P27" s="453">
        <v>9.0</v>
      </c>
      <c r="Q27" s="453">
        <v>10.0</v>
      </c>
      <c r="R27" s="453">
        <v>9.3</v>
      </c>
      <c r="S27" s="423">
        <v>8.0</v>
      </c>
      <c r="T27" s="423">
        <v>10.0</v>
      </c>
      <c r="U27" s="454">
        <v>8.6</v>
      </c>
      <c r="V27" s="356" t="s">
        <v>386</v>
      </c>
      <c r="W27" s="356">
        <f t="shared" si="1"/>
        <v>816.6</v>
      </c>
      <c r="X27" s="36" t="s">
        <v>387</v>
      </c>
      <c r="Y27" s="36">
        <f t="shared" si="2"/>
        <v>501.47</v>
      </c>
      <c r="Z27" s="36" t="s">
        <v>388</v>
      </c>
      <c r="AA27" s="36">
        <f t="shared" si="3"/>
        <v>44.42</v>
      </c>
      <c r="AB27" s="36" t="s">
        <v>389</v>
      </c>
      <c r="AC27" s="36">
        <f t="shared" si="4"/>
        <v>938.68</v>
      </c>
      <c r="AD27" s="36" t="s">
        <v>390</v>
      </c>
      <c r="AE27" s="36">
        <f t="shared" si="5"/>
        <v>439.91</v>
      </c>
      <c r="AF27" s="36" t="s">
        <v>391</v>
      </c>
      <c r="AG27" s="36">
        <f t="shared" si="6"/>
        <v>141.62</v>
      </c>
      <c r="AH27" s="36"/>
    </row>
    <row r="28">
      <c r="A28" s="36">
        <v>28.0</v>
      </c>
      <c r="B28" s="36" t="s">
        <v>574</v>
      </c>
      <c r="C28" s="448">
        <v>0.0</v>
      </c>
      <c r="D28" s="448">
        <v>0.0</v>
      </c>
      <c r="E28" s="448">
        <v>0.0</v>
      </c>
      <c r="F28" s="448">
        <v>1.0</v>
      </c>
      <c r="G28" s="448">
        <v>0.0</v>
      </c>
      <c r="H28" s="450">
        <v>3.0</v>
      </c>
      <c r="I28" s="451">
        <v>6.0</v>
      </c>
      <c r="J28" s="451">
        <v>66.67</v>
      </c>
      <c r="K28" s="451">
        <v>27.78</v>
      </c>
      <c r="L28" s="451">
        <v>77.5</v>
      </c>
      <c r="M28" s="451">
        <v>85.0</v>
      </c>
      <c r="N28" s="451">
        <v>1.13</v>
      </c>
      <c r="O28" s="519">
        <v>1.75</v>
      </c>
      <c r="P28" s="453">
        <v>8.0</v>
      </c>
      <c r="Q28" s="453">
        <v>6.0</v>
      </c>
      <c r="R28" s="453">
        <v>7.4</v>
      </c>
      <c r="S28" s="423">
        <v>8.0</v>
      </c>
      <c r="T28" s="423">
        <v>10.0</v>
      </c>
      <c r="U28" s="454">
        <v>8.6</v>
      </c>
      <c r="V28" s="356" t="s">
        <v>392</v>
      </c>
      <c r="W28" s="356">
        <f t="shared" si="1"/>
        <v>324.07</v>
      </c>
      <c r="X28" s="36" t="s">
        <v>393</v>
      </c>
      <c r="Y28" s="36">
        <f t="shared" si="2"/>
        <v>239.72</v>
      </c>
      <c r="Z28" s="36" t="s">
        <v>394</v>
      </c>
      <c r="AA28" s="36">
        <f t="shared" si="3"/>
        <v>64.31</v>
      </c>
      <c r="AB28" s="36" t="s">
        <v>395</v>
      </c>
      <c r="AC28" s="36">
        <f t="shared" si="4"/>
        <v>677.46</v>
      </c>
      <c r="AD28" s="36" t="s">
        <v>396</v>
      </c>
      <c r="AE28" s="36">
        <f t="shared" si="5"/>
        <v>316.97</v>
      </c>
      <c r="AF28" s="36" t="s">
        <v>397</v>
      </c>
      <c r="AG28" s="36">
        <f t="shared" si="6"/>
        <v>75.36</v>
      </c>
      <c r="AH28" s="36"/>
    </row>
    <row r="29">
      <c r="A29" s="36">
        <v>29.0</v>
      </c>
      <c r="B29" s="36" t="s">
        <v>576</v>
      </c>
      <c r="C29" s="448">
        <v>0.0</v>
      </c>
      <c r="D29" s="448">
        <v>0.0</v>
      </c>
      <c r="E29" s="448">
        <v>0.0</v>
      </c>
      <c r="F29" s="448">
        <v>1.0</v>
      </c>
      <c r="G29" s="448">
        <v>0.0</v>
      </c>
      <c r="H29" s="450">
        <v>5.0</v>
      </c>
      <c r="I29" s="451">
        <v>3.0</v>
      </c>
      <c r="J29" s="451">
        <v>36.11</v>
      </c>
      <c r="K29" s="451">
        <v>41.67</v>
      </c>
      <c r="L29" s="451">
        <v>85.0</v>
      </c>
      <c r="M29" s="451">
        <v>77.5</v>
      </c>
      <c r="N29" s="451">
        <v>0.75</v>
      </c>
      <c r="O29" s="519">
        <v>0.13</v>
      </c>
      <c r="P29" s="453">
        <v>8.0</v>
      </c>
      <c r="Q29" s="453">
        <v>6.0</v>
      </c>
      <c r="R29" s="453">
        <v>7.4</v>
      </c>
      <c r="S29" s="423">
        <v>7.0</v>
      </c>
      <c r="T29" s="423">
        <v>10.0</v>
      </c>
      <c r="U29" s="454">
        <v>7.9</v>
      </c>
      <c r="V29" s="356" t="s">
        <v>398</v>
      </c>
      <c r="W29" s="356">
        <f t="shared" si="1"/>
        <v>510.56</v>
      </c>
      <c r="X29" s="36" t="s">
        <v>399</v>
      </c>
      <c r="Y29" s="36">
        <f t="shared" si="2"/>
        <v>197.66</v>
      </c>
      <c r="Z29" s="36" t="s">
        <v>400</v>
      </c>
      <c r="AA29" s="36">
        <f t="shared" si="3"/>
        <v>57.83</v>
      </c>
      <c r="AB29" s="36" t="s">
        <v>401</v>
      </c>
      <c r="AC29" s="36">
        <f t="shared" si="4"/>
        <v>382.16</v>
      </c>
      <c r="AD29" s="36" t="s">
        <v>402</v>
      </c>
      <c r="AE29" s="36">
        <f t="shared" si="5"/>
        <v>327.89</v>
      </c>
      <c r="AF29" s="36" t="s">
        <v>403</v>
      </c>
      <c r="AG29" s="36">
        <f t="shared" si="6"/>
        <v>146.25</v>
      </c>
      <c r="AH29" s="36"/>
    </row>
    <row r="30">
      <c r="A30" s="36">
        <v>31.0</v>
      </c>
      <c r="B30" s="36" t="s">
        <v>576</v>
      </c>
      <c r="C30" s="448">
        <v>0.0</v>
      </c>
      <c r="D30" s="448">
        <v>1.0</v>
      </c>
      <c r="E30" s="448">
        <v>0.0</v>
      </c>
      <c r="F30" s="448">
        <v>0.0</v>
      </c>
      <c r="G30" s="448">
        <v>0.0</v>
      </c>
      <c r="H30" s="450">
        <v>6.0</v>
      </c>
      <c r="I30" s="451">
        <v>2.0</v>
      </c>
      <c r="J30" s="451">
        <v>38.89</v>
      </c>
      <c r="K30" s="451">
        <v>41.67</v>
      </c>
      <c r="L30" s="451">
        <v>85.0</v>
      </c>
      <c r="M30" s="451">
        <v>40.0</v>
      </c>
      <c r="N30" s="451">
        <v>0.63</v>
      </c>
      <c r="O30" s="519">
        <v>-1.25</v>
      </c>
      <c r="P30" s="453">
        <v>8.0</v>
      </c>
      <c r="Q30" s="453">
        <v>6.0</v>
      </c>
      <c r="R30" s="453">
        <v>7.4</v>
      </c>
      <c r="S30" s="423">
        <v>9.0</v>
      </c>
      <c r="T30" s="423">
        <v>10.0</v>
      </c>
      <c r="U30" s="454">
        <v>9.3</v>
      </c>
      <c r="V30" s="356" t="s">
        <v>404</v>
      </c>
      <c r="W30" s="356">
        <f t="shared" si="1"/>
        <v>543.95</v>
      </c>
      <c r="X30" s="36" t="s">
        <v>405</v>
      </c>
      <c r="Y30" s="36">
        <f t="shared" si="2"/>
        <v>390.81</v>
      </c>
      <c r="Z30" s="36" t="s">
        <v>406</v>
      </c>
      <c r="AA30" s="36">
        <f t="shared" si="3"/>
        <v>43.16</v>
      </c>
      <c r="AB30" s="36" t="s">
        <v>407</v>
      </c>
      <c r="AC30" s="36">
        <f t="shared" si="4"/>
        <v>479.95</v>
      </c>
      <c r="AD30" s="36" t="s">
        <v>408</v>
      </c>
      <c r="AE30" s="36">
        <f t="shared" si="5"/>
        <v>466.72</v>
      </c>
      <c r="AF30" s="36" t="s">
        <v>409</v>
      </c>
      <c r="AG30" s="36">
        <f t="shared" si="6"/>
        <v>205.63</v>
      </c>
      <c r="AH30" s="36"/>
    </row>
    <row r="31">
      <c r="A31" s="36">
        <v>32.0</v>
      </c>
      <c r="B31" s="36" t="s">
        <v>574</v>
      </c>
      <c r="C31" s="461">
        <v>1.0</v>
      </c>
      <c r="D31" s="461">
        <v>1.0</v>
      </c>
      <c r="E31" s="461">
        <v>0.0</v>
      </c>
      <c r="F31" s="461">
        <v>0.0</v>
      </c>
      <c r="G31" s="461">
        <v>0.0</v>
      </c>
      <c r="H31" s="473">
        <v>5.0</v>
      </c>
      <c r="I31" s="463">
        <v>5.0</v>
      </c>
      <c r="J31" s="463">
        <v>25.0</v>
      </c>
      <c r="K31" s="463">
        <v>30.56</v>
      </c>
      <c r="L31" s="463">
        <v>85.0</v>
      </c>
      <c r="M31" s="463">
        <v>82.5</v>
      </c>
      <c r="N31" s="463">
        <v>1.38</v>
      </c>
      <c r="O31" s="520">
        <v>0.63</v>
      </c>
      <c r="P31" s="464">
        <v>9.0</v>
      </c>
      <c r="Q31" s="464">
        <v>6.0</v>
      </c>
      <c r="R31" s="464">
        <v>8.1</v>
      </c>
      <c r="S31" s="465">
        <v>10.0</v>
      </c>
      <c r="T31" s="465">
        <v>10.0</v>
      </c>
      <c r="U31" s="475">
        <v>10.0</v>
      </c>
      <c r="V31" s="356" t="s">
        <v>410</v>
      </c>
      <c r="W31" s="356">
        <f t="shared" si="1"/>
        <v>562.03</v>
      </c>
      <c r="X31" s="36" t="s">
        <v>411</v>
      </c>
      <c r="Y31" s="36">
        <f t="shared" si="2"/>
        <v>398.78</v>
      </c>
      <c r="Z31" s="36" t="s">
        <v>412</v>
      </c>
      <c r="AA31" s="36">
        <f t="shared" si="3"/>
        <v>49.15</v>
      </c>
      <c r="AB31" s="36" t="s">
        <v>413</v>
      </c>
      <c r="AC31" s="36">
        <f t="shared" si="4"/>
        <v>671.68</v>
      </c>
      <c r="AD31" s="36" t="s">
        <v>414</v>
      </c>
      <c r="AE31" s="36">
        <f t="shared" si="5"/>
        <v>340.23</v>
      </c>
      <c r="AF31" s="36" t="s">
        <v>415</v>
      </c>
      <c r="AG31" s="36">
        <f t="shared" si="6"/>
        <v>80.9</v>
      </c>
      <c r="AH31" s="3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1" max="11" width="15.13"/>
    <col customWidth="1" min="12" max="12" width="16.5"/>
    <col customWidth="1" min="13" max="13" width="14.25"/>
    <col customWidth="1" min="15" max="15" width="14.0"/>
    <col customWidth="1" min="17" max="17" width="18.38"/>
    <col customWidth="1" min="18" max="19" width="17.5"/>
    <col customWidth="1" min="20" max="20" width="16.0"/>
    <col customWidth="1" min="21" max="21" width="15.13"/>
  </cols>
  <sheetData>
    <row r="1">
      <c r="A1" s="477" t="s">
        <v>2</v>
      </c>
      <c r="B1" s="477" t="s">
        <v>487</v>
      </c>
      <c r="C1" s="521" t="s">
        <v>693</v>
      </c>
      <c r="D1" s="522" t="s">
        <v>694</v>
      </c>
      <c r="E1" s="522" t="s">
        <v>695</v>
      </c>
      <c r="F1" s="522" t="s">
        <v>696</v>
      </c>
      <c r="G1" s="522" t="s">
        <v>697</v>
      </c>
      <c r="H1" s="522" t="s">
        <v>698</v>
      </c>
      <c r="I1" s="522" t="s">
        <v>699</v>
      </c>
      <c r="J1" s="523" t="s">
        <v>700</v>
      </c>
      <c r="K1" s="521" t="s">
        <v>701</v>
      </c>
      <c r="L1" s="522" t="s">
        <v>702</v>
      </c>
      <c r="M1" s="522" t="s">
        <v>703</v>
      </c>
      <c r="N1" s="522" t="s">
        <v>704</v>
      </c>
      <c r="O1" s="522" t="s">
        <v>705</v>
      </c>
      <c r="P1" s="523" t="s">
        <v>706</v>
      </c>
      <c r="Q1" s="477" t="s">
        <v>636</v>
      </c>
      <c r="R1" s="477" t="s">
        <v>637</v>
      </c>
      <c r="S1" s="477" t="s">
        <v>638</v>
      </c>
      <c r="T1" s="477" t="s">
        <v>639</v>
      </c>
      <c r="U1" s="477" t="s">
        <v>640</v>
      </c>
      <c r="V1" s="477" t="s">
        <v>641</v>
      </c>
      <c r="W1" s="524"/>
      <c r="X1" s="524"/>
      <c r="Y1" s="524"/>
      <c r="Z1" s="524"/>
    </row>
    <row r="2">
      <c r="A2" s="36">
        <v>1.0</v>
      </c>
      <c r="B2" s="36" t="s">
        <v>510</v>
      </c>
      <c r="C2" s="450">
        <v>5.0</v>
      </c>
      <c r="D2" s="451">
        <v>3.0</v>
      </c>
      <c r="E2" s="451">
        <v>38.89</v>
      </c>
      <c r="F2" s="451">
        <v>41.67</v>
      </c>
      <c r="G2" s="451">
        <v>72.5</v>
      </c>
      <c r="H2" s="451">
        <v>65.0</v>
      </c>
      <c r="I2" s="451">
        <v>-0.38</v>
      </c>
      <c r="J2" s="519">
        <v>-0.25</v>
      </c>
      <c r="K2" s="525">
        <v>238.84</v>
      </c>
      <c r="L2" s="57">
        <v>218.58</v>
      </c>
      <c r="M2" s="57">
        <v>32.24</v>
      </c>
      <c r="N2" s="57">
        <v>379.87</v>
      </c>
      <c r="O2" s="57">
        <v>237.55</v>
      </c>
      <c r="P2" s="449">
        <v>72.81</v>
      </c>
      <c r="Q2" s="273">
        <v>10.0</v>
      </c>
      <c r="R2" s="273">
        <v>10.0</v>
      </c>
      <c r="S2" s="273">
        <v>10.0</v>
      </c>
      <c r="T2" s="273">
        <v>9.0</v>
      </c>
      <c r="U2" s="273">
        <v>10.0</v>
      </c>
      <c r="V2" s="273">
        <v>9.3</v>
      </c>
    </row>
    <row r="3">
      <c r="A3" s="36">
        <v>2.0</v>
      </c>
      <c r="B3" s="36" t="s">
        <v>517</v>
      </c>
      <c r="C3" s="450">
        <v>3.0</v>
      </c>
      <c r="D3" s="451">
        <v>5.0</v>
      </c>
      <c r="E3" s="451">
        <v>66.67</v>
      </c>
      <c r="F3" s="451">
        <v>41.67</v>
      </c>
      <c r="G3" s="451">
        <v>52.5</v>
      </c>
      <c r="H3" s="451">
        <v>90.0</v>
      </c>
      <c r="I3" s="451">
        <v>1.25</v>
      </c>
      <c r="J3" s="519">
        <v>1.5</v>
      </c>
      <c r="K3" s="525">
        <v>1431.61</v>
      </c>
      <c r="L3" s="57">
        <v>564.82</v>
      </c>
      <c r="M3" s="57">
        <v>136.3</v>
      </c>
      <c r="N3" s="57">
        <v>469.63</v>
      </c>
      <c r="O3" s="57">
        <v>430.14</v>
      </c>
      <c r="P3" s="449">
        <v>142.26</v>
      </c>
      <c r="Q3" s="273">
        <v>6.0</v>
      </c>
      <c r="R3" s="273">
        <v>3.0</v>
      </c>
      <c r="S3" s="273">
        <v>5.1</v>
      </c>
      <c r="T3" s="273">
        <v>8.0</v>
      </c>
      <c r="U3" s="273">
        <v>6.0</v>
      </c>
      <c r="V3" s="273">
        <v>7.4</v>
      </c>
    </row>
    <row r="4">
      <c r="A4" s="36">
        <v>4.0</v>
      </c>
      <c r="B4" s="36" t="s">
        <v>524</v>
      </c>
      <c r="C4" s="450">
        <v>6.0</v>
      </c>
      <c r="D4" s="451">
        <v>3.0</v>
      </c>
      <c r="E4" s="451">
        <v>41.67</v>
      </c>
      <c r="F4" s="451">
        <v>58.33</v>
      </c>
      <c r="G4" s="451">
        <v>80.0</v>
      </c>
      <c r="H4" s="451">
        <v>75.0</v>
      </c>
      <c r="I4" s="451">
        <v>-0.25</v>
      </c>
      <c r="J4" s="519">
        <v>0.5</v>
      </c>
      <c r="K4" s="525">
        <v>641.35</v>
      </c>
      <c r="L4" s="57">
        <v>345.04</v>
      </c>
      <c r="M4" s="57">
        <v>62.32</v>
      </c>
      <c r="N4" s="57">
        <v>682.44</v>
      </c>
      <c r="O4" s="57">
        <v>381.03</v>
      </c>
      <c r="P4" s="449">
        <v>145.76</v>
      </c>
      <c r="Q4" s="273">
        <v>9.0</v>
      </c>
      <c r="R4" s="273">
        <v>6.0</v>
      </c>
      <c r="S4" s="273">
        <v>8.1</v>
      </c>
      <c r="T4" s="273">
        <v>10.0</v>
      </c>
      <c r="U4" s="273">
        <v>8.0</v>
      </c>
      <c r="V4" s="273">
        <v>9.4</v>
      </c>
    </row>
    <row r="5">
      <c r="A5" s="36">
        <v>5.0</v>
      </c>
      <c r="B5" s="36" t="s">
        <v>510</v>
      </c>
      <c r="C5" s="450">
        <v>5.0</v>
      </c>
      <c r="D5" s="451">
        <v>3.0</v>
      </c>
      <c r="E5" s="451">
        <v>38.89</v>
      </c>
      <c r="F5" s="451">
        <v>52.78</v>
      </c>
      <c r="G5" s="451">
        <v>75.0</v>
      </c>
      <c r="H5" s="451">
        <v>70.0</v>
      </c>
      <c r="I5" s="451">
        <v>-0.25</v>
      </c>
      <c r="J5" s="519">
        <v>0.38</v>
      </c>
      <c r="K5" s="525">
        <v>485.36</v>
      </c>
      <c r="L5" s="57">
        <v>202.68</v>
      </c>
      <c r="M5" s="57">
        <v>41.1</v>
      </c>
      <c r="N5" s="57">
        <v>1251.07</v>
      </c>
      <c r="O5" s="57">
        <v>428.82</v>
      </c>
      <c r="P5" s="449">
        <v>59.74</v>
      </c>
      <c r="Q5" s="273">
        <v>7.0</v>
      </c>
      <c r="R5" s="273">
        <v>5.0</v>
      </c>
      <c r="S5" s="273">
        <v>6.4</v>
      </c>
      <c r="T5" s="273">
        <v>9.0</v>
      </c>
      <c r="U5" s="273">
        <v>6.0</v>
      </c>
      <c r="V5" s="273">
        <v>8.1</v>
      </c>
    </row>
    <row r="6">
      <c r="A6" s="36">
        <v>6.0</v>
      </c>
      <c r="B6" s="36" t="s">
        <v>517</v>
      </c>
      <c r="C6" s="450">
        <v>5.0</v>
      </c>
      <c r="D6" s="451">
        <v>6.0</v>
      </c>
      <c r="E6" s="451">
        <v>30.56</v>
      </c>
      <c r="F6" s="451">
        <v>25.0</v>
      </c>
      <c r="G6" s="451">
        <v>95.0</v>
      </c>
      <c r="H6" s="451">
        <v>97.5</v>
      </c>
      <c r="I6" s="451">
        <v>2.63</v>
      </c>
      <c r="J6" s="519">
        <v>2.63</v>
      </c>
      <c r="K6" s="525">
        <v>428.64</v>
      </c>
      <c r="L6" s="57">
        <v>217.52</v>
      </c>
      <c r="M6" s="57">
        <v>110.93</v>
      </c>
      <c r="N6" s="57">
        <v>286.25</v>
      </c>
      <c r="O6" s="57">
        <v>162.24</v>
      </c>
      <c r="P6" s="449">
        <v>33.32</v>
      </c>
      <c r="Q6" s="273">
        <v>10.0</v>
      </c>
      <c r="R6" s="273">
        <v>10.0</v>
      </c>
      <c r="S6" s="273">
        <v>10.0</v>
      </c>
      <c r="T6" s="273">
        <v>10.0</v>
      </c>
      <c r="U6" s="273">
        <v>10.0</v>
      </c>
      <c r="V6" s="273">
        <v>10.0</v>
      </c>
    </row>
    <row r="7">
      <c r="A7" s="36">
        <v>7.0</v>
      </c>
      <c r="B7" s="36" t="s">
        <v>537</v>
      </c>
      <c r="C7" s="450">
        <v>3.0</v>
      </c>
      <c r="D7" s="451">
        <v>3.0</v>
      </c>
      <c r="E7" s="451">
        <v>41.67</v>
      </c>
      <c r="F7" s="451">
        <v>58.33</v>
      </c>
      <c r="G7" s="451">
        <v>72.5</v>
      </c>
      <c r="H7" s="451">
        <v>47.5</v>
      </c>
      <c r="I7" s="451">
        <v>1.38</v>
      </c>
      <c r="J7" s="519">
        <v>0.0</v>
      </c>
      <c r="K7" s="525">
        <v>426.99</v>
      </c>
      <c r="L7" s="57">
        <v>370.84</v>
      </c>
      <c r="M7" s="57">
        <v>118.31</v>
      </c>
      <c r="N7" s="57">
        <v>426.56</v>
      </c>
      <c r="O7" s="57">
        <v>242.82</v>
      </c>
      <c r="P7" s="449">
        <v>85.45</v>
      </c>
      <c r="Q7" s="273">
        <v>9.0</v>
      </c>
      <c r="R7" s="273">
        <v>10.0</v>
      </c>
      <c r="S7" s="273">
        <v>9.3</v>
      </c>
      <c r="T7" s="273">
        <v>6.0</v>
      </c>
      <c r="U7" s="273">
        <v>6.0</v>
      </c>
      <c r="V7" s="273">
        <v>6.0</v>
      </c>
    </row>
    <row r="8">
      <c r="A8" s="36">
        <v>8.0</v>
      </c>
      <c r="B8" s="36" t="s">
        <v>524</v>
      </c>
      <c r="C8" s="450">
        <v>7.0</v>
      </c>
      <c r="D8" s="451">
        <v>5.0</v>
      </c>
      <c r="E8" s="451">
        <v>16.67</v>
      </c>
      <c r="F8" s="451">
        <v>36.11</v>
      </c>
      <c r="G8" s="451">
        <v>100.0</v>
      </c>
      <c r="H8" s="451">
        <v>97.5</v>
      </c>
      <c r="I8" s="451">
        <v>1.88</v>
      </c>
      <c r="J8" s="519">
        <v>1.25</v>
      </c>
      <c r="K8" s="525">
        <v>470.96</v>
      </c>
      <c r="L8" s="57">
        <v>477.24</v>
      </c>
      <c r="M8" s="57">
        <v>52.22</v>
      </c>
      <c r="N8" s="57">
        <v>945.36</v>
      </c>
      <c r="O8" s="57">
        <v>522.42</v>
      </c>
      <c r="P8" s="449">
        <v>184.88</v>
      </c>
      <c r="Q8" s="273">
        <v>9.0</v>
      </c>
      <c r="R8" s="273">
        <v>10.0</v>
      </c>
      <c r="S8" s="273">
        <v>9.3</v>
      </c>
      <c r="T8" s="273">
        <v>9.0</v>
      </c>
      <c r="U8" s="273">
        <v>10.0</v>
      </c>
      <c r="V8" s="273">
        <v>9.3</v>
      </c>
    </row>
    <row r="9">
      <c r="A9" s="36">
        <v>9.0</v>
      </c>
      <c r="B9" s="36" t="s">
        <v>510</v>
      </c>
      <c r="C9" s="450">
        <v>6.0</v>
      </c>
      <c r="D9" s="451">
        <v>4.0</v>
      </c>
      <c r="E9" s="451">
        <v>27.78</v>
      </c>
      <c r="F9" s="451">
        <v>47.22</v>
      </c>
      <c r="G9" s="451">
        <v>90.0</v>
      </c>
      <c r="H9" s="451">
        <v>75.0</v>
      </c>
      <c r="I9" s="451">
        <v>0.38</v>
      </c>
      <c r="J9" s="519">
        <v>-1.25</v>
      </c>
      <c r="K9" s="525">
        <v>486.58</v>
      </c>
      <c r="L9" s="57">
        <v>316.55</v>
      </c>
      <c r="M9" s="57">
        <v>38.96</v>
      </c>
      <c r="N9" s="57">
        <v>752.95</v>
      </c>
      <c r="O9" s="57">
        <v>269.89</v>
      </c>
      <c r="P9" s="449">
        <v>93.9</v>
      </c>
      <c r="Q9" s="273">
        <v>9.0</v>
      </c>
      <c r="R9" s="273">
        <v>10.0</v>
      </c>
      <c r="S9" s="273">
        <v>9.3</v>
      </c>
      <c r="T9" s="273">
        <v>10.0</v>
      </c>
      <c r="U9" s="273">
        <v>10.0</v>
      </c>
      <c r="V9" s="273">
        <v>10.0</v>
      </c>
    </row>
    <row r="10">
      <c r="A10" s="36">
        <v>10.0</v>
      </c>
      <c r="B10" s="36" t="s">
        <v>517</v>
      </c>
      <c r="C10" s="450">
        <v>6.0</v>
      </c>
      <c r="D10" s="451">
        <v>6.0</v>
      </c>
      <c r="E10" s="451">
        <v>11.11</v>
      </c>
      <c r="F10" s="451">
        <v>19.44</v>
      </c>
      <c r="G10" s="451">
        <v>90.0</v>
      </c>
      <c r="H10" s="451">
        <v>82.5</v>
      </c>
      <c r="I10" s="451">
        <v>0.5</v>
      </c>
      <c r="J10" s="519">
        <v>0.88</v>
      </c>
      <c r="K10" s="525">
        <v>443.71</v>
      </c>
      <c r="L10" s="57">
        <v>234.64</v>
      </c>
      <c r="M10" s="57">
        <v>118.35</v>
      </c>
      <c r="N10" s="57">
        <v>452.18</v>
      </c>
      <c r="O10" s="57">
        <v>244.72</v>
      </c>
      <c r="P10" s="449">
        <v>52.69</v>
      </c>
      <c r="Q10" s="273">
        <v>9.0</v>
      </c>
      <c r="R10" s="273">
        <v>6.0</v>
      </c>
      <c r="S10" s="273">
        <v>8.1</v>
      </c>
      <c r="T10" s="273">
        <v>9.0</v>
      </c>
      <c r="U10" s="273">
        <v>10.0</v>
      </c>
      <c r="V10" s="273">
        <v>9.3</v>
      </c>
    </row>
    <row r="11">
      <c r="A11" s="36">
        <v>11.0</v>
      </c>
      <c r="B11" s="36" t="s">
        <v>537</v>
      </c>
      <c r="C11" s="450">
        <v>6.0</v>
      </c>
      <c r="D11" s="451">
        <v>5.0</v>
      </c>
      <c r="E11" s="451">
        <v>38.89</v>
      </c>
      <c r="F11" s="451">
        <v>19.44</v>
      </c>
      <c r="G11" s="451">
        <v>97.5</v>
      </c>
      <c r="H11" s="451">
        <v>92.5</v>
      </c>
      <c r="I11" s="451">
        <v>0.63</v>
      </c>
      <c r="J11" s="519">
        <v>-0.25</v>
      </c>
      <c r="K11" s="525">
        <v>620.1</v>
      </c>
      <c r="L11" s="57">
        <v>371.15</v>
      </c>
      <c r="M11" s="57">
        <v>145.19</v>
      </c>
      <c r="N11" s="57">
        <v>627.38</v>
      </c>
      <c r="O11" s="57">
        <v>218.79</v>
      </c>
      <c r="P11" s="449">
        <v>56.96</v>
      </c>
      <c r="Q11" s="273">
        <v>8.0</v>
      </c>
      <c r="R11" s="273">
        <v>3.0</v>
      </c>
      <c r="S11" s="273">
        <v>6.5</v>
      </c>
      <c r="T11" s="273">
        <v>8.0</v>
      </c>
      <c r="U11" s="273">
        <v>10.0</v>
      </c>
      <c r="V11" s="273">
        <v>8.6</v>
      </c>
    </row>
    <row r="12">
      <c r="A12" s="199">
        <v>12.0</v>
      </c>
      <c r="B12" s="199" t="s">
        <v>524</v>
      </c>
      <c r="C12" s="450">
        <v>5.0</v>
      </c>
      <c r="D12" s="451">
        <v>6.0</v>
      </c>
      <c r="E12" s="451">
        <v>22.22</v>
      </c>
      <c r="F12" s="451">
        <v>25.0</v>
      </c>
      <c r="G12" s="451">
        <v>90.0</v>
      </c>
      <c r="H12" s="451">
        <v>90.0</v>
      </c>
      <c r="I12" s="451">
        <v>1.25</v>
      </c>
      <c r="J12" s="519">
        <v>1.25</v>
      </c>
      <c r="K12" s="525">
        <v>365.47</v>
      </c>
      <c r="L12" s="57">
        <v>185.08</v>
      </c>
      <c r="M12" s="57">
        <v>44.41</v>
      </c>
      <c r="N12" s="57">
        <v>498.98</v>
      </c>
      <c r="O12" s="57">
        <v>265.15</v>
      </c>
      <c r="P12" s="449">
        <v>79.85</v>
      </c>
      <c r="Q12" s="273">
        <v>10.0</v>
      </c>
      <c r="R12" s="273">
        <v>10.0</v>
      </c>
      <c r="S12" s="273">
        <v>10.0</v>
      </c>
      <c r="T12" s="273">
        <v>10.0</v>
      </c>
      <c r="U12" s="273">
        <v>10.0</v>
      </c>
      <c r="V12" s="273">
        <v>10.0</v>
      </c>
    </row>
    <row r="13">
      <c r="A13" s="36">
        <v>13.0</v>
      </c>
      <c r="B13" s="36" t="s">
        <v>510</v>
      </c>
      <c r="C13" s="450">
        <v>6.0</v>
      </c>
      <c r="D13" s="451">
        <v>4.0</v>
      </c>
      <c r="E13" s="451">
        <v>30.56</v>
      </c>
      <c r="F13" s="451">
        <v>38.89</v>
      </c>
      <c r="G13" s="451">
        <v>95.0</v>
      </c>
      <c r="H13" s="451">
        <v>95.0</v>
      </c>
      <c r="I13" s="451">
        <v>2.25</v>
      </c>
      <c r="J13" s="519">
        <v>2.25</v>
      </c>
      <c r="K13" s="525">
        <v>380.67</v>
      </c>
      <c r="L13" s="57">
        <v>148.5</v>
      </c>
      <c r="M13" s="57">
        <v>31.31</v>
      </c>
      <c r="N13" s="57">
        <v>380.9</v>
      </c>
      <c r="O13" s="57">
        <v>224.16</v>
      </c>
      <c r="P13" s="449">
        <v>61.17</v>
      </c>
      <c r="Q13" s="273">
        <v>10.0</v>
      </c>
      <c r="R13" s="273">
        <v>10.0</v>
      </c>
      <c r="S13" s="273">
        <v>10.0</v>
      </c>
      <c r="T13" s="273">
        <v>10.0</v>
      </c>
      <c r="U13" s="273">
        <v>10.0</v>
      </c>
      <c r="V13" s="273">
        <v>10.0</v>
      </c>
    </row>
    <row r="14">
      <c r="A14" s="36">
        <v>14.0</v>
      </c>
      <c r="B14" s="36" t="s">
        <v>517</v>
      </c>
      <c r="C14" s="450">
        <v>4.0</v>
      </c>
      <c r="D14" s="451">
        <v>4.0</v>
      </c>
      <c r="E14" s="451">
        <v>52.78</v>
      </c>
      <c r="F14" s="451">
        <v>44.44</v>
      </c>
      <c r="G14" s="451">
        <v>57.5</v>
      </c>
      <c r="H14" s="451">
        <v>35.0</v>
      </c>
      <c r="I14" s="451">
        <v>1.0</v>
      </c>
      <c r="J14" s="519">
        <v>0.38</v>
      </c>
      <c r="K14" s="525">
        <v>745.99</v>
      </c>
      <c r="L14" s="57">
        <v>233.99</v>
      </c>
      <c r="M14" s="57">
        <v>156.29</v>
      </c>
      <c r="N14" s="57">
        <v>516.16</v>
      </c>
      <c r="O14" s="57">
        <v>260.74</v>
      </c>
      <c r="P14" s="449">
        <v>64.68</v>
      </c>
      <c r="Q14" s="273">
        <v>8.0</v>
      </c>
      <c r="R14" s="273">
        <v>5.0</v>
      </c>
      <c r="S14" s="273">
        <v>7.1</v>
      </c>
      <c r="T14" s="273">
        <v>6.0</v>
      </c>
      <c r="U14" s="273">
        <v>5.0</v>
      </c>
      <c r="V14" s="273">
        <v>5.7</v>
      </c>
    </row>
    <row r="15">
      <c r="A15" s="36">
        <v>15.0</v>
      </c>
      <c r="B15" s="36" t="s">
        <v>537</v>
      </c>
      <c r="C15" s="450">
        <v>6.0</v>
      </c>
      <c r="D15" s="451">
        <v>7.0</v>
      </c>
      <c r="E15" s="451">
        <v>25.0</v>
      </c>
      <c r="F15" s="451">
        <v>22.22</v>
      </c>
      <c r="G15" s="451">
        <v>97.5</v>
      </c>
      <c r="H15" s="451">
        <v>95.0</v>
      </c>
      <c r="I15" s="451">
        <v>1.88</v>
      </c>
      <c r="J15" s="519">
        <v>1.63</v>
      </c>
      <c r="K15" s="525">
        <v>468.45</v>
      </c>
      <c r="L15" s="57">
        <v>303.66</v>
      </c>
      <c r="M15" s="57">
        <v>99.13</v>
      </c>
      <c r="N15" s="57">
        <v>433.74</v>
      </c>
      <c r="O15" s="57">
        <v>464.33</v>
      </c>
      <c r="P15" s="449">
        <v>50.96</v>
      </c>
      <c r="Q15" s="273">
        <v>9.0</v>
      </c>
      <c r="R15" s="273">
        <v>10.0</v>
      </c>
      <c r="S15" s="273">
        <v>9.3</v>
      </c>
      <c r="T15" s="273">
        <v>8.0</v>
      </c>
      <c r="U15" s="273">
        <v>6.0</v>
      </c>
      <c r="V15" s="273">
        <v>7.4</v>
      </c>
    </row>
    <row r="16">
      <c r="A16" s="36">
        <v>16.0</v>
      </c>
      <c r="B16" s="36" t="s">
        <v>524</v>
      </c>
      <c r="C16" s="450">
        <v>6.0</v>
      </c>
      <c r="D16" s="451">
        <v>5.0</v>
      </c>
      <c r="E16" s="451">
        <v>25.0</v>
      </c>
      <c r="F16" s="451">
        <v>22.22</v>
      </c>
      <c r="G16" s="451">
        <v>87.5</v>
      </c>
      <c r="H16" s="451">
        <v>80.0</v>
      </c>
      <c r="I16" s="451">
        <v>0.75</v>
      </c>
      <c r="J16" s="519">
        <v>0.63</v>
      </c>
      <c r="K16" s="525">
        <v>458.35</v>
      </c>
      <c r="L16" s="57">
        <v>381.25</v>
      </c>
      <c r="M16" s="57">
        <v>45.02</v>
      </c>
      <c r="N16" s="57">
        <v>732.46</v>
      </c>
      <c r="O16" s="57">
        <v>328.35</v>
      </c>
      <c r="P16" s="449">
        <v>101.72</v>
      </c>
      <c r="Q16" s="273">
        <v>9.0</v>
      </c>
      <c r="R16" s="273">
        <v>6.0</v>
      </c>
      <c r="S16" s="273">
        <v>8.1</v>
      </c>
      <c r="T16" s="273">
        <v>8.0</v>
      </c>
      <c r="U16" s="273">
        <v>6.0</v>
      </c>
      <c r="V16" s="273">
        <v>7.4</v>
      </c>
    </row>
    <row r="17">
      <c r="A17" s="36">
        <v>17.0</v>
      </c>
      <c r="B17" s="36" t="s">
        <v>510</v>
      </c>
      <c r="C17" s="450">
        <v>6.0</v>
      </c>
      <c r="D17" s="451">
        <v>5.0</v>
      </c>
      <c r="E17" s="451">
        <v>36.11</v>
      </c>
      <c r="F17" s="451">
        <v>50.0</v>
      </c>
      <c r="G17" s="451">
        <v>82.5</v>
      </c>
      <c r="H17" s="451">
        <v>65.0</v>
      </c>
      <c r="I17" s="451">
        <v>0.63</v>
      </c>
      <c r="J17" s="519">
        <v>-0.38</v>
      </c>
      <c r="K17" s="525">
        <v>314.2</v>
      </c>
      <c r="L17" s="57">
        <v>206.67</v>
      </c>
      <c r="M17" s="57">
        <v>34.29</v>
      </c>
      <c r="N17" s="57">
        <v>473.43</v>
      </c>
      <c r="O17" s="57">
        <v>426.1</v>
      </c>
      <c r="P17" s="449">
        <v>106.8</v>
      </c>
      <c r="Q17" s="273">
        <v>9.0</v>
      </c>
      <c r="R17" s="273">
        <v>10.0</v>
      </c>
      <c r="S17" s="273">
        <v>9.3</v>
      </c>
      <c r="T17" s="273">
        <v>10.0</v>
      </c>
      <c r="U17" s="273">
        <v>10.0</v>
      </c>
      <c r="V17" s="273">
        <v>10.0</v>
      </c>
    </row>
    <row r="18">
      <c r="A18" s="36">
        <v>18.0</v>
      </c>
      <c r="B18" s="36" t="s">
        <v>517</v>
      </c>
      <c r="C18" s="450">
        <v>5.0</v>
      </c>
      <c r="D18" s="451">
        <v>4.0</v>
      </c>
      <c r="E18" s="451">
        <v>38.89</v>
      </c>
      <c r="F18" s="451">
        <v>41.67</v>
      </c>
      <c r="G18" s="451">
        <v>60.0</v>
      </c>
      <c r="H18" s="451">
        <v>72.5</v>
      </c>
      <c r="I18" s="451">
        <v>1.25</v>
      </c>
      <c r="J18" s="519">
        <v>1.0</v>
      </c>
      <c r="K18" s="525">
        <v>703.47</v>
      </c>
      <c r="L18" s="57">
        <v>388.61</v>
      </c>
      <c r="M18" s="57">
        <v>109.76</v>
      </c>
      <c r="N18" s="57">
        <v>534.06</v>
      </c>
      <c r="O18" s="57">
        <v>192.78</v>
      </c>
      <c r="P18" s="449">
        <v>69.39</v>
      </c>
      <c r="Q18" s="273">
        <v>9.0</v>
      </c>
      <c r="R18" s="273">
        <v>6.0</v>
      </c>
      <c r="S18" s="273">
        <v>8.1</v>
      </c>
      <c r="T18" s="273">
        <v>7.0</v>
      </c>
      <c r="U18" s="273">
        <v>6.0</v>
      </c>
      <c r="V18" s="273">
        <v>6.7</v>
      </c>
    </row>
    <row r="19">
      <c r="A19" s="36">
        <v>19.0</v>
      </c>
      <c r="B19" s="36" t="s">
        <v>537</v>
      </c>
      <c r="C19" s="450">
        <v>5.0</v>
      </c>
      <c r="D19" s="451">
        <v>7.0</v>
      </c>
      <c r="E19" s="451">
        <v>50.0</v>
      </c>
      <c r="F19" s="451">
        <v>36.11</v>
      </c>
      <c r="G19" s="451">
        <v>67.5</v>
      </c>
      <c r="H19" s="451">
        <v>77.5</v>
      </c>
      <c r="I19" s="451">
        <v>1.63</v>
      </c>
      <c r="J19" s="519">
        <v>2.13</v>
      </c>
      <c r="K19" s="525">
        <v>540.76</v>
      </c>
      <c r="L19" s="57">
        <v>550.3</v>
      </c>
      <c r="M19" s="57">
        <v>122.87</v>
      </c>
      <c r="N19" s="57">
        <v>335.99</v>
      </c>
      <c r="O19" s="57">
        <v>220.24</v>
      </c>
      <c r="P19" s="449">
        <v>52.75</v>
      </c>
      <c r="Q19" s="273">
        <v>9.0</v>
      </c>
      <c r="R19" s="273">
        <v>10.0</v>
      </c>
      <c r="S19" s="273">
        <v>9.3</v>
      </c>
      <c r="T19" s="273">
        <v>9.0</v>
      </c>
      <c r="U19" s="273">
        <v>6.0</v>
      </c>
      <c r="V19" s="273">
        <v>8.1</v>
      </c>
    </row>
    <row r="20">
      <c r="A20" s="36">
        <v>20.0</v>
      </c>
      <c r="B20" s="36" t="s">
        <v>524</v>
      </c>
      <c r="C20" s="450">
        <v>7.0</v>
      </c>
      <c r="D20" s="451">
        <v>6.0</v>
      </c>
      <c r="E20" s="451">
        <v>38.89</v>
      </c>
      <c r="F20" s="451">
        <v>50.0</v>
      </c>
      <c r="G20" s="451">
        <v>87.5</v>
      </c>
      <c r="H20" s="451">
        <v>77.5</v>
      </c>
      <c r="I20" s="451">
        <v>1.63</v>
      </c>
      <c r="J20" s="519">
        <v>1.0</v>
      </c>
      <c r="K20" s="525">
        <v>695.96</v>
      </c>
      <c r="L20" s="57">
        <v>440.59</v>
      </c>
      <c r="M20" s="57">
        <v>78.83</v>
      </c>
      <c r="N20" s="57">
        <v>895.98</v>
      </c>
      <c r="O20" s="57">
        <v>376.81</v>
      </c>
      <c r="P20" s="449">
        <v>116.05</v>
      </c>
      <c r="Q20" s="273">
        <v>9.0</v>
      </c>
      <c r="R20" s="273">
        <v>6.0</v>
      </c>
      <c r="S20" s="273">
        <v>8.1</v>
      </c>
      <c r="T20" s="273">
        <v>9.0</v>
      </c>
      <c r="U20" s="273">
        <v>6.0</v>
      </c>
      <c r="V20" s="273">
        <v>8.1</v>
      </c>
    </row>
    <row r="21">
      <c r="A21" s="36">
        <v>21.0</v>
      </c>
      <c r="B21" s="36" t="s">
        <v>537</v>
      </c>
      <c r="C21" s="473">
        <v>6.0</v>
      </c>
      <c r="D21" s="463">
        <v>2.0</v>
      </c>
      <c r="E21" s="463">
        <v>41.67</v>
      </c>
      <c r="F21" s="463">
        <v>52.78</v>
      </c>
      <c r="G21" s="463">
        <v>92.5</v>
      </c>
      <c r="H21" s="463">
        <v>37.5</v>
      </c>
      <c r="I21" s="463">
        <v>1.25</v>
      </c>
      <c r="J21" s="520">
        <v>-1.0</v>
      </c>
      <c r="K21" s="526">
        <v>459.67</v>
      </c>
      <c r="L21" s="462">
        <v>341.18</v>
      </c>
      <c r="M21" s="462">
        <v>113.51</v>
      </c>
      <c r="N21" s="462">
        <v>451.59</v>
      </c>
      <c r="O21" s="462">
        <v>220.59</v>
      </c>
      <c r="P21" s="472">
        <v>42.94</v>
      </c>
      <c r="Q21" s="273">
        <v>9.0</v>
      </c>
      <c r="R21" s="273">
        <v>10.0</v>
      </c>
      <c r="S21" s="273">
        <v>9.3</v>
      </c>
      <c r="T21" s="273">
        <v>10.0</v>
      </c>
      <c r="U21" s="273">
        <v>10.0</v>
      </c>
      <c r="V21" s="273">
        <v>10.0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7.5"/>
    <col customWidth="1" min="3" max="3" width="12.5"/>
    <col customWidth="1" min="4" max="5" width="17.63"/>
    <col customWidth="1" min="10" max="16" width="18.0"/>
    <col customWidth="1" min="17" max="17" width="21.0"/>
    <col customWidth="1" min="18" max="18" width="8.0"/>
    <col customWidth="1" min="20" max="20" width="10.75"/>
  </cols>
  <sheetData>
    <row r="1">
      <c r="A1" s="527" t="s">
        <v>2</v>
      </c>
      <c r="B1" s="427" t="s">
        <v>707</v>
      </c>
      <c r="C1" s="427" t="s">
        <v>659</v>
      </c>
      <c r="D1" s="427" t="s">
        <v>662</v>
      </c>
      <c r="E1" s="427" t="s">
        <v>708</v>
      </c>
      <c r="F1" s="427" t="s">
        <v>86</v>
      </c>
      <c r="G1" s="427" t="s">
        <v>148</v>
      </c>
      <c r="H1" s="427" t="s">
        <v>149</v>
      </c>
      <c r="I1" s="427" t="s">
        <v>219</v>
      </c>
      <c r="J1" s="477" t="s">
        <v>665</v>
      </c>
      <c r="K1" s="477" t="s">
        <v>666</v>
      </c>
      <c r="L1" s="477" t="s">
        <v>709</v>
      </c>
      <c r="M1" s="130" t="s">
        <v>668</v>
      </c>
      <c r="N1" s="130" t="s">
        <v>669</v>
      </c>
      <c r="O1" s="130" t="s">
        <v>670</v>
      </c>
      <c r="P1" s="26"/>
      <c r="Q1" s="477" t="s">
        <v>687</v>
      </c>
      <c r="R1" s="427" t="s">
        <v>688</v>
      </c>
      <c r="S1" s="427" t="s">
        <v>689</v>
      </c>
      <c r="T1" s="427" t="s">
        <v>690</v>
      </c>
      <c r="U1" s="427" t="s">
        <v>691</v>
      </c>
      <c r="V1" s="528" t="s">
        <v>692</v>
      </c>
      <c r="W1" s="529" t="s">
        <v>503</v>
      </c>
      <c r="X1" s="529" t="s">
        <v>504</v>
      </c>
      <c r="Y1" s="529" t="s">
        <v>505</v>
      </c>
      <c r="Z1" s="530" t="s">
        <v>506</v>
      </c>
      <c r="AA1" s="427" t="s">
        <v>507</v>
      </c>
      <c r="AB1" s="433"/>
    </row>
    <row r="2">
      <c r="A2" s="531" t="s">
        <v>138</v>
      </c>
      <c r="B2" s="36" t="s">
        <v>710</v>
      </c>
      <c r="C2" s="51">
        <v>0.0</v>
      </c>
      <c r="D2" s="36" t="s">
        <v>40</v>
      </c>
      <c r="E2" s="36">
        <v>0.0</v>
      </c>
      <c r="F2" s="451">
        <v>5.0</v>
      </c>
      <c r="G2" s="451">
        <v>38.89</v>
      </c>
      <c r="H2" s="451">
        <v>72.5</v>
      </c>
      <c r="I2" s="451">
        <v>-0.38</v>
      </c>
      <c r="J2" s="57">
        <v>238.84</v>
      </c>
      <c r="K2" s="57">
        <v>218.58</v>
      </c>
      <c r="L2" s="57">
        <v>32.24</v>
      </c>
      <c r="M2" s="423">
        <v>9.0</v>
      </c>
      <c r="N2" s="423">
        <v>10.0</v>
      </c>
      <c r="O2" s="423">
        <v>9.3</v>
      </c>
      <c r="P2" s="36"/>
      <c r="Q2" s="57">
        <v>238.84</v>
      </c>
      <c r="R2" s="57">
        <v>218.58</v>
      </c>
      <c r="S2" s="57">
        <v>32.24</v>
      </c>
      <c r="T2" s="57">
        <v>379.87</v>
      </c>
      <c r="U2" s="57">
        <v>237.55</v>
      </c>
      <c r="V2" s="452">
        <v>72.81</v>
      </c>
      <c r="W2" s="453">
        <v>10.0</v>
      </c>
      <c r="X2" s="453">
        <v>10.0</v>
      </c>
      <c r="Y2" s="453">
        <v>10.0</v>
      </c>
      <c r="Z2" s="532">
        <v>9.0</v>
      </c>
      <c r="AA2" s="36">
        <v>10.0</v>
      </c>
    </row>
    <row r="3">
      <c r="A3" s="531" t="s">
        <v>121</v>
      </c>
      <c r="B3" s="36" t="s">
        <v>710</v>
      </c>
      <c r="C3" s="51">
        <v>0.0</v>
      </c>
      <c r="D3" s="36" t="s">
        <v>36</v>
      </c>
      <c r="E3" s="36">
        <v>1.0</v>
      </c>
      <c r="F3" s="451">
        <v>3.0</v>
      </c>
      <c r="G3" s="451">
        <v>66.67</v>
      </c>
      <c r="H3" s="451">
        <v>52.5</v>
      </c>
      <c r="I3" s="451">
        <v>1.25</v>
      </c>
      <c r="J3" s="57">
        <v>1431.61</v>
      </c>
      <c r="K3" s="57">
        <v>564.82</v>
      </c>
      <c r="L3" s="57">
        <v>136.3</v>
      </c>
      <c r="M3" s="423">
        <v>8.0</v>
      </c>
      <c r="N3" s="423">
        <v>6.0</v>
      </c>
      <c r="O3" s="423">
        <v>7.4</v>
      </c>
      <c r="P3" s="36"/>
      <c r="Q3" s="57">
        <v>469.63</v>
      </c>
      <c r="R3" s="57">
        <v>430.14</v>
      </c>
      <c r="S3" s="57">
        <v>142.26</v>
      </c>
      <c r="T3" s="57">
        <v>1431.61</v>
      </c>
      <c r="U3" s="57">
        <v>564.82</v>
      </c>
      <c r="V3" s="452">
        <v>136.3</v>
      </c>
      <c r="W3" s="453">
        <v>8.0</v>
      </c>
      <c r="X3" s="453">
        <v>6.0</v>
      </c>
      <c r="Y3" s="453">
        <v>7.4</v>
      </c>
      <c r="Z3" s="532">
        <v>6.0</v>
      </c>
      <c r="AA3" s="36">
        <v>3.0</v>
      </c>
    </row>
    <row r="4">
      <c r="A4" s="531" t="s">
        <v>122</v>
      </c>
      <c r="B4" s="36" t="s">
        <v>710</v>
      </c>
      <c r="C4" s="51">
        <v>0.0</v>
      </c>
      <c r="D4" s="36" t="s">
        <v>40</v>
      </c>
      <c r="E4" s="36">
        <v>0.0</v>
      </c>
      <c r="F4" s="451">
        <v>6.0</v>
      </c>
      <c r="G4" s="451">
        <v>41.67</v>
      </c>
      <c r="H4" s="451">
        <v>80.0</v>
      </c>
      <c r="I4" s="451">
        <v>-0.25</v>
      </c>
      <c r="J4" s="57">
        <v>641.35</v>
      </c>
      <c r="K4" s="57">
        <v>345.04</v>
      </c>
      <c r="L4" s="57">
        <v>62.32</v>
      </c>
      <c r="M4" s="423">
        <v>9.0</v>
      </c>
      <c r="N4" s="423">
        <v>6.0</v>
      </c>
      <c r="O4" s="423">
        <v>8.1</v>
      </c>
      <c r="P4" s="36"/>
      <c r="Q4" s="57">
        <v>641.35</v>
      </c>
      <c r="R4" s="57">
        <v>345.04</v>
      </c>
      <c r="S4" s="57">
        <v>62.32</v>
      </c>
      <c r="T4" s="57">
        <v>682.44</v>
      </c>
      <c r="U4" s="57">
        <v>381.03</v>
      </c>
      <c r="V4" s="452">
        <v>145.76</v>
      </c>
      <c r="W4" s="453">
        <v>10.0</v>
      </c>
      <c r="X4" s="453">
        <v>8.0</v>
      </c>
      <c r="Y4" s="453">
        <v>9.4</v>
      </c>
      <c r="Z4" s="532">
        <v>9.0</v>
      </c>
      <c r="AA4" s="36">
        <v>6.0</v>
      </c>
    </row>
    <row r="5">
      <c r="A5" s="531" t="s">
        <v>124</v>
      </c>
      <c r="B5" s="36" t="s">
        <v>710</v>
      </c>
      <c r="C5" s="51">
        <v>0.0</v>
      </c>
      <c r="D5" s="36" t="s">
        <v>36</v>
      </c>
      <c r="E5" s="36">
        <v>1.0</v>
      </c>
      <c r="F5" s="451">
        <v>5.0</v>
      </c>
      <c r="G5" s="451">
        <v>30.56</v>
      </c>
      <c r="H5" s="451">
        <v>95.0</v>
      </c>
      <c r="I5" s="451">
        <v>2.63</v>
      </c>
      <c r="J5" s="57">
        <v>428.64</v>
      </c>
      <c r="K5" s="57">
        <v>217.52</v>
      </c>
      <c r="L5" s="57">
        <v>110.93</v>
      </c>
      <c r="M5" s="423">
        <v>10.0</v>
      </c>
      <c r="N5" s="423">
        <v>10.0</v>
      </c>
      <c r="O5" s="423">
        <v>10.0</v>
      </c>
      <c r="Q5" s="57">
        <v>286.25</v>
      </c>
      <c r="R5" s="57">
        <v>162.24</v>
      </c>
      <c r="S5" s="57">
        <v>33.32</v>
      </c>
      <c r="T5" s="57">
        <v>428.64</v>
      </c>
      <c r="U5" s="57">
        <v>217.52</v>
      </c>
      <c r="V5" s="452">
        <v>110.93</v>
      </c>
      <c r="W5" s="453">
        <v>7.0</v>
      </c>
      <c r="X5" s="453">
        <v>5.0</v>
      </c>
      <c r="Y5" s="453">
        <v>6.4</v>
      </c>
      <c r="Z5" s="532">
        <v>9.0</v>
      </c>
      <c r="AA5" s="36">
        <v>6.0</v>
      </c>
    </row>
    <row r="6">
      <c r="A6" s="531" t="s">
        <v>123</v>
      </c>
      <c r="B6" s="36" t="s">
        <v>710</v>
      </c>
      <c r="C6" s="51">
        <v>0.0</v>
      </c>
      <c r="D6" s="36" t="s">
        <v>40</v>
      </c>
      <c r="E6" s="36">
        <v>0.0</v>
      </c>
      <c r="F6" s="451">
        <v>5.0</v>
      </c>
      <c r="G6" s="451">
        <v>38.89</v>
      </c>
      <c r="H6" s="451">
        <v>75.0</v>
      </c>
      <c r="I6" s="451">
        <v>-0.25</v>
      </c>
      <c r="J6" s="57">
        <v>485.36</v>
      </c>
      <c r="K6" s="57">
        <v>202.68</v>
      </c>
      <c r="L6" s="57">
        <v>41.1</v>
      </c>
      <c r="M6" s="423">
        <v>9.0</v>
      </c>
      <c r="N6" s="423">
        <v>6.0</v>
      </c>
      <c r="O6" s="423">
        <v>8.1</v>
      </c>
      <c r="P6" s="36"/>
      <c r="Q6" s="57">
        <v>485.36</v>
      </c>
      <c r="R6" s="57">
        <v>202.68</v>
      </c>
      <c r="S6" s="57">
        <v>41.1</v>
      </c>
      <c r="T6" s="57">
        <v>1251.07</v>
      </c>
      <c r="U6" s="57">
        <v>428.82</v>
      </c>
      <c r="V6" s="452">
        <v>59.74</v>
      </c>
      <c r="W6" s="453">
        <v>10.0</v>
      </c>
      <c r="X6" s="453">
        <v>10.0</v>
      </c>
      <c r="Y6" s="453">
        <v>10.0</v>
      </c>
      <c r="Z6" s="532">
        <v>10.0</v>
      </c>
      <c r="AA6" s="36">
        <v>10.0</v>
      </c>
    </row>
    <row r="7">
      <c r="A7" s="531" t="s">
        <v>125</v>
      </c>
      <c r="B7" s="36" t="s">
        <v>710</v>
      </c>
      <c r="C7" s="51">
        <v>0.0</v>
      </c>
      <c r="D7" s="36" t="s">
        <v>36</v>
      </c>
      <c r="E7" s="36">
        <v>1.0</v>
      </c>
      <c r="F7" s="451">
        <v>3.0</v>
      </c>
      <c r="G7" s="451">
        <v>41.67</v>
      </c>
      <c r="H7" s="451">
        <v>72.5</v>
      </c>
      <c r="I7" s="451">
        <v>1.38</v>
      </c>
      <c r="J7" s="57">
        <v>426.99</v>
      </c>
      <c r="K7" s="57">
        <v>370.84</v>
      </c>
      <c r="L7" s="57">
        <v>118.31</v>
      </c>
      <c r="M7" s="423">
        <v>9.0</v>
      </c>
      <c r="N7" s="423">
        <v>10.0</v>
      </c>
      <c r="O7" s="423">
        <v>9.3</v>
      </c>
      <c r="P7" s="36"/>
      <c r="Q7" s="57">
        <v>426.56</v>
      </c>
      <c r="R7" s="57">
        <v>242.82</v>
      </c>
      <c r="S7" s="57">
        <v>85.45</v>
      </c>
      <c r="T7" s="57">
        <v>426.99</v>
      </c>
      <c r="U7" s="57">
        <v>370.84</v>
      </c>
      <c r="V7" s="452">
        <v>118.31</v>
      </c>
      <c r="W7" s="453">
        <v>9.0</v>
      </c>
      <c r="X7" s="453">
        <v>10.0</v>
      </c>
      <c r="Y7" s="453">
        <v>9.3</v>
      </c>
      <c r="Z7" s="532">
        <v>6.0</v>
      </c>
      <c r="AA7" s="36">
        <v>6.0</v>
      </c>
    </row>
    <row r="8">
      <c r="A8" s="531" t="s">
        <v>126</v>
      </c>
      <c r="B8" s="36" t="s">
        <v>710</v>
      </c>
      <c r="C8" s="51">
        <v>0.0</v>
      </c>
      <c r="D8" s="36" t="s">
        <v>40</v>
      </c>
      <c r="E8" s="36">
        <v>0.0</v>
      </c>
      <c r="F8" s="451">
        <v>7.0</v>
      </c>
      <c r="G8" s="451">
        <v>16.67</v>
      </c>
      <c r="H8" s="451">
        <v>100.0</v>
      </c>
      <c r="I8" s="451">
        <v>1.88</v>
      </c>
      <c r="J8" s="57">
        <v>470.96</v>
      </c>
      <c r="K8" s="57">
        <v>477.24</v>
      </c>
      <c r="L8" s="57">
        <v>52.22</v>
      </c>
      <c r="M8" s="423">
        <v>9.0</v>
      </c>
      <c r="N8" s="423">
        <v>10.0</v>
      </c>
      <c r="O8" s="423">
        <v>9.3</v>
      </c>
      <c r="P8" s="36"/>
      <c r="Q8" s="57">
        <v>470.96</v>
      </c>
      <c r="R8" s="57">
        <v>477.24</v>
      </c>
      <c r="S8" s="57">
        <v>52.22</v>
      </c>
      <c r="T8" s="57">
        <v>945.36</v>
      </c>
      <c r="U8" s="57">
        <v>522.42</v>
      </c>
      <c r="V8" s="452">
        <v>184.88</v>
      </c>
      <c r="W8" s="453">
        <v>9.0</v>
      </c>
      <c r="X8" s="453">
        <v>10.0</v>
      </c>
      <c r="Y8" s="453">
        <v>9.3</v>
      </c>
      <c r="Z8" s="532">
        <v>9.0</v>
      </c>
      <c r="AA8" s="36">
        <v>10.0</v>
      </c>
    </row>
    <row r="9">
      <c r="A9" s="533">
        <v>10.0</v>
      </c>
      <c r="B9" s="36" t="s">
        <v>710</v>
      </c>
      <c r="C9" s="51">
        <v>0.0</v>
      </c>
      <c r="D9" s="36" t="s">
        <v>36</v>
      </c>
      <c r="E9" s="36">
        <v>1.0</v>
      </c>
      <c r="F9" s="451">
        <v>6.0</v>
      </c>
      <c r="G9" s="451">
        <v>11.11</v>
      </c>
      <c r="H9" s="451">
        <v>90.0</v>
      </c>
      <c r="I9" s="451">
        <v>0.5</v>
      </c>
      <c r="J9" s="57">
        <v>443.71</v>
      </c>
      <c r="K9" s="57">
        <v>234.64</v>
      </c>
      <c r="L9" s="57">
        <v>118.35</v>
      </c>
      <c r="M9" s="423">
        <v>9.0</v>
      </c>
      <c r="N9" s="423">
        <v>10.0</v>
      </c>
      <c r="O9" s="423">
        <v>9.3</v>
      </c>
      <c r="P9" s="36"/>
      <c r="Q9" s="57">
        <v>452.18</v>
      </c>
      <c r="R9" s="57">
        <v>244.72</v>
      </c>
      <c r="S9" s="57">
        <v>52.69</v>
      </c>
      <c r="T9" s="57">
        <v>443.71</v>
      </c>
      <c r="U9" s="57">
        <v>234.64</v>
      </c>
      <c r="V9" s="452">
        <v>118.35</v>
      </c>
      <c r="W9" s="453">
        <v>9.0</v>
      </c>
      <c r="X9" s="453">
        <v>10.0</v>
      </c>
      <c r="Y9" s="453">
        <v>9.3</v>
      </c>
      <c r="Z9" s="532">
        <v>10.0</v>
      </c>
      <c r="AA9" s="36">
        <v>10.0</v>
      </c>
    </row>
    <row r="10">
      <c r="A10" s="531" t="s">
        <v>127</v>
      </c>
      <c r="B10" s="36" t="s">
        <v>710</v>
      </c>
      <c r="C10" s="51">
        <v>0.0</v>
      </c>
      <c r="D10" s="36" t="s">
        <v>40</v>
      </c>
      <c r="E10" s="36">
        <v>0.0</v>
      </c>
      <c r="F10" s="451">
        <v>6.0</v>
      </c>
      <c r="G10" s="451">
        <v>27.78</v>
      </c>
      <c r="H10" s="451">
        <v>90.0</v>
      </c>
      <c r="I10" s="451">
        <v>0.38</v>
      </c>
      <c r="J10" s="57">
        <v>486.58</v>
      </c>
      <c r="K10" s="57">
        <v>316.55</v>
      </c>
      <c r="L10" s="57">
        <v>38.96</v>
      </c>
      <c r="M10" s="423">
        <v>10.0</v>
      </c>
      <c r="N10" s="423">
        <v>10.0</v>
      </c>
      <c r="O10" s="423">
        <v>10.0</v>
      </c>
      <c r="P10" s="36"/>
      <c r="Q10" s="57">
        <v>486.58</v>
      </c>
      <c r="R10" s="57">
        <v>316.55</v>
      </c>
      <c r="S10" s="57">
        <v>38.96</v>
      </c>
      <c r="T10" s="57">
        <v>752.95</v>
      </c>
      <c r="U10" s="57">
        <v>269.89</v>
      </c>
      <c r="V10" s="452">
        <v>93.9</v>
      </c>
      <c r="W10" s="453">
        <v>9.0</v>
      </c>
      <c r="X10" s="453">
        <v>10.0</v>
      </c>
      <c r="Y10" s="453">
        <v>9.3</v>
      </c>
      <c r="Z10" s="532">
        <v>9.0</v>
      </c>
      <c r="AA10" s="36">
        <v>6.0</v>
      </c>
    </row>
    <row r="11">
      <c r="A11" s="533">
        <v>11.0</v>
      </c>
      <c r="B11" s="36" t="s">
        <v>710</v>
      </c>
      <c r="C11" s="51">
        <v>0.0</v>
      </c>
      <c r="D11" s="36" t="s">
        <v>36</v>
      </c>
      <c r="E11" s="36">
        <v>1.0</v>
      </c>
      <c r="F11" s="451">
        <v>6.0</v>
      </c>
      <c r="G11" s="451">
        <v>38.89</v>
      </c>
      <c r="H11" s="451">
        <v>97.5</v>
      </c>
      <c r="I11" s="451">
        <v>0.63</v>
      </c>
      <c r="J11" s="57">
        <v>620.1</v>
      </c>
      <c r="K11" s="57">
        <v>371.15</v>
      </c>
      <c r="L11" s="57">
        <v>145.19</v>
      </c>
      <c r="M11" s="423">
        <v>8.0</v>
      </c>
      <c r="N11" s="423">
        <v>3.0</v>
      </c>
      <c r="O11" s="423">
        <v>6.5</v>
      </c>
      <c r="P11" s="36"/>
      <c r="Q11" s="57">
        <v>627.38</v>
      </c>
      <c r="R11" s="57">
        <v>218.79</v>
      </c>
      <c r="S11" s="57">
        <v>56.96</v>
      </c>
      <c r="T11" s="57">
        <v>620.1</v>
      </c>
      <c r="U11" s="57">
        <v>371.15</v>
      </c>
      <c r="V11" s="452">
        <v>145.19</v>
      </c>
      <c r="W11" s="453">
        <v>8.0</v>
      </c>
      <c r="X11" s="453">
        <v>3.0</v>
      </c>
      <c r="Y11" s="453">
        <v>6.5</v>
      </c>
      <c r="Z11" s="532">
        <v>8.0</v>
      </c>
      <c r="AA11" s="36">
        <v>10.0</v>
      </c>
    </row>
    <row r="12">
      <c r="A12" s="533">
        <v>12.0</v>
      </c>
      <c r="B12" s="36" t="s">
        <v>710</v>
      </c>
      <c r="C12" s="51">
        <v>0.0</v>
      </c>
      <c r="D12" s="36" t="s">
        <v>40</v>
      </c>
      <c r="E12" s="36">
        <v>0.0</v>
      </c>
      <c r="F12" s="451">
        <v>5.0</v>
      </c>
      <c r="G12" s="451">
        <v>22.22</v>
      </c>
      <c r="H12" s="451">
        <v>90.0</v>
      </c>
      <c r="I12" s="451">
        <v>1.25</v>
      </c>
      <c r="J12" s="57">
        <v>365.47</v>
      </c>
      <c r="K12" s="57">
        <v>185.08</v>
      </c>
      <c r="L12" s="57">
        <v>44.41</v>
      </c>
      <c r="M12" s="423">
        <v>10.0</v>
      </c>
      <c r="N12" s="423">
        <v>10.0</v>
      </c>
      <c r="O12" s="423">
        <v>10.0</v>
      </c>
      <c r="P12" s="36"/>
      <c r="Q12" s="57">
        <v>365.47</v>
      </c>
      <c r="R12" s="57">
        <v>185.08</v>
      </c>
      <c r="S12" s="57">
        <v>44.41</v>
      </c>
      <c r="T12" s="57">
        <v>498.98</v>
      </c>
      <c r="U12" s="57">
        <v>265.15</v>
      </c>
      <c r="V12" s="452">
        <v>79.85</v>
      </c>
      <c r="W12" s="453">
        <v>10.0</v>
      </c>
      <c r="X12" s="453">
        <v>10.0</v>
      </c>
      <c r="Y12" s="453">
        <v>10.0</v>
      </c>
      <c r="Z12" s="532">
        <v>10.0</v>
      </c>
      <c r="AA12" s="36">
        <v>10.0</v>
      </c>
    </row>
    <row r="13">
      <c r="A13" s="533">
        <v>14.0</v>
      </c>
      <c r="B13" s="36" t="s">
        <v>710</v>
      </c>
      <c r="C13" s="51">
        <v>0.0</v>
      </c>
      <c r="D13" s="36" t="s">
        <v>36</v>
      </c>
      <c r="E13" s="36">
        <v>1.0</v>
      </c>
      <c r="F13" s="451">
        <v>4.0</v>
      </c>
      <c r="G13" s="451">
        <v>52.78</v>
      </c>
      <c r="H13" s="451">
        <v>57.5</v>
      </c>
      <c r="I13" s="451">
        <v>1.0</v>
      </c>
      <c r="J13" s="57">
        <v>745.99</v>
      </c>
      <c r="K13" s="57">
        <v>233.99</v>
      </c>
      <c r="L13" s="57">
        <v>156.29</v>
      </c>
      <c r="M13" s="423">
        <v>6.0</v>
      </c>
      <c r="N13" s="423">
        <v>5.0</v>
      </c>
      <c r="O13" s="423">
        <v>5.7</v>
      </c>
      <c r="P13" s="36"/>
      <c r="Q13" s="57">
        <v>516.16</v>
      </c>
      <c r="R13" s="57">
        <v>260.74</v>
      </c>
      <c r="S13" s="57">
        <v>64.68</v>
      </c>
      <c r="T13" s="57">
        <v>745.99</v>
      </c>
      <c r="U13" s="57">
        <v>233.99</v>
      </c>
      <c r="V13" s="452">
        <v>156.29</v>
      </c>
      <c r="W13" s="453">
        <v>10.0</v>
      </c>
      <c r="X13" s="453">
        <v>10.0</v>
      </c>
      <c r="Y13" s="453">
        <v>10.0</v>
      </c>
      <c r="Z13" s="532">
        <v>10.0</v>
      </c>
      <c r="AA13" s="36">
        <v>10.0</v>
      </c>
    </row>
    <row r="14">
      <c r="A14" s="533">
        <v>13.0</v>
      </c>
      <c r="B14" s="36" t="s">
        <v>710</v>
      </c>
      <c r="C14" s="51">
        <v>0.0</v>
      </c>
      <c r="D14" s="36" t="s">
        <v>40</v>
      </c>
      <c r="E14" s="36">
        <v>0.0</v>
      </c>
      <c r="F14" s="451">
        <v>6.0</v>
      </c>
      <c r="G14" s="451">
        <v>30.56</v>
      </c>
      <c r="H14" s="451">
        <v>95.0</v>
      </c>
      <c r="I14" s="451">
        <v>2.25</v>
      </c>
      <c r="J14" s="57">
        <v>380.67</v>
      </c>
      <c r="K14" s="57">
        <v>148.5</v>
      </c>
      <c r="L14" s="57">
        <v>31.31</v>
      </c>
      <c r="M14" s="423">
        <v>10.0</v>
      </c>
      <c r="N14" s="423">
        <v>10.0</v>
      </c>
      <c r="O14" s="423">
        <v>10.0</v>
      </c>
      <c r="P14" s="36"/>
      <c r="Q14" s="57">
        <v>380.67</v>
      </c>
      <c r="R14" s="57">
        <v>148.5</v>
      </c>
      <c r="S14" s="57">
        <v>31.31</v>
      </c>
      <c r="T14" s="57">
        <v>380.9</v>
      </c>
      <c r="U14" s="57">
        <v>224.16</v>
      </c>
      <c r="V14" s="452">
        <v>61.17</v>
      </c>
      <c r="W14" s="453">
        <v>6.0</v>
      </c>
      <c r="X14" s="453">
        <v>5.0</v>
      </c>
      <c r="Y14" s="453">
        <v>5.7</v>
      </c>
      <c r="Z14" s="532">
        <v>8.0</v>
      </c>
      <c r="AA14" s="36">
        <v>5.0</v>
      </c>
    </row>
    <row r="15">
      <c r="A15" s="533">
        <v>15.0</v>
      </c>
      <c r="B15" s="36" t="s">
        <v>710</v>
      </c>
      <c r="C15" s="51">
        <v>0.0</v>
      </c>
      <c r="D15" s="36" t="s">
        <v>36</v>
      </c>
      <c r="E15" s="36">
        <v>1.0</v>
      </c>
      <c r="F15" s="451">
        <v>6.0</v>
      </c>
      <c r="G15" s="451">
        <v>25.0</v>
      </c>
      <c r="H15" s="451">
        <v>97.5</v>
      </c>
      <c r="I15" s="451">
        <v>1.88</v>
      </c>
      <c r="J15" s="57">
        <v>468.45</v>
      </c>
      <c r="K15" s="57">
        <v>303.66</v>
      </c>
      <c r="L15" s="57">
        <v>99.13</v>
      </c>
      <c r="M15" s="423">
        <v>9.0</v>
      </c>
      <c r="N15" s="423">
        <v>10.0</v>
      </c>
      <c r="O15" s="423">
        <v>9.3</v>
      </c>
      <c r="P15" s="36"/>
      <c r="Q15" s="57">
        <v>433.74</v>
      </c>
      <c r="R15" s="57">
        <v>464.33</v>
      </c>
      <c r="S15" s="57">
        <v>50.96</v>
      </c>
      <c r="T15" s="57">
        <v>468.45</v>
      </c>
      <c r="U15" s="57">
        <v>303.66</v>
      </c>
      <c r="V15" s="452">
        <v>99.13</v>
      </c>
      <c r="W15" s="453">
        <v>9.0</v>
      </c>
      <c r="X15" s="453">
        <v>10.0</v>
      </c>
      <c r="Y15" s="453">
        <v>9.3</v>
      </c>
      <c r="Z15" s="532">
        <v>8.0</v>
      </c>
      <c r="AA15" s="36">
        <v>6.0</v>
      </c>
    </row>
    <row r="16">
      <c r="A16" s="533">
        <v>16.0</v>
      </c>
      <c r="B16" s="36" t="s">
        <v>710</v>
      </c>
      <c r="C16" s="51">
        <v>0.0</v>
      </c>
      <c r="D16" s="36" t="s">
        <v>40</v>
      </c>
      <c r="E16" s="36">
        <v>0.0</v>
      </c>
      <c r="F16" s="451">
        <v>6.0</v>
      </c>
      <c r="G16" s="451">
        <v>25.0</v>
      </c>
      <c r="H16" s="451">
        <v>87.5</v>
      </c>
      <c r="I16" s="451">
        <v>0.75</v>
      </c>
      <c r="J16" s="57">
        <v>458.35</v>
      </c>
      <c r="K16" s="57">
        <v>381.25</v>
      </c>
      <c r="L16" s="57">
        <v>45.02</v>
      </c>
      <c r="M16" s="423">
        <v>9.0</v>
      </c>
      <c r="N16" s="423">
        <v>6.0</v>
      </c>
      <c r="O16" s="423">
        <v>8.1</v>
      </c>
      <c r="P16" s="36"/>
      <c r="Q16" s="57">
        <v>458.35</v>
      </c>
      <c r="R16" s="57">
        <v>381.25</v>
      </c>
      <c r="S16" s="57">
        <v>45.02</v>
      </c>
      <c r="T16" s="57">
        <v>732.46</v>
      </c>
      <c r="U16" s="57">
        <v>328.35</v>
      </c>
      <c r="V16" s="452">
        <v>101.72</v>
      </c>
      <c r="W16" s="453">
        <v>8.0</v>
      </c>
      <c r="X16" s="453">
        <v>6.0</v>
      </c>
      <c r="Y16" s="453">
        <v>7.4</v>
      </c>
      <c r="Z16" s="532">
        <v>9.0</v>
      </c>
      <c r="AA16" s="36">
        <v>6.0</v>
      </c>
    </row>
    <row r="17">
      <c r="A17" s="533">
        <v>18.0</v>
      </c>
      <c r="B17" s="36" t="s">
        <v>710</v>
      </c>
      <c r="C17" s="51">
        <v>0.0</v>
      </c>
      <c r="D17" s="36" t="s">
        <v>36</v>
      </c>
      <c r="E17" s="36">
        <v>1.0</v>
      </c>
      <c r="F17" s="451">
        <v>5.0</v>
      </c>
      <c r="G17" s="451">
        <v>38.89</v>
      </c>
      <c r="H17" s="451">
        <v>60.0</v>
      </c>
      <c r="I17" s="451">
        <v>1.25</v>
      </c>
      <c r="J17" s="57">
        <v>703.47</v>
      </c>
      <c r="K17" s="57">
        <v>388.61</v>
      </c>
      <c r="L17" s="57">
        <v>109.76</v>
      </c>
      <c r="M17" s="423">
        <v>7.0</v>
      </c>
      <c r="N17" s="423">
        <v>6.0</v>
      </c>
      <c r="O17" s="423">
        <v>6.7</v>
      </c>
      <c r="P17" s="36"/>
      <c r="Q17" s="57">
        <v>534.06</v>
      </c>
      <c r="R17" s="57">
        <v>192.78</v>
      </c>
      <c r="S17" s="57">
        <v>69.39</v>
      </c>
      <c r="T17" s="57">
        <v>703.47</v>
      </c>
      <c r="U17" s="57">
        <v>388.61</v>
      </c>
      <c r="V17" s="452">
        <v>109.76</v>
      </c>
      <c r="W17" s="453">
        <v>9.0</v>
      </c>
      <c r="X17" s="453">
        <v>10.0</v>
      </c>
      <c r="Y17" s="453">
        <v>9.3</v>
      </c>
      <c r="Z17" s="532">
        <v>10.0</v>
      </c>
      <c r="AA17" s="36">
        <v>10.0</v>
      </c>
    </row>
    <row r="18">
      <c r="A18" s="533">
        <v>17.0</v>
      </c>
      <c r="B18" s="36" t="s">
        <v>710</v>
      </c>
      <c r="C18" s="51">
        <v>0.0</v>
      </c>
      <c r="D18" s="36" t="s">
        <v>40</v>
      </c>
      <c r="E18" s="36">
        <v>0.0</v>
      </c>
      <c r="F18" s="451">
        <v>6.0</v>
      </c>
      <c r="G18" s="451">
        <v>36.11</v>
      </c>
      <c r="H18" s="451">
        <v>82.5</v>
      </c>
      <c r="I18" s="451">
        <v>0.63</v>
      </c>
      <c r="J18" s="57">
        <v>314.2</v>
      </c>
      <c r="K18" s="57">
        <v>206.67</v>
      </c>
      <c r="L18" s="57">
        <v>34.29</v>
      </c>
      <c r="M18" s="423">
        <v>10.0</v>
      </c>
      <c r="N18" s="423">
        <v>10.0</v>
      </c>
      <c r="O18" s="423">
        <v>10.0</v>
      </c>
      <c r="P18" s="36"/>
      <c r="Q18" s="57">
        <v>314.2</v>
      </c>
      <c r="R18" s="57">
        <v>206.67</v>
      </c>
      <c r="S18" s="57">
        <v>34.29</v>
      </c>
      <c r="T18" s="57">
        <v>473.43</v>
      </c>
      <c r="U18" s="57">
        <v>426.1</v>
      </c>
      <c r="V18" s="452">
        <v>106.8</v>
      </c>
      <c r="W18" s="453">
        <v>7.0</v>
      </c>
      <c r="X18" s="453">
        <v>6.0</v>
      </c>
      <c r="Y18" s="453">
        <v>6.7</v>
      </c>
      <c r="Z18" s="532">
        <v>9.0</v>
      </c>
      <c r="AA18" s="36">
        <v>6.0</v>
      </c>
    </row>
    <row r="19">
      <c r="A19" s="533">
        <v>19.0</v>
      </c>
      <c r="B19" s="36" t="s">
        <v>710</v>
      </c>
      <c r="C19" s="51">
        <v>0.0</v>
      </c>
      <c r="D19" s="36" t="s">
        <v>36</v>
      </c>
      <c r="E19" s="36">
        <v>1.0</v>
      </c>
      <c r="F19" s="451">
        <v>5.0</v>
      </c>
      <c r="G19" s="451">
        <v>50.0</v>
      </c>
      <c r="H19" s="451">
        <v>67.5</v>
      </c>
      <c r="I19" s="451">
        <v>1.63</v>
      </c>
      <c r="J19" s="57">
        <v>540.76</v>
      </c>
      <c r="K19" s="57">
        <v>550.3</v>
      </c>
      <c r="L19" s="57">
        <v>122.87</v>
      </c>
      <c r="M19" s="423">
        <v>9.0</v>
      </c>
      <c r="N19" s="423">
        <v>10.0</v>
      </c>
      <c r="O19" s="423">
        <v>9.3</v>
      </c>
      <c r="P19" s="36"/>
      <c r="Q19" s="57">
        <v>335.99</v>
      </c>
      <c r="R19" s="57">
        <v>220.24</v>
      </c>
      <c r="S19" s="57">
        <v>52.75</v>
      </c>
      <c r="T19" s="57">
        <v>540.76</v>
      </c>
      <c r="U19" s="57">
        <v>550.3</v>
      </c>
      <c r="V19" s="452">
        <v>122.87</v>
      </c>
      <c r="W19" s="453">
        <v>9.0</v>
      </c>
      <c r="X19" s="453">
        <v>10.0</v>
      </c>
      <c r="Y19" s="453">
        <v>9.3</v>
      </c>
      <c r="Z19" s="532">
        <v>9.0</v>
      </c>
      <c r="AA19" s="36">
        <v>6.0</v>
      </c>
    </row>
    <row r="20">
      <c r="A20" s="533">
        <v>20.0</v>
      </c>
      <c r="B20" s="36" t="s">
        <v>710</v>
      </c>
      <c r="C20" s="51">
        <v>0.0</v>
      </c>
      <c r="D20" s="36" t="s">
        <v>40</v>
      </c>
      <c r="E20" s="36">
        <v>0.0</v>
      </c>
      <c r="F20" s="451">
        <v>7.0</v>
      </c>
      <c r="G20" s="451">
        <v>38.89</v>
      </c>
      <c r="H20" s="451">
        <v>87.5</v>
      </c>
      <c r="I20" s="451">
        <v>1.63</v>
      </c>
      <c r="J20" s="57">
        <v>695.96</v>
      </c>
      <c r="K20" s="57">
        <v>440.59</v>
      </c>
      <c r="L20" s="57">
        <v>78.83</v>
      </c>
      <c r="M20" s="423">
        <v>9.0</v>
      </c>
      <c r="N20" s="423">
        <v>6.0</v>
      </c>
      <c r="O20" s="423">
        <v>8.1</v>
      </c>
      <c r="P20" s="36"/>
      <c r="Q20" s="57">
        <v>695.96</v>
      </c>
      <c r="R20" s="57">
        <v>440.59</v>
      </c>
      <c r="S20" s="57">
        <v>78.83</v>
      </c>
      <c r="T20" s="57">
        <v>895.98</v>
      </c>
      <c r="U20" s="57">
        <v>376.81</v>
      </c>
      <c r="V20" s="452">
        <v>116.05</v>
      </c>
      <c r="W20" s="453">
        <v>9.0</v>
      </c>
      <c r="X20" s="453">
        <v>6.0</v>
      </c>
      <c r="Y20" s="453">
        <v>8.1</v>
      </c>
      <c r="Z20" s="532">
        <v>9.0</v>
      </c>
      <c r="AA20" s="36">
        <v>6.0</v>
      </c>
    </row>
    <row r="21">
      <c r="A21" s="533">
        <v>21.0</v>
      </c>
      <c r="B21" s="36" t="s">
        <v>710</v>
      </c>
      <c r="C21" s="51">
        <v>0.0</v>
      </c>
      <c r="D21" s="36" t="s">
        <v>36</v>
      </c>
      <c r="E21" s="36">
        <v>1.0</v>
      </c>
      <c r="F21" s="451">
        <v>6.0</v>
      </c>
      <c r="G21" s="451">
        <v>41.67</v>
      </c>
      <c r="H21" s="451">
        <v>92.5</v>
      </c>
      <c r="I21" s="451">
        <v>1.25</v>
      </c>
      <c r="J21" s="57">
        <v>459.67</v>
      </c>
      <c r="K21" s="57">
        <v>341.18</v>
      </c>
      <c r="L21" s="57">
        <v>113.51</v>
      </c>
      <c r="M21" s="423">
        <v>9.0</v>
      </c>
      <c r="N21" s="423">
        <v>10.0</v>
      </c>
      <c r="O21" s="423">
        <v>9.3</v>
      </c>
      <c r="P21" s="36"/>
      <c r="Q21" s="57">
        <v>451.59</v>
      </c>
      <c r="R21" s="57">
        <v>220.59</v>
      </c>
      <c r="S21" s="57">
        <v>42.94</v>
      </c>
      <c r="T21" s="57">
        <v>459.67</v>
      </c>
      <c r="U21" s="57">
        <v>341.18</v>
      </c>
      <c r="V21" s="452">
        <v>113.51</v>
      </c>
      <c r="W21" s="453">
        <v>9.0</v>
      </c>
      <c r="X21" s="453">
        <v>10.0</v>
      </c>
      <c r="Y21" s="453">
        <v>9.3</v>
      </c>
      <c r="Z21" s="532">
        <v>10.0</v>
      </c>
      <c r="AA21" s="36">
        <v>10.0</v>
      </c>
    </row>
    <row r="22">
      <c r="A22" s="534">
        <v>22.0</v>
      </c>
      <c r="B22" s="36" t="s">
        <v>202</v>
      </c>
      <c r="C22" s="51">
        <v>1.0</v>
      </c>
      <c r="D22" s="277" t="s">
        <v>40</v>
      </c>
      <c r="E22" s="328" t="s">
        <v>675</v>
      </c>
      <c r="F22" s="451">
        <v>6.0</v>
      </c>
      <c r="G22" s="451">
        <v>36.11</v>
      </c>
      <c r="H22" s="451">
        <v>75.0</v>
      </c>
      <c r="I22" s="451">
        <v>1.0</v>
      </c>
      <c r="J22" s="57">
        <v>305.94</v>
      </c>
      <c r="K22" s="57">
        <v>305.44</v>
      </c>
      <c r="L22" s="57">
        <v>39.62</v>
      </c>
      <c r="M22" s="423">
        <v>8.0</v>
      </c>
      <c r="N22" s="423">
        <v>6.0</v>
      </c>
      <c r="O22" s="423">
        <v>7.4</v>
      </c>
      <c r="P22" s="36"/>
      <c r="Q22" s="57">
        <v>305.94</v>
      </c>
      <c r="R22" s="57">
        <v>305.44</v>
      </c>
      <c r="S22" s="57">
        <v>39.62</v>
      </c>
      <c r="T22" s="57">
        <v>433.38</v>
      </c>
      <c r="U22" s="57">
        <v>484.8</v>
      </c>
      <c r="V22" s="452">
        <v>70.79</v>
      </c>
      <c r="W22" s="453">
        <v>9.0</v>
      </c>
      <c r="X22" s="453">
        <v>10.0</v>
      </c>
      <c r="Y22" s="453">
        <v>9.3</v>
      </c>
      <c r="Z22" s="532">
        <v>8.0</v>
      </c>
      <c r="AA22" s="36">
        <v>6.0</v>
      </c>
    </row>
    <row r="23">
      <c r="A23" s="534">
        <v>23.0</v>
      </c>
      <c r="B23" s="36" t="s">
        <v>202</v>
      </c>
      <c r="C23" s="51">
        <v>1.0</v>
      </c>
      <c r="D23" s="277" t="s">
        <v>36</v>
      </c>
      <c r="E23" s="328" t="s">
        <v>484</v>
      </c>
      <c r="F23" s="451">
        <v>5.0</v>
      </c>
      <c r="G23" s="451">
        <v>50.0</v>
      </c>
      <c r="H23" s="451">
        <v>77.5</v>
      </c>
      <c r="I23" s="451">
        <v>1.25</v>
      </c>
      <c r="J23" s="57">
        <v>667.86</v>
      </c>
      <c r="K23" s="57">
        <v>371.11</v>
      </c>
      <c r="L23" s="57">
        <v>109.77</v>
      </c>
      <c r="M23" s="423">
        <v>9.0</v>
      </c>
      <c r="N23" s="423">
        <v>10.0</v>
      </c>
      <c r="O23" s="423">
        <v>9.3</v>
      </c>
      <c r="P23" s="36"/>
      <c r="Q23" s="57">
        <v>469.6</v>
      </c>
      <c r="R23" s="57">
        <v>340.26</v>
      </c>
      <c r="S23" s="57">
        <v>53.14</v>
      </c>
      <c r="T23" s="57">
        <v>667.86</v>
      </c>
      <c r="U23" s="57">
        <v>371.11</v>
      </c>
      <c r="V23" s="452">
        <v>109.77</v>
      </c>
      <c r="W23" s="453">
        <v>9.0</v>
      </c>
      <c r="X23" s="453">
        <v>10.0</v>
      </c>
      <c r="Y23" s="453">
        <v>9.3</v>
      </c>
      <c r="Z23" s="532">
        <v>8.0</v>
      </c>
      <c r="AA23" s="36">
        <v>10.0</v>
      </c>
    </row>
    <row r="24">
      <c r="A24" s="534">
        <v>24.0</v>
      </c>
      <c r="B24" s="36" t="s">
        <v>202</v>
      </c>
      <c r="C24" s="51">
        <v>1.0</v>
      </c>
      <c r="D24" s="277" t="s">
        <v>40</v>
      </c>
      <c r="E24" s="328" t="s">
        <v>675</v>
      </c>
      <c r="F24" s="451">
        <v>5.0</v>
      </c>
      <c r="G24" s="451">
        <v>41.67</v>
      </c>
      <c r="H24" s="451">
        <v>75.0</v>
      </c>
      <c r="I24" s="451">
        <v>1.88</v>
      </c>
      <c r="J24" s="57">
        <v>511.56</v>
      </c>
      <c r="K24" s="57">
        <v>273.75</v>
      </c>
      <c r="L24" s="57">
        <v>45.63</v>
      </c>
      <c r="M24" s="423">
        <v>6.0</v>
      </c>
      <c r="N24" s="423">
        <v>6.0</v>
      </c>
      <c r="O24" s="423">
        <v>6.0</v>
      </c>
      <c r="P24" s="36"/>
      <c r="Q24" s="57">
        <v>511.56</v>
      </c>
      <c r="R24" s="57">
        <v>273.75</v>
      </c>
      <c r="S24" s="57">
        <v>45.63</v>
      </c>
      <c r="T24" s="57">
        <v>526.11</v>
      </c>
      <c r="U24" s="57">
        <v>324.48</v>
      </c>
      <c r="V24" s="452">
        <v>198.49</v>
      </c>
      <c r="W24" s="453">
        <v>10.0</v>
      </c>
      <c r="X24" s="453">
        <v>10.0</v>
      </c>
      <c r="Y24" s="453">
        <v>10.0</v>
      </c>
      <c r="Z24" s="532">
        <v>6.0</v>
      </c>
      <c r="AA24" s="36">
        <v>6.0</v>
      </c>
    </row>
    <row r="25">
      <c r="A25" s="534">
        <v>25.0</v>
      </c>
      <c r="B25" s="36" t="s">
        <v>202</v>
      </c>
      <c r="C25" s="51">
        <v>1.0</v>
      </c>
      <c r="D25" s="277" t="s">
        <v>36</v>
      </c>
      <c r="E25" s="328" t="s">
        <v>484</v>
      </c>
      <c r="F25" s="451">
        <v>6.0</v>
      </c>
      <c r="G25" s="451">
        <v>25.0</v>
      </c>
      <c r="H25" s="451">
        <v>92.5</v>
      </c>
      <c r="I25" s="451">
        <v>0.88</v>
      </c>
      <c r="J25" s="57">
        <v>261.69</v>
      </c>
      <c r="K25" s="57">
        <v>225.85</v>
      </c>
      <c r="L25" s="57">
        <v>109.75</v>
      </c>
      <c r="M25" s="423">
        <v>9.0</v>
      </c>
      <c r="N25" s="423">
        <v>10.0</v>
      </c>
      <c r="O25" s="423">
        <v>9.3</v>
      </c>
      <c r="P25" s="36"/>
      <c r="Q25" s="57">
        <v>339.45</v>
      </c>
      <c r="R25" s="57">
        <v>256.35</v>
      </c>
      <c r="S25" s="57">
        <v>61.03</v>
      </c>
      <c r="T25" s="57">
        <v>261.69</v>
      </c>
      <c r="U25" s="57">
        <v>225.85</v>
      </c>
      <c r="V25" s="452">
        <v>109.75</v>
      </c>
      <c r="W25" s="453">
        <v>9.0</v>
      </c>
      <c r="X25" s="453">
        <v>10.0</v>
      </c>
      <c r="Y25" s="453">
        <v>9.3</v>
      </c>
      <c r="Z25" s="532">
        <v>9.0</v>
      </c>
      <c r="AA25" s="36">
        <v>10.0</v>
      </c>
    </row>
    <row r="26">
      <c r="A26" s="534">
        <v>26.0</v>
      </c>
      <c r="B26" s="36" t="s">
        <v>202</v>
      </c>
      <c r="C26" s="51">
        <v>1.0</v>
      </c>
      <c r="D26" s="277" t="s">
        <v>40</v>
      </c>
      <c r="E26" s="328" t="s">
        <v>675</v>
      </c>
      <c r="F26" s="451">
        <v>5.0</v>
      </c>
      <c r="G26" s="451">
        <v>58.33</v>
      </c>
      <c r="H26" s="451">
        <v>67.5</v>
      </c>
      <c r="I26" s="451">
        <v>1.5</v>
      </c>
      <c r="J26" s="57">
        <v>583.02</v>
      </c>
      <c r="K26" s="57">
        <v>347.91</v>
      </c>
      <c r="L26" s="57">
        <v>60.64</v>
      </c>
      <c r="M26" s="423">
        <v>10.0</v>
      </c>
      <c r="N26" s="423">
        <v>10.0</v>
      </c>
      <c r="O26" s="423">
        <v>10.0</v>
      </c>
      <c r="P26" s="36"/>
      <c r="Q26" s="57">
        <v>583.02</v>
      </c>
      <c r="R26" s="57">
        <v>347.91</v>
      </c>
      <c r="S26" s="57">
        <v>60.64</v>
      </c>
      <c r="T26" s="57">
        <v>683.88</v>
      </c>
      <c r="U26" s="57">
        <v>457.47</v>
      </c>
      <c r="V26" s="452">
        <v>181.22</v>
      </c>
      <c r="W26" s="453">
        <v>9.0</v>
      </c>
      <c r="X26" s="453">
        <v>10.0</v>
      </c>
      <c r="Y26" s="453">
        <v>9.3</v>
      </c>
      <c r="Z26" s="532">
        <v>10.0</v>
      </c>
      <c r="AA26" s="36">
        <v>10.0</v>
      </c>
    </row>
    <row r="27">
      <c r="A27" s="534">
        <v>27.0</v>
      </c>
      <c r="B27" s="36" t="s">
        <v>202</v>
      </c>
      <c r="C27" s="51">
        <v>1.0</v>
      </c>
      <c r="D27" s="277" t="s">
        <v>36</v>
      </c>
      <c r="E27" s="328" t="s">
        <v>484</v>
      </c>
      <c r="F27" s="451">
        <v>5.0</v>
      </c>
      <c r="G27" s="451">
        <v>36.11</v>
      </c>
      <c r="H27" s="451">
        <v>80.0</v>
      </c>
      <c r="I27" s="451">
        <v>2.88</v>
      </c>
      <c r="J27" s="57">
        <v>938.68</v>
      </c>
      <c r="K27" s="57">
        <v>439.91</v>
      </c>
      <c r="L27" s="57">
        <v>141.62</v>
      </c>
      <c r="M27" s="423">
        <v>9.0</v>
      </c>
      <c r="N27" s="423">
        <v>10.0</v>
      </c>
      <c r="O27" s="423">
        <v>9.3</v>
      </c>
      <c r="P27" s="36"/>
      <c r="Q27" s="57">
        <v>816.6</v>
      </c>
      <c r="R27" s="57">
        <v>501.47</v>
      </c>
      <c r="S27" s="57">
        <v>44.42</v>
      </c>
      <c r="T27" s="57">
        <v>938.68</v>
      </c>
      <c r="U27" s="57">
        <v>439.91</v>
      </c>
      <c r="V27" s="452">
        <v>141.62</v>
      </c>
      <c r="W27" s="453">
        <v>9.0</v>
      </c>
      <c r="X27" s="453">
        <v>10.0</v>
      </c>
      <c r="Y27" s="453">
        <v>9.3</v>
      </c>
      <c r="Z27" s="532">
        <v>8.0</v>
      </c>
      <c r="AA27" s="36">
        <v>10.0</v>
      </c>
    </row>
    <row r="28">
      <c r="A28" s="534">
        <v>28.0</v>
      </c>
      <c r="B28" s="36" t="s">
        <v>202</v>
      </c>
      <c r="C28" s="51">
        <v>1.0</v>
      </c>
      <c r="D28" s="277" t="s">
        <v>40</v>
      </c>
      <c r="E28" s="328" t="s">
        <v>675</v>
      </c>
      <c r="F28" s="451">
        <v>6.0</v>
      </c>
      <c r="G28" s="451">
        <v>27.78</v>
      </c>
      <c r="H28" s="451">
        <v>85.0</v>
      </c>
      <c r="I28" s="451">
        <v>1.75</v>
      </c>
      <c r="J28" s="57">
        <v>324.07</v>
      </c>
      <c r="K28" s="57">
        <v>239.72</v>
      </c>
      <c r="L28" s="57">
        <v>64.31</v>
      </c>
      <c r="M28" s="423">
        <v>8.0</v>
      </c>
      <c r="N28" s="423">
        <v>10.0</v>
      </c>
      <c r="O28" s="423">
        <v>8.6</v>
      </c>
      <c r="P28" s="36"/>
      <c r="Q28" s="57">
        <v>324.07</v>
      </c>
      <c r="R28" s="57">
        <v>239.72</v>
      </c>
      <c r="S28" s="57">
        <v>64.31</v>
      </c>
      <c r="T28" s="57">
        <v>677.46</v>
      </c>
      <c r="U28" s="57">
        <v>316.97</v>
      </c>
      <c r="V28" s="452">
        <v>75.36</v>
      </c>
      <c r="W28" s="453">
        <v>8.0</v>
      </c>
      <c r="X28" s="453">
        <v>6.0</v>
      </c>
      <c r="Y28" s="453">
        <v>7.4</v>
      </c>
      <c r="Z28" s="532">
        <v>8.0</v>
      </c>
      <c r="AA28" s="36">
        <v>10.0</v>
      </c>
    </row>
    <row r="29">
      <c r="A29" s="534">
        <v>29.0</v>
      </c>
      <c r="B29" s="36" t="s">
        <v>202</v>
      </c>
      <c r="C29" s="51">
        <v>1.0</v>
      </c>
      <c r="D29" s="277" t="s">
        <v>36</v>
      </c>
      <c r="E29" s="328" t="s">
        <v>484</v>
      </c>
      <c r="F29" s="451">
        <v>5.0</v>
      </c>
      <c r="G29" s="451">
        <v>36.11</v>
      </c>
      <c r="H29" s="451">
        <v>85.0</v>
      </c>
      <c r="I29" s="451">
        <v>0.75</v>
      </c>
      <c r="J29" s="57">
        <v>382.16</v>
      </c>
      <c r="K29" s="57">
        <v>327.89</v>
      </c>
      <c r="L29" s="57">
        <v>146.25</v>
      </c>
      <c r="M29" s="423">
        <v>8.0</v>
      </c>
      <c r="N29" s="423">
        <v>6.0</v>
      </c>
      <c r="O29" s="423">
        <v>7.4</v>
      </c>
      <c r="P29" s="36"/>
      <c r="Q29" s="57">
        <v>510.56</v>
      </c>
      <c r="R29" s="57">
        <v>197.66</v>
      </c>
      <c r="S29" s="57">
        <v>57.83</v>
      </c>
      <c r="T29" s="57">
        <v>382.16</v>
      </c>
      <c r="U29" s="57">
        <v>327.89</v>
      </c>
      <c r="V29" s="452">
        <v>146.25</v>
      </c>
      <c r="W29" s="453">
        <v>8.0</v>
      </c>
      <c r="X29" s="453">
        <v>6.0</v>
      </c>
      <c r="Y29" s="453">
        <v>7.4</v>
      </c>
      <c r="Z29" s="532">
        <v>7.0</v>
      </c>
      <c r="AA29" s="36">
        <v>10.0</v>
      </c>
    </row>
    <row r="30">
      <c r="A30" s="534">
        <v>32.0</v>
      </c>
      <c r="B30" s="36" t="s">
        <v>202</v>
      </c>
      <c r="C30" s="51">
        <v>1.0</v>
      </c>
      <c r="D30" s="277" t="s">
        <v>40</v>
      </c>
      <c r="E30" s="328" t="s">
        <v>675</v>
      </c>
      <c r="F30" s="451">
        <v>5.0</v>
      </c>
      <c r="G30" s="451">
        <v>30.56</v>
      </c>
      <c r="H30" s="451">
        <v>82.5</v>
      </c>
      <c r="I30" s="451">
        <v>0.63</v>
      </c>
      <c r="J30" s="57">
        <v>562.03</v>
      </c>
      <c r="K30" s="57">
        <v>398.78</v>
      </c>
      <c r="L30" s="57">
        <v>49.15</v>
      </c>
      <c r="M30" s="423">
        <v>10.0</v>
      </c>
      <c r="N30" s="423">
        <v>10.0</v>
      </c>
      <c r="O30" s="423">
        <v>10.0</v>
      </c>
      <c r="P30" s="36"/>
      <c r="Q30" s="57">
        <v>562.03</v>
      </c>
      <c r="R30" s="57">
        <v>398.78</v>
      </c>
      <c r="S30" s="57">
        <v>49.15</v>
      </c>
      <c r="T30" s="57">
        <v>671.68</v>
      </c>
      <c r="U30" s="57">
        <v>340.23</v>
      </c>
      <c r="V30" s="452">
        <v>80.9</v>
      </c>
      <c r="W30" s="453">
        <v>8.0</v>
      </c>
      <c r="X30" s="453">
        <v>6.0</v>
      </c>
      <c r="Y30" s="453">
        <v>7.4</v>
      </c>
      <c r="Z30" s="532">
        <v>9.0</v>
      </c>
      <c r="AA30" s="36">
        <v>10.0</v>
      </c>
    </row>
    <row r="31">
      <c r="A31" s="534">
        <v>31.0</v>
      </c>
      <c r="B31" s="36" t="s">
        <v>202</v>
      </c>
      <c r="C31" s="51">
        <v>1.0</v>
      </c>
      <c r="D31" s="277" t="s">
        <v>36</v>
      </c>
      <c r="E31" s="328" t="s">
        <v>484</v>
      </c>
      <c r="F31" s="451">
        <v>6.0</v>
      </c>
      <c r="G31" s="451">
        <v>38.89</v>
      </c>
      <c r="H31" s="451">
        <v>85.0</v>
      </c>
      <c r="I31" s="451">
        <v>0.63</v>
      </c>
      <c r="J31" s="57">
        <v>479.95</v>
      </c>
      <c r="K31" s="57">
        <v>466.72</v>
      </c>
      <c r="L31" s="57">
        <v>205.63</v>
      </c>
      <c r="M31" s="423">
        <v>8.0</v>
      </c>
      <c r="N31" s="423">
        <v>6.0</v>
      </c>
      <c r="O31" s="423">
        <v>7.4</v>
      </c>
      <c r="P31" s="36"/>
      <c r="Q31" s="57">
        <v>543.95</v>
      </c>
      <c r="R31" s="57">
        <v>390.81</v>
      </c>
      <c r="S31" s="57">
        <v>43.16</v>
      </c>
      <c r="T31" s="57">
        <v>479.95</v>
      </c>
      <c r="U31" s="57">
        <v>466.72</v>
      </c>
      <c r="V31" s="474">
        <v>205.63</v>
      </c>
      <c r="W31" s="464">
        <v>9.0</v>
      </c>
      <c r="X31" s="464">
        <v>6.0</v>
      </c>
      <c r="Y31" s="464">
        <v>8.1</v>
      </c>
      <c r="Z31" s="535">
        <v>10.0</v>
      </c>
      <c r="AA31" s="36">
        <v>10.0</v>
      </c>
    </row>
    <row r="32">
      <c r="A32" s="534">
        <v>23.0</v>
      </c>
      <c r="B32" s="36" t="s">
        <v>202</v>
      </c>
      <c r="C32" s="51">
        <v>1.0</v>
      </c>
      <c r="D32" s="277" t="s">
        <v>40</v>
      </c>
      <c r="E32" s="328" t="s">
        <v>675</v>
      </c>
      <c r="F32" s="451">
        <v>6.0</v>
      </c>
      <c r="G32" s="451">
        <v>44.44</v>
      </c>
      <c r="H32" s="451">
        <v>85.0</v>
      </c>
      <c r="I32" s="451">
        <v>1.13</v>
      </c>
      <c r="J32" s="57">
        <v>469.6</v>
      </c>
      <c r="K32" s="57">
        <v>340.26</v>
      </c>
      <c r="L32" s="57">
        <v>53.14</v>
      </c>
      <c r="M32" s="423">
        <v>8.0</v>
      </c>
      <c r="N32" s="423">
        <v>10.0</v>
      </c>
      <c r="O32" s="423">
        <v>8.6</v>
      </c>
    </row>
    <row r="33">
      <c r="A33" s="534">
        <v>22.0</v>
      </c>
      <c r="B33" s="36" t="s">
        <v>202</v>
      </c>
      <c r="C33" s="51">
        <v>1.0</v>
      </c>
      <c r="D33" s="277" t="s">
        <v>36</v>
      </c>
      <c r="E33" s="328" t="s">
        <v>484</v>
      </c>
      <c r="F33" s="451">
        <v>5.0</v>
      </c>
      <c r="G33" s="451">
        <v>36.11</v>
      </c>
      <c r="H33" s="451">
        <v>82.5</v>
      </c>
      <c r="I33" s="451">
        <v>1.38</v>
      </c>
      <c r="J33" s="57">
        <v>433.38</v>
      </c>
      <c r="K33" s="57">
        <v>484.8</v>
      </c>
      <c r="L33" s="57">
        <v>70.79</v>
      </c>
      <c r="M33" s="423">
        <v>9.0</v>
      </c>
      <c r="N33" s="423">
        <v>10.0</v>
      </c>
      <c r="O33" s="423">
        <v>9.3</v>
      </c>
    </row>
    <row r="34">
      <c r="A34" s="534">
        <v>25.0</v>
      </c>
      <c r="B34" s="36" t="s">
        <v>202</v>
      </c>
      <c r="C34" s="51">
        <v>1.0</v>
      </c>
      <c r="D34" s="277" t="s">
        <v>40</v>
      </c>
      <c r="E34" s="328" t="s">
        <v>675</v>
      </c>
      <c r="F34" s="451">
        <v>7.0</v>
      </c>
      <c r="G34" s="451">
        <v>22.22</v>
      </c>
      <c r="H34" s="451">
        <v>85.0</v>
      </c>
      <c r="I34" s="451">
        <v>0.88</v>
      </c>
      <c r="J34" s="57">
        <v>339.45</v>
      </c>
      <c r="K34" s="57">
        <v>256.35</v>
      </c>
      <c r="L34" s="57">
        <v>61.03</v>
      </c>
      <c r="M34" s="423">
        <v>9.0</v>
      </c>
      <c r="N34" s="423">
        <v>10.0</v>
      </c>
      <c r="O34" s="423">
        <v>9.3</v>
      </c>
    </row>
    <row r="35">
      <c r="A35" s="534">
        <v>24.0</v>
      </c>
      <c r="B35" s="36" t="s">
        <v>202</v>
      </c>
      <c r="C35" s="51">
        <v>1.0</v>
      </c>
      <c r="D35" s="277" t="s">
        <v>36</v>
      </c>
      <c r="E35" s="328" t="s">
        <v>484</v>
      </c>
      <c r="F35" s="451">
        <v>5.0</v>
      </c>
      <c r="G35" s="451">
        <v>58.33</v>
      </c>
      <c r="H35" s="451">
        <v>62.5</v>
      </c>
      <c r="I35" s="451">
        <v>1.63</v>
      </c>
      <c r="J35" s="57">
        <v>526.11</v>
      </c>
      <c r="K35" s="57">
        <v>324.48</v>
      </c>
      <c r="L35" s="57">
        <v>198.49</v>
      </c>
      <c r="M35" s="283">
        <v>10.0</v>
      </c>
      <c r="N35" s="283">
        <v>10.0</v>
      </c>
      <c r="O35" s="283">
        <v>10.0</v>
      </c>
    </row>
    <row r="36">
      <c r="A36" s="534">
        <v>27.0</v>
      </c>
      <c r="B36" s="36" t="s">
        <v>202</v>
      </c>
      <c r="C36" s="51">
        <v>1.0</v>
      </c>
      <c r="D36" s="277" t="s">
        <v>40</v>
      </c>
      <c r="E36" s="328" t="s">
        <v>675</v>
      </c>
      <c r="F36" s="451">
        <v>4.0</v>
      </c>
      <c r="G36" s="451">
        <v>52.78</v>
      </c>
      <c r="H36" s="451">
        <v>67.5</v>
      </c>
      <c r="I36" s="451">
        <v>2.63</v>
      </c>
      <c r="J36" s="57">
        <v>816.6</v>
      </c>
      <c r="K36" s="57">
        <v>501.47</v>
      </c>
      <c r="L36" s="57">
        <v>44.42</v>
      </c>
      <c r="M36" s="423">
        <v>8.0</v>
      </c>
      <c r="N36" s="423">
        <v>10.0</v>
      </c>
      <c r="O36" s="423">
        <v>8.6</v>
      </c>
    </row>
    <row r="37">
      <c r="A37" s="534">
        <v>26.0</v>
      </c>
      <c r="B37" s="36" t="s">
        <v>202</v>
      </c>
      <c r="C37" s="51">
        <v>1.0</v>
      </c>
      <c r="D37" s="277" t="s">
        <v>36</v>
      </c>
      <c r="E37" s="328" t="s">
        <v>484</v>
      </c>
      <c r="F37" s="451">
        <v>5.0</v>
      </c>
      <c r="G37" s="451">
        <v>41.67</v>
      </c>
      <c r="H37" s="451">
        <v>80.0</v>
      </c>
      <c r="I37" s="451">
        <v>1.13</v>
      </c>
      <c r="J37" s="57">
        <v>683.88</v>
      </c>
      <c r="K37" s="57">
        <v>457.47</v>
      </c>
      <c r="L37" s="57">
        <v>181.22</v>
      </c>
      <c r="M37" s="423">
        <v>9.0</v>
      </c>
      <c r="N37" s="423">
        <v>10.0</v>
      </c>
      <c r="O37" s="423">
        <v>9.3</v>
      </c>
    </row>
    <row r="38">
      <c r="A38" s="534">
        <v>29.0</v>
      </c>
      <c r="B38" s="36" t="s">
        <v>202</v>
      </c>
      <c r="C38" s="51">
        <v>1.0</v>
      </c>
      <c r="D38" s="277" t="s">
        <v>40</v>
      </c>
      <c r="E38" s="328" t="s">
        <v>675</v>
      </c>
      <c r="F38" s="451">
        <v>3.0</v>
      </c>
      <c r="G38" s="451">
        <v>41.67</v>
      </c>
      <c r="H38" s="451">
        <v>77.5</v>
      </c>
      <c r="I38" s="451">
        <v>0.13</v>
      </c>
      <c r="J38" s="57">
        <v>510.56</v>
      </c>
      <c r="K38" s="57">
        <v>197.66</v>
      </c>
      <c r="L38" s="57">
        <v>57.83</v>
      </c>
      <c r="M38" s="423">
        <v>7.0</v>
      </c>
      <c r="N38" s="423">
        <v>10.0</v>
      </c>
      <c r="O38" s="423">
        <v>7.9</v>
      </c>
    </row>
    <row r="39">
      <c r="A39" s="534">
        <v>28.0</v>
      </c>
      <c r="B39" s="36" t="s">
        <v>202</v>
      </c>
      <c r="C39" s="51">
        <v>1.0</v>
      </c>
      <c r="D39" s="277" t="s">
        <v>36</v>
      </c>
      <c r="E39" s="328" t="s">
        <v>484</v>
      </c>
      <c r="F39" s="451">
        <v>3.0</v>
      </c>
      <c r="G39" s="451">
        <v>66.67</v>
      </c>
      <c r="H39" s="451">
        <v>77.5</v>
      </c>
      <c r="I39" s="451">
        <v>1.13</v>
      </c>
      <c r="J39" s="57">
        <v>677.46</v>
      </c>
      <c r="K39" s="57">
        <v>316.97</v>
      </c>
      <c r="L39" s="57">
        <v>75.36</v>
      </c>
      <c r="M39" s="423">
        <v>8.0</v>
      </c>
      <c r="N39" s="423">
        <v>6.0</v>
      </c>
      <c r="O39" s="423">
        <v>7.4</v>
      </c>
    </row>
    <row r="40">
      <c r="A40" s="534">
        <v>31.0</v>
      </c>
      <c r="B40" s="36" t="s">
        <v>202</v>
      </c>
      <c r="C40" s="51">
        <v>1.0</v>
      </c>
      <c r="D40" s="277" t="s">
        <v>40</v>
      </c>
      <c r="E40" s="328" t="s">
        <v>675</v>
      </c>
      <c r="F40" s="451">
        <v>2.0</v>
      </c>
      <c r="G40" s="451">
        <v>41.67</v>
      </c>
      <c r="H40" s="451">
        <v>40.0</v>
      </c>
      <c r="I40" s="451">
        <v>-1.25</v>
      </c>
      <c r="J40" s="57">
        <v>543.95</v>
      </c>
      <c r="K40" s="57">
        <v>390.81</v>
      </c>
      <c r="L40" s="57">
        <v>43.16</v>
      </c>
      <c r="M40" s="423">
        <v>9.0</v>
      </c>
      <c r="N40" s="423">
        <v>10.0</v>
      </c>
      <c r="O40" s="423">
        <v>9.3</v>
      </c>
    </row>
    <row r="41">
      <c r="A41" s="534">
        <v>32.0</v>
      </c>
      <c r="B41" s="36" t="s">
        <v>202</v>
      </c>
      <c r="C41" s="51">
        <v>1.0</v>
      </c>
      <c r="D41" s="277" t="s">
        <v>36</v>
      </c>
      <c r="E41" s="328" t="s">
        <v>484</v>
      </c>
      <c r="F41" s="451">
        <v>5.0</v>
      </c>
      <c r="G41" s="451">
        <v>25.0</v>
      </c>
      <c r="H41" s="451">
        <v>85.0</v>
      </c>
      <c r="I41" s="451">
        <v>1.38</v>
      </c>
      <c r="J41" s="57">
        <v>671.68</v>
      </c>
      <c r="K41" s="57">
        <v>340.23</v>
      </c>
      <c r="L41" s="57">
        <v>80.9</v>
      </c>
      <c r="M41" s="423">
        <v>9.0</v>
      </c>
      <c r="N41" s="423">
        <v>6.0</v>
      </c>
      <c r="O41" s="423">
        <v>8.1</v>
      </c>
    </row>
    <row r="42">
      <c r="C42" s="80"/>
    </row>
    <row r="43">
      <c r="C43" s="80"/>
    </row>
    <row r="44">
      <c r="C44" s="80"/>
    </row>
    <row r="45">
      <c r="C45" s="80"/>
    </row>
    <row r="46">
      <c r="C46" s="80"/>
    </row>
    <row r="47">
      <c r="C47" s="80"/>
    </row>
    <row r="48">
      <c r="C48" s="80"/>
    </row>
    <row r="49">
      <c r="C49" s="80"/>
    </row>
    <row r="50">
      <c r="C50" s="80"/>
    </row>
    <row r="51">
      <c r="C51" s="80"/>
    </row>
    <row r="52">
      <c r="C52" s="80"/>
    </row>
    <row r="53">
      <c r="C53" s="80"/>
    </row>
    <row r="54">
      <c r="C54" s="80"/>
    </row>
    <row r="55">
      <c r="C55" s="80"/>
    </row>
    <row r="56">
      <c r="C56" s="80"/>
    </row>
    <row r="57">
      <c r="C57" s="80"/>
    </row>
    <row r="58">
      <c r="C58" s="80"/>
    </row>
    <row r="59">
      <c r="C59" s="80"/>
    </row>
    <row r="60">
      <c r="C60" s="80"/>
    </row>
    <row r="61">
      <c r="C61" s="80"/>
    </row>
    <row r="62">
      <c r="C62" s="80"/>
    </row>
    <row r="63">
      <c r="C63" s="80"/>
    </row>
    <row r="64">
      <c r="C64" s="80"/>
    </row>
    <row r="65">
      <c r="C65" s="80"/>
    </row>
    <row r="66">
      <c r="C66" s="80"/>
    </row>
    <row r="67">
      <c r="C67" s="80"/>
    </row>
    <row r="68">
      <c r="C68" s="80"/>
    </row>
    <row r="69">
      <c r="C69" s="80"/>
    </row>
    <row r="70">
      <c r="C70" s="80"/>
    </row>
    <row r="71">
      <c r="C71" s="80"/>
    </row>
    <row r="72">
      <c r="C72" s="80"/>
    </row>
    <row r="73">
      <c r="C73" s="80"/>
    </row>
    <row r="74">
      <c r="C74" s="80"/>
    </row>
    <row r="75">
      <c r="C75" s="80"/>
    </row>
    <row r="76">
      <c r="C76" s="80"/>
    </row>
    <row r="77">
      <c r="C77" s="80"/>
    </row>
    <row r="78">
      <c r="C78" s="80"/>
    </row>
    <row r="79">
      <c r="C79" s="80"/>
    </row>
    <row r="80">
      <c r="C80" s="80"/>
    </row>
    <row r="81">
      <c r="C81" s="80"/>
    </row>
    <row r="82">
      <c r="C82" s="80"/>
    </row>
    <row r="83">
      <c r="C83" s="80"/>
    </row>
    <row r="84">
      <c r="C84" s="80"/>
    </row>
    <row r="85">
      <c r="C85" s="80"/>
    </row>
    <row r="86">
      <c r="C86" s="80"/>
    </row>
    <row r="87">
      <c r="C87" s="80"/>
    </row>
    <row r="88">
      <c r="C88" s="80"/>
    </row>
    <row r="89">
      <c r="C89" s="80"/>
    </row>
    <row r="90">
      <c r="C90" s="80"/>
    </row>
    <row r="91">
      <c r="C91" s="80"/>
    </row>
    <row r="92">
      <c r="C92" s="80"/>
    </row>
    <row r="93">
      <c r="C93" s="80"/>
    </row>
    <row r="94">
      <c r="C94" s="80"/>
    </row>
    <row r="95">
      <c r="C95" s="80"/>
    </row>
    <row r="96">
      <c r="C96" s="80"/>
    </row>
    <row r="97">
      <c r="C97" s="80"/>
    </row>
    <row r="98">
      <c r="C98" s="80"/>
    </row>
    <row r="99">
      <c r="C99" s="80"/>
    </row>
    <row r="100">
      <c r="C100" s="80"/>
    </row>
    <row r="101">
      <c r="C101" s="80"/>
    </row>
    <row r="102">
      <c r="C102" s="80"/>
    </row>
    <row r="103">
      <c r="C103" s="80"/>
    </row>
    <row r="104">
      <c r="C104" s="80"/>
    </row>
    <row r="105">
      <c r="C105" s="80"/>
    </row>
    <row r="106">
      <c r="C106" s="80"/>
    </row>
    <row r="107">
      <c r="C107" s="80"/>
    </row>
    <row r="108">
      <c r="C108" s="80"/>
    </row>
    <row r="109">
      <c r="C109" s="80"/>
    </row>
    <row r="110">
      <c r="C110" s="80"/>
    </row>
    <row r="111">
      <c r="C111" s="80"/>
    </row>
    <row r="112">
      <c r="C112" s="80"/>
    </row>
    <row r="113">
      <c r="C113" s="80"/>
    </row>
    <row r="114">
      <c r="C114" s="80"/>
    </row>
    <row r="115">
      <c r="C115" s="80"/>
    </row>
    <row r="116">
      <c r="C116" s="80"/>
    </row>
    <row r="117">
      <c r="C117" s="80"/>
    </row>
    <row r="118">
      <c r="C118" s="80"/>
    </row>
    <row r="119">
      <c r="C119" s="80"/>
    </row>
    <row r="120">
      <c r="C120" s="80"/>
    </row>
    <row r="121">
      <c r="C121" s="80"/>
    </row>
    <row r="122">
      <c r="C122" s="80"/>
    </row>
    <row r="123">
      <c r="C123" s="80"/>
    </row>
    <row r="124">
      <c r="C124" s="80"/>
    </row>
    <row r="125">
      <c r="C125" s="80"/>
    </row>
    <row r="126">
      <c r="C126" s="80"/>
    </row>
    <row r="127">
      <c r="C127" s="80"/>
    </row>
    <row r="128">
      <c r="C128" s="80"/>
    </row>
    <row r="129">
      <c r="C129" s="80"/>
    </row>
    <row r="130">
      <c r="C130" s="80"/>
    </row>
    <row r="131">
      <c r="C131" s="80"/>
    </row>
    <row r="132">
      <c r="C132" s="80"/>
    </row>
    <row r="133">
      <c r="C133" s="80"/>
    </row>
    <row r="134">
      <c r="C134" s="80"/>
    </row>
    <row r="135">
      <c r="C135" s="80"/>
    </row>
    <row r="136">
      <c r="C136" s="80"/>
    </row>
    <row r="137">
      <c r="C137" s="80"/>
    </row>
    <row r="138">
      <c r="C138" s="80"/>
    </row>
    <row r="139">
      <c r="C139" s="80"/>
    </row>
    <row r="140">
      <c r="C140" s="80"/>
    </row>
    <row r="141">
      <c r="C141" s="80"/>
    </row>
    <row r="142">
      <c r="C142" s="80"/>
    </row>
    <row r="143">
      <c r="C143" s="80"/>
    </row>
    <row r="144">
      <c r="C144" s="80"/>
    </row>
    <row r="145">
      <c r="C145" s="80"/>
    </row>
    <row r="146">
      <c r="C146" s="80"/>
    </row>
    <row r="147">
      <c r="C147" s="80"/>
    </row>
    <row r="148">
      <c r="C148" s="80"/>
    </row>
    <row r="149">
      <c r="C149" s="80"/>
    </row>
    <row r="150">
      <c r="C150" s="80"/>
    </row>
    <row r="151">
      <c r="C151" s="80"/>
    </row>
    <row r="152">
      <c r="C152" s="80"/>
    </row>
    <row r="153">
      <c r="C153" s="80"/>
    </row>
    <row r="154">
      <c r="C154" s="80"/>
    </row>
    <row r="155">
      <c r="C155" s="80"/>
    </row>
    <row r="156">
      <c r="C156" s="80"/>
    </row>
    <row r="157">
      <c r="C157" s="80"/>
    </row>
    <row r="158">
      <c r="C158" s="80"/>
    </row>
    <row r="159">
      <c r="C159" s="80"/>
    </row>
    <row r="160">
      <c r="C160" s="80"/>
    </row>
    <row r="161">
      <c r="C161" s="80"/>
    </row>
    <row r="162">
      <c r="C162" s="80"/>
    </row>
    <row r="163">
      <c r="C163" s="80"/>
    </row>
    <row r="164">
      <c r="C164" s="80"/>
    </row>
    <row r="165">
      <c r="C165" s="80"/>
    </row>
    <row r="166">
      <c r="C166" s="80"/>
    </row>
    <row r="167">
      <c r="C167" s="80"/>
    </row>
    <row r="168">
      <c r="C168" s="80"/>
    </row>
    <row r="169">
      <c r="C169" s="80"/>
    </row>
    <row r="170">
      <c r="C170" s="80"/>
    </row>
    <row r="171">
      <c r="C171" s="80"/>
    </row>
    <row r="172">
      <c r="C172" s="80"/>
    </row>
    <row r="173">
      <c r="C173" s="80"/>
    </row>
    <row r="174">
      <c r="C174" s="80"/>
    </row>
    <row r="175">
      <c r="C175" s="80"/>
    </row>
    <row r="176">
      <c r="C176" s="80"/>
    </row>
    <row r="177">
      <c r="C177" s="80"/>
    </row>
    <row r="178">
      <c r="C178" s="80"/>
    </row>
    <row r="179">
      <c r="C179" s="80"/>
    </row>
    <row r="180">
      <c r="C180" s="80"/>
    </row>
    <row r="181">
      <c r="C181" s="80"/>
    </row>
    <row r="182">
      <c r="C182" s="80"/>
    </row>
    <row r="183">
      <c r="C183" s="80"/>
    </row>
    <row r="184">
      <c r="C184" s="80"/>
    </row>
    <row r="185">
      <c r="C185" s="80"/>
    </row>
    <row r="186">
      <c r="C186" s="80"/>
    </row>
    <row r="187">
      <c r="C187" s="80"/>
    </row>
    <row r="188">
      <c r="C188" s="80"/>
    </row>
    <row r="189">
      <c r="C189" s="80"/>
    </row>
    <row r="190">
      <c r="C190" s="80"/>
    </row>
    <row r="191">
      <c r="C191" s="80"/>
    </row>
    <row r="192">
      <c r="C192" s="80"/>
    </row>
    <row r="193">
      <c r="C193" s="80"/>
    </row>
    <row r="194">
      <c r="C194" s="80"/>
    </row>
    <row r="195">
      <c r="C195" s="80"/>
    </row>
    <row r="196">
      <c r="C196" s="80"/>
    </row>
    <row r="197">
      <c r="C197" s="80"/>
    </row>
    <row r="198">
      <c r="C198" s="80"/>
    </row>
    <row r="199">
      <c r="C199" s="80"/>
    </row>
    <row r="200">
      <c r="C200" s="80"/>
    </row>
    <row r="201">
      <c r="C201" s="80"/>
    </row>
    <row r="202">
      <c r="C202" s="80"/>
    </row>
    <row r="203">
      <c r="C203" s="80"/>
    </row>
    <row r="204">
      <c r="C204" s="80"/>
    </row>
    <row r="205">
      <c r="C205" s="80"/>
    </row>
    <row r="206">
      <c r="C206" s="80"/>
    </row>
    <row r="207">
      <c r="C207" s="80"/>
    </row>
    <row r="208">
      <c r="C208" s="80"/>
    </row>
    <row r="209">
      <c r="C209" s="80"/>
    </row>
    <row r="210">
      <c r="C210" s="80"/>
    </row>
    <row r="211">
      <c r="C211" s="80"/>
    </row>
    <row r="212">
      <c r="C212" s="80"/>
    </row>
    <row r="213">
      <c r="C213" s="80"/>
    </row>
    <row r="214">
      <c r="C214" s="80"/>
    </row>
    <row r="215">
      <c r="C215" s="80"/>
    </row>
    <row r="216">
      <c r="C216" s="80"/>
    </row>
    <row r="217">
      <c r="C217" s="80"/>
    </row>
    <row r="218">
      <c r="C218" s="80"/>
    </row>
    <row r="219">
      <c r="C219" s="80"/>
    </row>
    <row r="220">
      <c r="C220" s="80"/>
    </row>
    <row r="221">
      <c r="C221" s="80"/>
    </row>
    <row r="222">
      <c r="C222" s="80"/>
    </row>
    <row r="223">
      <c r="C223" s="80"/>
    </row>
    <row r="224">
      <c r="C224" s="80"/>
    </row>
    <row r="225">
      <c r="C225" s="80"/>
    </row>
    <row r="226">
      <c r="C226" s="80"/>
    </row>
    <row r="227">
      <c r="C227" s="80"/>
    </row>
    <row r="228">
      <c r="C228" s="80"/>
    </row>
    <row r="229">
      <c r="C229" s="80"/>
    </row>
    <row r="230">
      <c r="C230" s="80"/>
    </row>
    <row r="231">
      <c r="C231" s="80"/>
    </row>
    <row r="232">
      <c r="C232" s="80"/>
    </row>
    <row r="233">
      <c r="C233" s="80"/>
    </row>
    <row r="234">
      <c r="C234" s="80"/>
    </row>
    <row r="235">
      <c r="C235" s="80"/>
    </row>
    <row r="236">
      <c r="C236" s="80"/>
    </row>
    <row r="237">
      <c r="C237" s="80"/>
    </row>
    <row r="238">
      <c r="C238" s="80"/>
    </row>
    <row r="239">
      <c r="C239" s="80"/>
    </row>
    <row r="240">
      <c r="C240" s="80"/>
    </row>
    <row r="241">
      <c r="C241" s="80"/>
    </row>
    <row r="242">
      <c r="C242" s="80"/>
    </row>
    <row r="243">
      <c r="C243" s="80"/>
    </row>
    <row r="244">
      <c r="C244" s="80"/>
    </row>
    <row r="245">
      <c r="C245" s="80"/>
    </row>
    <row r="246">
      <c r="C246" s="80"/>
    </row>
    <row r="247">
      <c r="C247" s="80"/>
    </row>
    <row r="248">
      <c r="C248" s="80"/>
    </row>
    <row r="249">
      <c r="C249" s="80"/>
    </row>
    <row r="250">
      <c r="C250" s="80"/>
    </row>
    <row r="251">
      <c r="C251" s="80"/>
    </row>
    <row r="252">
      <c r="C252" s="80"/>
    </row>
    <row r="253">
      <c r="C253" s="80"/>
    </row>
    <row r="254">
      <c r="C254" s="80"/>
    </row>
    <row r="255">
      <c r="C255" s="80"/>
    </row>
    <row r="256">
      <c r="C256" s="80"/>
    </row>
    <row r="257">
      <c r="C257" s="80"/>
    </row>
    <row r="258">
      <c r="C258" s="80"/>
    </row>
    <row r="259">
      <c r="C259" s="80"/>
    </row>
    <row r="260">
      <c r="C260" s="80"/>
    </row>
    <row r="261">
      <c r="C261" s="80"/>
    </row>
    <row r="262">
      <c r="C262" s="80"/>
    </row>
    <row r="263">
      <c r="C263" s="80"/>
    </row>
    <row r="264">
      <c r="C264" s="80"/>
    </row>
    <row r="265">
      <c r="C265" s="80"/>
    </row>
    <row r="266">
      <c r="C266" s="80"/>
    </row>
    <row r="267">
      <c r="C267" s="80"/>
    </row>
    <row r="268">
      <c r="C268" s="80"/>
    </row>
    <row r="269">
      <c r="C269" s="80"/>
    </row>
    <row r="270">
      <c r="C270" s="80"/>
    </row>
    <row r="271">
      <c r="C271" s="80"/>
    </row>
    <row r="272">
      <c r="C272" s="80"/>
    </row>
    <row r="273">
      <c r="C273" s="80"/>
    </row>
    <row r="274">
      <c r="C274" s="80"/>
    </row>
    <row r="275">
      <c r="C275" s="80"/>
    </row>
    <row r="276">
      <c r="C276" s="80"/>
    </row>
    <row r="277">
      <c r="C277" s="80"/>
    </row>
    <row r="278">
      <c r="C278" s="80"/>
    </row>
    <row r="279">
      <c r="C279" s="80"/>
    </row>
    <row r="280">
      <c r="C280" s="80"/>
    </row>
    <row r="281">
      <c r="C281" s="80"/>
    </row>
    <row r="282">
      <c r="C282" s="80"/>
    </row>
    <row r="283">
      <c r="C283" s="80"/>
    </row>
    <row r="284">
      <c r="C284" s="80"/>
    </row>
    <row r="285">
      <c r="C285" s="80"/>
    </row>
    <row r="286">
      <c r="C286" s="80"/>
    </row>
    <row r="287">
      <c r="C287" s="80"/>
    </row>
    <row r="288">
      <c r="C288" s="80"/>
    </row>
    <row r="289">
      <c r="C289" s="80"/>
    </row>
    <row r="290">
      <c r="C290" s="80"/>
    </row>
    <row r="291">
      <c r="C291" s="80"/>
    </row>
    <row r="292">
      <c r="C292" s="80"/>
    </row>
    <row r="293">
      <c r="C293" s="80"/>
    </row>
    <row r="294">
      <c r="C294" s="80"/>
    </row>
    <row r="295">
      <c r="C295" s="80"/>
    </row>
    <row r="296">
      <c r="C296" s="80"/>
    </row>
    <row r="297">
      <c r="C297" s="80"/>
    </row>
    <row r="298">
      <c r="C298" s="80"/>
    </row>
    <row r="299">
      <c r="C299" s="80"/>
    </row>
    <row r="300">
      <c r="C300" s="80"/>
    </row>
    <row r="301">
      <c r="C301" s="80"/>
    </row>
    <row r="302">
      <c r="C302" s="80"/>
    </row>
    <row r="303">
      <c r="C303" s="80"/>
    </row>
    <row r="304">
      <c r="C304" s="80"/>
    </row>
    <row r="305">
      <c r="C305" s="80"/>
    </row>
    <row r="306">
      <c r="C306" s="80"/>
    </row>
    <row r="307">
      <c r="C307" s="80"/>
    </row>
    <row r="308">
      <c r="C308" s="80"/>
    </row>
    <row r="309">
      <c r="C309" s="80"/>
    </row>
    <row r="310">
      <c r="C310" s="80"/>
    </row>
    <row r="311">
      <c r="C311" s="80"/>
    </row>
    <row r="312">
      <c r="C312" s="80"/>
    </row>
    <row r="313">
      <c r="C313" s="80"/>
    </row>
    <row r="314">
      <c r="C314" s="80"/>
    </row>
    <row r="315">
      <c r="C315" s="80"/>
    </row>
    <row r="316">
      <c r="C316" s="80"/>
    </row>
    <row r="317">
      <c r="C317" s="80"/>
    </row>
    <row r="318">
      <c r="C318" s="80"/>
    </row>
    <row r="319">
      <c r="C319" s="80"/>
    </row>
    <row r="320">
      <c r="C320" s="80"/>
    </row>
    <row r="321">
      <c r="C321" s="80"/>
    </row>
    <row r="322">
      <c r="C322" s="80"/>
    </row>
    <row r="323">
      <c r="C323" s="80"/>
    </row>
    <row r="324">
      <c r="C324" s="80"/>
    </row>
    <row r="325">
      <c r="C325" s="80"/>
    </row>
    <row r="326">
      <c r="C326" s="80"/>
    </row>
    <row r="327">
      <c r="C327" s="80"/>
    </row>
    <row r="328">
      <c r="C328" s="80"/>
    </row>
    <row r="329">
      <c r="C329" s="80"/>
    </row>
    <row r="330">
      <c r="C330" s="80"/>
    </row>
    <row r="331">
      <c r="C331" s="80"/>
    </row>
    <row r="332">
      <c r="C332" s="80"/>
    </row>
    <row r="333">
      <c r="C333" s="80"/>
    </row>
    <row r="334">
      <c r="C334" s="80"/>
    </row>
    <row r="335">
      <c r="C335" s="80"/>
    </row>
    <row r="336">
      <c r="C336" s="80"/>
    </row>
    <row r="337">
      <c r="C337" s="80"/>
    </row>
    <row r="338">
      <c r="C338" s="80"/>
    </row>
    <row r="339">
      <c r="C339" s="80"/>
    </row>
    <row r="340">
      <c r="C340" s="80"/>
    </row>
    <row r="341">
      <c r="C341" s="80"/>
    </row>
    <row r="342">
      <c r="C342" s="80"/>
    </row>
    <row r="343">
      <c r="C343" s="80"/>
    </row>
    <row r="344">
      <c r="C344" s="80"/>
    </row>
    <row r="345">
      <c r="C345" s="80"/>
    </row>
    <row r="346">
      <c r="C346" s="80"/>
    </row>
    <row r="347">
      <c r="C347" s="80"/>
    </row>
    <row r="348">
      <c r="C348" s="80"/>
    </row>
    <row r="349">
      <c r="C349" s="80"/>
    </row>
    <row r="350">
      <c r="C350" s="80"/>
    </row>
    <row r="351">
      <c r="C351" s="80"/>
    </row>
    <row r="352">
      <c r="C352" s="80"/>
    </row>
    <row r="353">
      <c r="C353" s="80"/>
    </row>
    <row r="354">
      <c r="C354" s="80"/>
    </row>
    <row r="355">
      <c r="C355" s="80"/>
    </row>
    <row r="356">
      <c r="C356" s="80"/>
    </row>
    <row r="357">
      <c r="C357" s="80"/>
    </row>
    <row r="358">
      <c r="C358" s="80"/>
    </row>
    <row r="359">
      <c r="C359" s="80"/>
    </row>
    <row r="360">
      <c r="C360" s="80"/>
    </row>
    <row r="361">
      <c r="C361" s="80"/>
    </row>
    <row r="362">
      <c r="C362" s="80"/>
    </row>
    <row r="363">
      <c r="C363" s="80"/>
    </row>
    <row r="364">
      <c r="C364" s="80"/>
    </row>
    <row r="365">
      <c r="C365" s="80"/>
    </row>
    <row r="366">
      <c r="C366" s="80"/>
    </row>
    <row r="367">
      <c r="C367" s="80"/>
    </row>
    <row r="368">
      <c r="C368" s="80"/>
    </row>
    <row r="369">
      <c r="C369" s="80"/>
    </row>
    <row r="370">
      <c r="C370" s="80"/>
    </row>
    <row r="371">
      <c r="C371" s="80"/>
    </row>
    <row r="372">
      <c r="C372" s="80"/>
    </row>
    <row r="373">
      <c r="C373" s="80"/>
    </row>
    <row r="374">
      <c r="C374" s="80"/>
    </row>
    <row r="375">
      <c r="C375" s="80"/>
    </row>
    <row r="376">
      <c r="C376" s="80"/>
    </row>
    <row r="377">
      <c r="C377" s="80"/>
    </row>
    <row r="378">
      <c r="C378" s="80"/>
    </row>
    <row r="379">
      <c r="C379" s="80"/>
    </row>
    <row r="380">
      <c r="C380" s="80"/>
    </row>
    <row r="381">
      <c r="C381" s="80"/>
    </row>
    <row r="382">
      <c r="C382" s="80"/>
    </row>
    <row r="383">
      <c r="C383" s="80"/>
    </row>
    <row r="384">
      <c r="C384" s="80"/>
    </row>
    <row r="385">
      <c r="C385" s="80"/>
    </row>
    <row r="386">
      <c r="C386" s="80"/>
    </row>
    <row r="387">
      <c r="C387" s="80"/>
    </row>
    <row r="388">
      <c r="C388" s="80"/>
    </row>
    <row r="389">
      <c r="C389" s="80"/>
    </row>
    <row r="390">
      <c r="C390" s="80"/>
    </row>
    <row r="391">
      <c r="C391" s="80"/>
    </row>
    <row r="392">
      <c r="C392" s="80"/>
    </row>
    <row r="393">
      <c r="C393" s="80"/>
    </row>
    <row r="394">
      <c r="C394" s="80"/>
    </row>
    <row r="395">
      <c r="C395" s="80"/>
    </row>
    <row r="396">
      <c r="C396" s="80"/>
    </row>
    <row r="397">
      <c r="C397" s="80"/>
    </row>
    <row r="398">
      <c r="C398" s="80"/>
    </row>
    <row r="399">
      <c r="C399" s="80"/>
    </row>
    <row r="400">
      <c r="C400" s="80"/>
    </row>
    <row r="401">
      <c r="C401" s="80"/>
    </row>
    <row r="402">
      <c r="C402" s="80"/>
    </row>
    <row r="403">
      <c r="C403" s="80"/>
    </row>
    <row r="404">
      <c r="C404" s="80"/>
    </row>
    <row r="405">
      <c r="C405" s="80"/>
    </row>
    <row r="406">
      <c r="C406" s="80"/>
    </row>
    <row r="407">
      <c r="C407" s="80"/>
    </row>
    <row r="408">
      <c r="C408" s="80"/>
    </row>
    <row r="409">
      <c r="C409" s="80"/>
    </row>
    <row r="410">
      <c r="C410" s="80"/>
    </row>
    <row r="411">
      <c r="C411" s="80"/>
    </row>
    <row r="412">
      <c r="C412" s="80"/>
    </row>
    <row r="413">
      <c r="C413" s="80"/>
    </row>
    <row r="414">
      <c r="C414" s="80"/>
    </row>
    <row r="415">
      <c r="C415" s="80"/>
    </row>
    <row r="416">
      <c r="C416" s="80"/>
    </row>
    <row r="417">
      <c r="C417" s="80"/>
    </row>
    <row r="418">
      <c r="C418" s="80"/>
    </row>
    <row r="419">
      <c r="C419" s="80"/>
    </row>
    <row r="420">
      <c r="C420" s="80"/>
    </row>
    <row r="421">
      <c r="C421" s="80"/>
    </row>
    <row r="422">
      <c r="C422" s="80"/>
    </row>
    <row r="423">
      <c r="C423" s="80"/>
    </row>
    <row r="424">
      <c r="C424" s="80"/>
    </row>
    <row r="425">
      <c r="C425" s="80"/>
    </row>
    <row r="426">
      <c r="C426" s="80"/>
    </row>
    <row r="427">
      <c r="C427" s="80"/>
    </row>
    <row r="428">
      <c r="C428" s="80"/>
    </row>
    <row r="429">
      <c r="C429" s="80"/>
    </row>
    <row r="430">
      <c r="C430" s="80"/>
    </row>
    <row r="431">
      <c r="C431" s="80"/>
    </row>
    <row r="432">
      <c r="C432" s="80"/>
    </row>
    <row r="433">
      <c r="C433" s="80"/>
    </row>
    <row r="434">
      <c r="C434" s="80"/>
    </row>
    <row r="435">
      <c r="C435" s="80"/>
    </row>
    <row r="436">
      <c r="C436" s="80"/>
    </row>
    <row r="437">
      <c r="C437" s="80"/>
    </row>
    <row r="438">
      <c r="C438" s="80"/>
    </row>
    <row r="439">
      <c r="C439" s="80"/>
    </row>
    <row r="440">
      <c r="C440" s="80"/>
    </row>
    <row r="441">
      <c r="C441" s="80"/>
    </row>
    <row r="442">
      <c r="C442" s="80"/>
    </row>
    <row r="443">
      <c r="C443" s="80"/>
    </row>
    <row r="444">
      <c r="C444" s="80"/>
    </row>
    <row r="445">
      <c r="C445" s="80"/>
    </row>
    <row r="446">
      <c r="C446" s="80"/>
    </row>
    <row r="447">
      <c r="C447" s="80"/>
    </row>
    <row r="448">
      <c r="C448" s="80"/>
    </row>
    <row r="449">
      <c r="C449" s="80"/>
    </row>
    <row r="450">
      <c r="C450" s="80"/>
    </row>
    <row r="451">
      <c r="C451" s="80"/>
    </row>
    <row r="452">
      <c r="C452" s="80"/>
    </row>
    <row r="453">
      <c r="C453" s="80"/>
    </row>
    <row r="454">
      <c r="C454" s="80"/>
    </row>
    <row r="455">
      <c r="C455" s="80"/>
    </row>
    <row r="456">
      <c r="C456" s="80"/>
    </row>
    <row r="457">
      <c r="C457" s="80"/>
    </row>
    <row r="458">
      <c r="C458" s="80"/>
    </row>
    <row r="459">
      <c r="C459" s="80"/>
    </row>
    <row r="460">
      <c r="C460" s="80"/>
    </row>
    <row r="461">
      <c r="C461" s="80"/>
    </row>
    <row r="462">
      <c r="C462" s="80"/>
    </row>
    <row r="463">
      <c r="C463" s="80"/>
    </row>
    <row r="464">
      <c r="C464" s="80"/>
    </row>
    <row r="465">
      <c r="C465" s="80"/>
    </row>
    <row r="466">
      <c r="C466" s="80"/>
    </row>
    <row r="467">
      <c r="C467" s="80"/>
    </row>
    <row r="468">
      <c r="C468" s="80"/>
    </row>
    <row r="469">
      <c r="C469" s="80"/>
    </row>
    <row r="470">
      <c r="C470" s="80"/>
    </row>
    <row r="471">
      <c r="C471" s="80"/>
    </row>
    <row r="472">
      <c r="C472" s="80"/>
    </row>
    <row r="473">
      <c r="C473" s="80"/>
    </row>
    <row r="474">
      <c r="C474" s="80"/>
    </row>
    <row r="475">
      <c r="C475" s="80"/>
    </row>
    <row r="476">
      <c r="C476" s="80"/>
    </row>
    <row r="477">
      <c r="C477" s="80"/>
    </row>
    <row r="478">
      <c r="C478" s="80"/>
    </row>
    <row r="479">
      <c r="C479" s="80"/>
    </row>
    <row r="480">
      <c r="C480" s="80"/>
    </row>
    <row r="481">
      <c r="C481" s="80"/>
    </row>
    <row r="482">
      <c r="C482" s="80"/>
    </row>
    <row r="483">
      <c r="C483" s="80"/>
    </row>
    <row r="484">
      <c r="C484" s="80"/>
    </row>
    <row r="485">
      <c r="C485" s="80"/>
    </row>
    <row r="486">
      <c r="C486" s="80"/>
    </row>
    <row r="487">
      <c r="C487" s="80"/>
    </row>
    <row r="488">
      <c r="C488" s="80"/>
    </row>
    <row r="489">
      <c r="C489" s="80"/>
    </row>
    <row r="490">
      <c r="C490" s="80"/>
    </row>
    <row r="491">
      <c r="C491" s="80"/>
    </row>
    <row r="492">
      <c r="C492" s="80"/>
    </row>
    <row r="493">
      <c r="C493" s="80"/>
    </row>
    <row r="494">
      <c r="C494" s="80"/>
    </row>
    <row r="495">
      <c r="C495" s="80"/>
    </row>
    <row r="496">
      <c r="C496" s="80"/>
    </row>
    <row r="497">
      <c r="C497" s="80"/>
    </row>
    <row r="498">
      <c r="C498" s="80"/>
    </row>
    <row r="499">
      <c r="C499" s="80"/>
    </row>
    <row r="500">
      <c r="C500" s="80"/>
    </row>
    <row r="501">
      <c r="C501" s="80"/>
    </row>
    <row r="502">
      <c r="C502" s="80"/>
    </row>
    <row r="503">
      <c r="C503" s="80"/>
    </row>
    <row r="504">
      <c r="C504" s="80"/>
    </row>
    <row r="505">
      <c r="C505" s="80"/>
    </row>
    <row r="506">
      <c r="C506" s="80"/>
    </row>
    <row r="507">
      <c r="C507" s="80"/>
    </row>
    <row r="508">
      <c r="C508" s="80"/>
    </row>
    <row r="509">
      <c r="C509" s="80"/>
    </row>
    <row r="510">
      <c r="C510" s="80"/>
    </row>
    <row r="511">
      <c r="C511" s="80"/>
    </row>
    <row r="512">
      <c r="C512" s="80"/>
    </row>
    <row r="513">
      <c r="C513" s="80"/>
    </row>
    <row r="514">
      <c r="C514" s="80"/>
    </row>
    <row r="515">
      <c r="C515" s="80"/>
    </row>
    <row r="516">
      <c r="C516" s="80"/>
    </row>
    <row r="517">
      <c r="C517" s="80"/>
    </row>
    <row r="518">
      <c r="C518" s="80"/>
    </row>
    <row r="519">
      <c r="C519" s="80"/>
    </row>
    <row r="520">
      <c r="C520" s="80"/>
    </row>
    <row r="521">
      <c r="C521" s="80"/>
    </row>
    <row r="522">
      <c r="C522" s="80"/>
    </row>
    <row r="523">
      <c r="C523" s="80"/>
    </row>
    <row r="524">
      <c r="C524" s="80"/>
    </row>
    <row r="525">
      <c r="C525" s="80"/>
    </row>
    <row r="526">
      <c r="C526" s="80"/>
    </row>
    <row r="527">
      <c r="C527" s="80"/>
    </row>
    <row r="528">
      <c r="C528" s="80"/>
    </row>
    <row r="529">
      <c r="C529" s="80"/>
    </row>
    <row r="530">
      <c r="C530" s="80"/>
    </row>
    <row r="531">
      <c r="C531" s="80"/>
    </row>
    <row r="532">
      <c r="C532" s="80"/>
    </row>
    <row r="533">
      <c r="C533" s="80"/>
    </row>
    <row r="534">
      <c r="C534" s="80"/>
    </row>
    <row r="535">
      <c r="C535" s="80"/>
    </row>
    <row r="536">
      <c r="C536" s="80"/>
    </row>
    <row r="537">
      <c r="C537" s="80"/>
    </row>
    <row r="538">
      <c r="C538" s="80"/>
    </row>
    <row r="539">
      <c r="C539" s="80"/>
    </row>
    <row r="540">
      <c r="C540" s="80"/>
    </row>
    <row r="541">
      <c r="C541" s="80"/>
    </row>
    <row r="542">
      <c r="C542" s="80"/>
    </row>
    <row r="543">
      <c r="C543" s="80"/>
    </row>
    <row r="544">
      <c r="C544" s="80"/>
    </row>
    <row r="545">
      <c r="C545" s="80"/>
    </row>
    <row r="546">
      <c r="C546" s="80"/>
    </row>
    <row r="547">
      <c r="C547" s="80"/>
    </row>
    <row r="548">
      <c r="C548" s="80"/>
    </row>
    <row r="549">
      <c r="C549" s="80"/>
    </row>
    <row r="550">
      <c r="C550" s="80"/>
    </row>
    <row r="551">
      <c r="C551" s="80"/>
    </row>
    <row r="552">
      <c r="C552" s="80"/>
    </row>
    <row r="553">
      <c r="C553" s="80"/>
    </row>
    <row r="554">
      <c r="C554" s="80"/>
    </row>
    <row r="555">
      <c r="C555" s="80"/>
    </row>
    <row r="556">
      <c r="C556" s="80"/>
    </row>
    <row r="557">
      <c r="C557" s="80"/>
    </row>
    <row r="558">
      <c r="C558" s="80"/>
    </row>
    <row r="559">
      <c r="C559" s="80"/>
    </row>
    <row r="560">
      <c r="C560" s="80"/>
    </row>
    <row r="561">
      <c r="C561" s="80"/>
    </row>
    <row r="562">
      <c r="C562" s="80"/>
    </row>
    <row r="563">
      <c r="C563" s="80"/>
    </row>
    <row r="564">
      <c r="C564" s="80"/>
    </row>
    <row r="565">
      <c r="C565" s="80"/>
    </row>
    <row r="566">
      <c r="C566" s="80"/>
    </row>
    <row r="567">
      <c r="C567" s="80"/>
    </row>
    <row r="568">
      <c r="C568" s="80"/>
    </row>
    <row r="569">
      <c r="C569" s="80"/>
    </row>
    <row r="570">
      <c r="C570" s="80"/>
    </row>
    <row r="571">
      <c r="C571" s="80"/>
    </row>
    <row r="572">
      <c r="C572" s="80"/>
    </row>
    <row r="573">
      <c r="C573" s="80"/>
    </row>
    <row r="574">
      <c r="C574" s="80"/>
    </row>
    <row r="575">
      <c r="C575" s="80"/>
    </row>
    <row r="576">
      <c r="C576" s="80"/>
    </row>
    <row r="577">
      <c r="C577" s="80"/>
    </row>
    <row r="578">
      <c r="C578" s="80"/>
    </row>
    <row r="579">
      <c r="C579" s="80"/>
    </row>
    <row r="580">
      <c r="C580" s="80"/>
    </row>
    <row r="581">
      <c r="C581" s="80"/>
    </row>
    <row r="582">
      <c r="C582" s="80"/>
    </row>
    <row r="583">
      <c r="C583" s="80"/>
    </row>
    <row r="584">
      <c r="C584" s="80"/>
    </row>
    <row r="585">
      <c r="C585" s="80"/>
    </row>
    <row r="586">
      <c r="C586" s="80"/>
    </row>
    <row r="587">
      <c r="C587" s="80"/>
    </row>
    <row r="588">
      <c r="C588" s="80"/>
    </row>
    <row r="589">
      <c r="C589" s="80"/>
    </row>
    <row r="590">
      <c r="C590" s="80"/>
    </row>
    <row r="591">
      <c r="C591" s="80"/>
    </row>
    <row r="592">
      <c r="C592" s="80"/>
    </row>
    <row r="593">
      <c r="C593" s="80"/>
    </row>
    <row r="594">
      <c r="C594" s="80"/>
    </row>
    <row r="595">
      <c r="C595" s="80"/>
    </row>
    <row r="596">
      <c r="C596" s="80"/>
    </row>
    <row r="597">
      <c r="C597" s="80"/>
    </row>
    <row r="598">
      <c r="C598" s="80"/>
    </row>
    <row r="599">
      <c r="C599" s="80"/>
    </row>
    <row r="600">
      <c r="C600" s="80"/>
    </row>
    <row r="601">
      <c r="C601" s="80"/>
    </row>
    <row r="602">
      <c r="C602" s="80"/>
    </row>
    <row r="603">
      <c r="C603" s="80"/>
    </row>
    <row r="604">
      <c r="C604" s="80"/>
    </row>
    <row r="605">
      <c r="C605" s="80"/>
    </row>
    <row r="606">
      <c r="C606" s="80"/>
    </row>
    <row r="607">
      <c r="C607" s="80"/>
    </row>
    <row r="608">
      <c r="C608" s="80"/>
    </row>
    <row r="609">
      <c r="C609" s="80"/>
    </row>
    <row r="610">
      <c r="C610" s="80"/>
    </row>
    <row r="611">
      <c r="C611" s="80"/>
    </row>
    <row r="612">
      <c r="C612" s="80"/>
    </row>
    <row r="613">
      <c r="C613" s="80"/>
    </row>
    <row r="614">
      <c r="C614" s="80"/>
    </row>
    <row r="615">
      <c r="C615" s="80"/>
    </row>
    <row r="616">
      <c r="C616" s="80"/>
    </row>
    <row r="617">
      <c r="C617" s="80"/>
    </row>
    <row r="618">
      <c r="C618" s="80"/>
    </row>
    <row r="619">
      <c r="C619" s="80"/>
    </row>
    <row r="620">
      <c r="C620" s="80"/>
    </row>
    <row r="621">
      <c r="C621" s="80"/>
    </row>
    <row r="622">
      <c r="C622" s="80"/>
    </row>
    <row r="623">
      <c r="C623" s="80"/>
    </row>
    <row r="624">
      <c r="C624" s="80"/>
    </row>
    <row r="625">
      <c r="C625" s="80"/>
    </row>
    <row r="626">
      <c r="C626" s="80"/>
    </row>
    <row r="627">
      <c r="C627" s="80"/>
    </row>
    <row r="628">
      <c r="C628" s="80"/>
    </row>
    <row r="629">
      <c r="C629" s="80"/>
    </row>
    <row r="630">
      <c r="C630" s="80"/>
    </row>
    <row r="631">
      <c r="C631" s="80"/>
    </row>
    <row r="632">
      <c r="C632" s="80"/>
    </row>
    <row r="633">
      <c r="C633" s="80"/>
    </row>
    <row r="634">
      <c r="C634" s="80"/>
    </row>
    <row r="635">
      <c r="C635" s="80"/>
    </row>
    <row r="636">
      <c r="C636" s="80"/>
    </row>
    <row r="637">
      <c r="C637" s="80"/>
    </row>
    <row r="638">
      <c r="C638" s="80"/>
    </row>
    <row r="639">
      <c r="C639" s="80"/>
    </row>
    <row r="640">
      <c r="C640" s="80"/>
    </row>
    <row r="641">
      <c r="C641" s="80"/>
    </row>
    <row r="642">
      <c r="C642" s="80"/>
    </row>
    <row r="643">
      <c r="C643" s="80"/>
    </row>
    <row r="644">
      <c r="C644" s="80"/>
    </row>
    <row r="645">
      <c r="C645" s="80"/>
    </row>
    <row r="646">
      <c r="C646" s="80"/>
    </row>
    <row r="647">
      <c r="C647" s="80"/>
    </row>
    <row r="648">
      <c r="C648" s="80"/>
    </row>
    <row r="649">
      <c r="C649" s="80"/>
    </row>
    <row r="650">
      <c r="C650" s="80"/>
    </row>
    <row r="651">
      <c r="C651" s="80"/>
    </row>
    <row r="652">
      <c r="C652" s="80"/>
    </row>
    <row r="653">
      <c r="C653" s="80"/>
    </row>
    <row r="654">
      <c r="C654" s="80"/>
    </row>
    <row r="655">
      <c r="C655" s="80"/>
    </row>
    <row r="656">
      <c r="C656" s="80"/>
    </row>
    <row r="657">
      <c r="C657" s="80"/>
    </row>
    <row r="658">
      <c r="C658" s="80"/>
    </row>
    <row r="659">
      <c r="C659" s="80"/>
    </row>
    <row r="660">
      <c r="C660" s="80"/>
    </row>
    <row r="661">
      <c r="C661" s="80"/>
    </row>
    <row r="662">
      <c r="C662" s="80"/>
    </row>
    <row r="663">
      <c r="C663" s="80"/>
    </row>
    <row r="664">
      <c r="C664" s="80"/>
    </row>
    <row r="665">
      <c r="C665" s="80"/>
    </row>
    <row r="666">
      <c r="C666" s="80"/>
    </row>
    <row r="667">
      <c r="C667" s="80"/>
    </row>
    <row r="668">
      <c r="C668" s="80"/>
    </row>
    <row r="669">
      <c r="C669" s="80"/>
    </row>
    <row r="670">
      <c r="C670" s="80"/>
    </row>
    <row r="671">
      <c r="C671" s="80"/>
    </row>
    <row r="672">
      <c r="C672" s="80"/>
    </row>
    <row r="673">
      <c r="C673" s="80"/>
    </row>
    <row r="674">
      <c r="C674" s="80"/>
    </row>
    <row r="675">
      <c r="C675" s="80"/>
    </row>
    <row r="676">
      <c r="C676" s="80"/>
    </row>
    <row r="677">
      <c r="C677" s="80"/>
    </row>
    <row r="678">
      <c r="C678" s="80"/>
    </row>
    <row r="679">
      <c r="C679" s="80"/>
    </row>
    <row r="680">
      <c r="C680" s="80"/>
    </row>
    <row r="681">
      <c r="C681" s="80"/>
    </row>
    <row r="682">
      <c r="C682" s="80"/>
    </row>
    <row r="683">
      <c r="C683" s="80"/>
    </row>
    <row r="684">
      <c r="C684" s="80"/>
    </row>
    <row r="685">
      <c r="C685" s="80"/>
    </row>
    <row r="686">
      <c r="C686" s="80"/>
    </row>
    <row r="687">
      <c r="C687" s="80"/>
    </row>
    <row r="688">
      <c r="C688" s="80"/>
    </row>
    <row r="689">
      <c r="C689" s="80"/>
    </row>
    <row r="690">
      <c r="C690" s="80"/>
    </row>
    <row r="691">
      <c r="C691" s="80"/>
    </row>
    <row r="692">
      <c r="C692" s="80"/>
    </row>
    <row r="693">
      <c r="C693" s="80"/>
    </row>
    <row r="694">
      <c r="C694" s="80"/>
    </row>
    <row r="695">
      <c r="C695" s="80"/>
    </row>
    <row r="696">
      <c r="C696" s="80"/>
    </row>
    <row r="697">
      <c r="C697" s="80"/>
    </row>
    <row r="698">
      <c r="C698" s="80"/>
    </row>
    <row r="699">
      <c r="C699" s="80"/>
    </row>
    <row r="700">
      <c r="C700" s="80"/>
    </row>
    <row r="701">
      <c r="C701" s="80"/>
    </row>
    <row r="702">
      <c r="C702" s="80"/>
    </row>
    <row r="703">
      <c r="C703" s="80"/>
    </row>
    <row r="704">
      <c r="C704" s="80"/>
    </row>
    <row r="705">
      <c r="C705" s="80"/>
    </row>
    <row r="706">
      <c r="C706" s="80"/>
    </row>
    <row r="707">
      <c r="C707" s="80"/>
    </row>
    <row r="708">
      <c r="C708" s="80"/>
    </row>
    <row r="709">
      <c r="C709" s="80"/>
    </row>
    <row r="710">
      <c r="C710" s="80"/>
    </row>
    <row r="711">
      <c r="C711" s="80"/>
    </row>
    <row r="712">
      <c r="C712" s="80"/>
    </row>
    <row r="713">
      <c r="C713" s="80"/>
    </row>
    <row r="714">
      <c r="C714" s="80"/>
    </row>
    <row r="715">
      <c r="C715" s="80"/>
    </row>
    <row r="716">
      <c r="C716" s="80"/>
    </row>
    <row r="717">
      <c r="C717" s="80"/>
    </row>
    <row r="718">
      <c r="C718" s="80"/>
    </row>
    <row r="719">
      <c r="C719" s="80"/>
    </row>
    <row r="720">
      <c r="C720" s="80"/>
    </row>
    <row r="721">
      <c r="C721" s="80"/>
    </row>
    <row r="722">
      <c r="C722" s="80"/>
    </row>
    <row r="723">
      <c r="C723" s="80"/>
    </row>
    <row r="724">
      <c r="C724" s="80"/>
    </row>
    <row r="725">
      <c r="C725" s="80"/>
    </row>
    <row r="726">
      <c r="C726" s="80"/>
    </row>
    <row r="727">
      <c r="C727" s="80"/>
    </row>
    <row r="728">
      <c r="C728" s="80"/>
    </row>
    <row r="729">
      <c r="C729" s="80"/>
    </row>
    <row r="730">
      <c r="C730" s="80"/>
    </row>
    <row r="731">
      <c r="C731" s="80"/>
    </row>
    <row r="732">
      <c r="C732" s="80"/>
    </row>
    <row r="733">
      <c r="C733" s="80"/>
    </row>
    <row r="734">
      <c r="C734" s="80"/>
    </row>
    <row r="735">
      <c r="C735" s="80"/>
    </row>
    <row r="736">
      <c r="C736" s="80"/>
    </row>
    <row r="737">
      <c r="C737" s="80"/>
    </row>
    <row r="738">
      <c r="C738" s="80"/>
    </row>
    <row r="739">
      <c r="C739" s="80"/>
    </row>
    <row r="740">
      <c r="C740" s="80"/>
    </row>
    <row r="741">
      <c r="C741" s="80"/>
    </row>
    <row r="742">
      <c r="C742" s="80"/>
    </row>
    <row r="743">
      <c r="C743" s="80"/>
    </row>
    <row r="744">
      <c r="C744" s="80"/>
    </row>
    <row r="745">
      <c r="C745" s="80"/>
    </row>
    <row r="746">
      <c r="C746" s="80"/>
    </row>
    <row r="747">
      <c r="C747" s="80"/>
    </row>
    <row r="748">
      <c r="C748" s="80"/>
    </row>
    <row r="749">
      <c r="C749" s="80"/>
    </row>
    <row r="750">
      <c r="C750" s="80"/>
    </row>
    <row r="751">
      <c r="C751" s="80"/>
    </row>
    <row r="752">
      <c r="C752" s="80"/>
    </row>
    <row r="753">
      <c r="C753" s="80"/>
    </row>
    <row r="754">
      <c r="C754" s="80"/>
    </row>
    <row r="755">
      <c r="C755" s="80"/>
    </row>
    <row r="756">
      <c r="C756" s="80"/>
    </row>
    <row r="757">
      <c r="C757" s="80"/>
    </row>
    <row r="758">
      <c r="C758" s="80"/>
    </row>
    <row r="759">
      <c r="C759" s="80"/>
    </row>
    <row r="760">
      <c r="C760" s="80"/>
    </row>
    <row r="761">
      <c r="C761" s="80"/>
    </row>
    <row r="762">
      <c r="C762" s="80"/>
    </row>
    <row r="763">
      <c r="C763" s="80"/>
    </row>
    <row r="764">
      <c r="C764" s="80"/>
    </row>
    <row r="765">
      <c r="C765" s="80"/>
    </row>
    <row r="766">
      <c r="C766" s="80"/>
    </row>
    <row r="767">
      <c r="C767" s="80"/>
    </row>
    <row r="768">
      <c r="C768" s="80"/>
    </row>
    <row r="769">
      <c r="C769" s="80"/>
    </row>
    <row r="770">
      <c r="C770" s="80"/>
    </row>
    <row r="771">
      <c r="C771" s="80"/>
    </row>
    <row r="772">
      <c r="C772" s="80"/>
    </row>
    <row r="773">
      <c r="C773" s="80"/>
    </row>
    <row r="774">
      <c r="C774" s="80"/>
    </row>
    <row r="775">
      <c r="C775" s="80"/>
    </row>
    <row r="776">
      <c r="C776" s="80"/>
    </row>
    <row r="777">
      <c r="C777" s="80"/>
    </row>
    <row r="778">
      <c r="C778" s="80"/>
    </row>
    <row r="779">
      <c r="C779" s="80"/>
    </row>
    <row r="780">
      <c r="C780" s="80"/>
    </row>
    <row r="781">
      <c r="C781" s="80"/>
    </row>
    <row r="782">
      <c r="C782" s="80"/>
    </row>
    <row r="783">
      <c r="C783" s="80"/>
    </row>
    <row r="784">
      <c r="C784" s="80"/>
    </row>
    <row r="785">
      <c r="C785" s="80"/>
    </row>
    <row r="786">
      <c r="C786" s="80"/>
    </row>
    <row r="787">
      <c r="C787" s="80"/>
    </row>
    <row r="788">
      <c r="C788" s="80"/>
    </row>
    <row r="789">
      <c r="C789" s="80"/>
    </row>
    <row r="790">
      <c r="C790" s="80"/>
    </row>
    <row r="791">
      <c r="C791" s="80"/>
    </row>
    <row r="792">
      <c r="C792" s="80"/>
    </row>
    <row r="793">
      <c r="C793" s="80"/>
    </row>
    <row r="794">
      <c r="C794" s="80"/>
    </row>
    <row r="795">
      <c r="C795" s="80"/>
    </row>
    <row r="796">
      <c r="C796" s="80"/>
    </row>
    <row r="797">
      <c r="C797" s="80"/>
    </row>
    <row r="798">
      <c r="C798" s="80"/>
    </row>
    <row r="799">
      <c r="C799" s="80"/>
    </row>
    <row r="800">
      <c r="C800" s="80"/>
    </row>
    <row r="801">
      <c r="C801" s="80"/>
    </row>
    <row r="802">
      <c r="C802" s="80"/>
    </row>
    <row r="803">
      <c r="C803" s="80"/>
    </row>
    <row r="804">
      <c r="C804" s="80"/>
    </row>
    <row r="805">
      <c r="C805" s="80"/>
    </row>
    <row r="806">
      <c r="C806" s="80"/>
    </row>
    <row r="807">
      <c r="C807" s="80"/>
    </row>
    <row r="808">
      <c r="C808" s="80"/>
    </row>
    <row r="809">
      <c r="C809" s="80"/>
    </row>
    <row r="810">
      <c r="C810" s="80"/>
    </row>
    <row r="811">
      <c r="C811" s="80"/>
    </row>
    <row r="812">
      <c r="C812" s="80"/>
    </row>
    <row r="813">
      <c r="C813" s="80"/>
    </row>
    <row r="814">
      <c r="C814" s="80"/>
    </row>
    <row r="815">
      <c r="C815" s="80"/>
    </row>
    <row r="816">
      <c r="C816" s="80"/>
    </row>
    <row r="817">
      <c r="C817" s="80"/>
    </row>
    <row r="818">
      <c r="C818" s="80"/>
    </row>
    <row r="819">
      <c r="C819" s="80"/>
    </row>
    <row r="820">
      <c r="C820" s="80"/>
    </row>
    <row r="821">
      <c r="C821" s="80"/>
    </row>
    <row r="822">
      <c r="C822" s="80"/>
    </row>
    <row r="823">
      <c r="C823" s="80"/>
    </row>
    <row r="824">
      <c r="C824" s="80"/>
    </row>
    <row r="825">
      <c r="C825" s="80"/>
    </row>
    <row r="826">
      <c r="C826" s="80"/>
    </row>
    <row r="827">
      <c r="C827" s="80"/>
    </row>
    <row r="828">
      <c r="C828" s="80"/>
    </row>
    <row r="829">
      <c r="C829" s="80"/>
    </row>
    <row r="830">
      <c r="C830" s="80"/>
    </row>
    <row r="831">
      <c r="C831" s="80"/>
    </row>
    <row r="832">
      <c r="C832" s="80"/>
    </row>
    <row r="833">
      <c r="C833" s="80"/>
    </row>
    <row r="834">
      <c r="C834" s="80"/>
    </row>
    <row r="835">
      <c r="C835" s="80"/>
    </row>
    <row r="836">
      <c r="C836" s="80"/>
    </row>
    <row r="837">
      <c r="C837" s="80"/>
    </row>
    <row r="838">
      <c r="C838" s="80"/>
    </row>
    <row r="839">
      <c r="C839" s="80"/>
    </row>
    <row r="840">
      <c r="C840" s="80"/>
    </row>
    <row r="841">
      <c r="C841" s="80"/>
    </row>
    <row r="842">
      <c r="C842" s="80"/>
    </row>
    <row r="843">
      <c r="C843" s="80"/>
    </row>
    <row r="844">
      <c r="C844" s="80"/>
    </row>
    <row r="845">
      <c r="C845" s="80"/>
    </row>
    <row r="846">
      <c r="C846" s="80"/>
    </row>
    <row r="847">
      <c r="C847" s="80"/>
    </row>
    <row r="848">
      <c r="C848" s="80"/>
    </row>
    <row r="849">
      <c r="C849" s="80"/>
    </row>
    <row r="850">
      <c r="C850" s="80"/>
    </row>
    <row r="851">
      <c r="C851" s="80"/>
    </row>
    <row r="852">
      <c r="C852" s="80"/>
    </row>
    <row r="853">
      <c r="C853" s="80"/>
    </row>
    <row r="854">
      <c r="C854" s="80"/>
    </row>
    <row r="855">
      <c r="C855" s="80"/>
    </row>
    <row r="856">
      <c r="C856" s="80"/>
    </row>
    <row r="857">
      <c r="C857" s="80"/>
    </row>
    <row r="858">
      <c r="C858" s="80"/>
    </row>
    <row r="859">
      <c r="C859" s="80"/>
    </row>
    <row r="860">
      <c r="C860" s="80"/>
    </row>
    <row r="861">
      <c r="C861" s="80"/>
    </row>
    <row r="862">
      <c r="C862" s="80"/>
    </row>
    <row r="863">
      <c r="C863" s="80"/>
    </row>
    <row r="864">
      <c r="C864" s="80"/>
    </row>
    <row r="865">
      <c r="C865" s="80"/>
    </row>
    <row r="866">
      <c r="C866" s="80"/>
    </row>
    <row r="867">
      <c r="C867" s="80"/>
    </row>
    <row r="868">
      <c r="C868" s="80"/>
    </row>
    <row r="869">
      <c r="C869" s="80"/>
    </row>
    <row r="870">
      <c r="C870" s="80"/>
    </row>
    <row r="871">
      <c r="C871" s="80"/>
    </row>
    <row r="872">
      <c r="C872" s="80"/>
    </row>
    <row r="873">
      <c r="C873" s="80"/>
    </row>
    <row r="874">
      <c r="C874" s="80"/>
    </row>
    <row r="875">
      <c r="C875" s="80"/>
    </row>
    <row r="876">
      <c r="C876" s="80"/>
    </row>
    <row r="877">
      <c r="C877" s="80"/>
    </row>
    <row r="878">
      <c r="C878" s="80"/>
    </row>
    <row r="879">
      <c r="C879" s="80"/>
    </row>
    <row r="880">
      <c r="C880" s="80"/>
    </row>
    <row r="881">
      <c r="C881" s="80"/>
    </row>
    <row r="882">
      <c r="C882" s="80"/>
    </row>
    <row r="883">
      <c r="C883" s="80"/>
    </row>
    <row r="884">
      <c r="C884" s="80"/>
    </row>
    <row r="885">
      <c r="C885" s="80"/>
    </row>
    <row r="886">
      <c r="C886" s="80"/>
    </row>
    <row r="887">
      <c r="C887" s="80"/>
    </row>
    <row r="888">
      <c r="C888" s="80"/>
    </row>
    <row r="889">
      <c r="C889" s="80"/>
    </row>
    <row r="890">
      <c r="C890" s="80"/>
    </row>
    <row r="891">
      <c r="C891" s="80"/>
    </row>
    <row r="892">
      <c r="C892" s="80"/>
    </row>
    <row r="893">
      <c r="C893" s="80"/>
    </row>
    <row r="894">
      <c r="C894" s="80"/>
    </row>
    <row r="895">
      <c r="C895" s="80"/>
    </row>
    <row r="896">
      <c r="C896" s="80"/>
    </row>
    <row r="897">
      <c r="C897" s="80"/>
    </row>
    <row r="898">
      <c r="C898" s="80"/>
    </row>
    <row r="899">
      <c r="C899" s="80"/>
    </row>
    <row r="900">
      <c r="C900" s="80"/>
    </row>
    <row r="901">
      <c r="C901" s="80"/>
    </row>
    <row r="902">
      <c r="C902" s="80"/>
    </row>
    <row r="903">
      <c r="C903" s="80"/>
    </row>
    <row r="904">
      <c r="C904" s="80"/>
    </row>
    <row r="905">
      <c r="C905" s="80"/>
    </row>
    <row r="906">
      <c r="C906" s="80"/>
    </row>
    <row r="907">
      <c r="C907" s="80"/>
    </row>
    <row r="908">
      <c r="C908" s="80"/>
    </row>
    <row r="909">
      <c r="C909" s="80"/>
    </row>
    <row r="910">
      <c r="C910" s="80"/>
    </row>
    <row r="911">
      <c r="C911" s="80"/>
    </row>
    <row r="912">
      <c r="C912" s="80"/>
    </row>
    <row r="913">
      <c r="C913" s="80"/>
    </row>
    <row r="914">
      <c r="C914" s="80"/>
    </row>
    <row r="915">
      <c r="C915" s="80"/>
    </row>
    <row r="916">
      <c r="C916" s="80"/>
    </row>
    <row r="917">
      <c r="C917" s="80"/>
    </row>
    <row r="918">
      <c r="C918" s="80"/>
    </row>
    <row r="919">
      <c r="C919" s="80"/>
    </row>
    <row r="920">
      <c r="C920" s="80"/>
    </row>
    <row r="921">
      <c r="C921" s="80"/>
    </row>
    <row r="922">
      <c r="C922" s="80"/>
    </row>
    <row r="923">
      <c r="C923" s="80"/>
    </row>
    <row r="924">
      <c r="C924" s="80"/>
    </row>
    <row r="925">
      <c r="C925" s="80"/>
    </row>
    <row r="926">
      <c r="C926" s="80"/>
    </row>
    <row r="927">
      <c r="C927" s="80"/>
    </row>
    <row r="928">
      <c r="C928" s="80"/>
    </row>
    <row r="929">
      <c r="C929" s="80"/>
    </row>
    <row r="930">
      <c r="C930" s="80"/>
    </row>
    <row r="931">
      <c r="C931" s="80"/>
    </row>
    <row r="932">
      <c r="C932" s="80"/>
    </row>
    <row r="933">
      <c r="C933" s="80"/>
    </row>
    <row r="934">
      <c r="C934" s="80"/>
    </row>
    <row r="935">
      <c r="C935" s="80"/>
    </row>
    <row r="936">
      <c r="C936" s="80"/>
    </row>
    <row r="937">
      <c r="C937" s="80"/>
    </row>
    <row r="938">
      <c r="C938" s="80"/>
    </row>
    <row r="939">
      <c r="C939" s="80"/>
    </row>
    <row r="940">
      <c r="C940" s="80"/>
    </row>
    <row r="941">
      <c r="C941" s="80"/>
    </row>
    <row r="942">
      <c r="C942" s="80"/>
    </row>
    <row r="943">
      <c r="C943" s="80"/>
    </row>
    <row r="944">
      <c r="C944" s="80"/>
    </row>
    <row r="945">
      <c r="C945" s="80"/>
    </row>
    <row r="946">
      <c r="C946" s="80"/>
    </row>
    <row r="947">
      <c r="C947" s="80"/>
    </row>
    <row r="948">
      <c r="C948" s="80"/>
    </row>
    <row r="949">
      <c r="C949" s="80"/>
    </row>
    <row r="950">
      <c r="C950" s="80"/>
    </row>
    <row r="951">
      <c r="C951" s="80"/>
    </row>
    <row r="952">
      <c r="C952" s="80"/>
    </row>
    <row r="953">
      <c r="C953" s="80"/>
    </row>
    <row r="954">
      <c r="C954" s="80"/>
    </row>
    <row r="955">
      <c r="C955" s="80"/>
    </row>
    <row r="956">
      <c r="C956" s="80"/>
    </row>
    <row r="957">
      <c r="C957" s="80"/>
    </row>
    <row r="958">
      <c r="C958" s="80"/>
    </row>
    <row r="959">
      <c r="C959" s="80"/>
    </row>
    <row r="960">
      <c r="C960" s="80"/>
    </row>
    <row r="961">
      <c r="C961" s="80"/>
    </row>
    <row r="962">
      <c r="C962" s="80"/>
    </row>
    <row r="963">
      <c r="C963" s="80"/>
    </row>
    <row r="964">
      <c r="C964" s="80"/>
    </row>
    <row r="965">
      <c r="C965" s="80"/>
    </row>
    <row r="966">
      <c r="C966" s="80"/>
    </row>
    <row r="967">
      <c r="C967" s="80"/>
    </row>
    <row r="968">
      <c r="C968" s="80"/>
    </row>
    <row r="969">
      <c r="C969" s="80"/>
    </row>
    <row r="970">
      <c r="C970" s="80"/>
    </row>
    <row r="971">
      <c r="C971" s="80"/>
    </row>
    <row r="972">
      <c r="C972" s="80"/>
    </row>
    <row r="973">
      <c r="C973" s="80"/>
    </row>
    <row r="974">
      <c r="C974" s="80"/>
    </row>
    <row r="975">
      <c r="C975" s="80"/>
    </row>
    <row r="976">
      <c r="C976" s="80"/>
    </row>
    <row r="977">
      <c r="C977" s="80"/>
    </row>
    <row r="978">
      <c r="C978" s="80"/>
    </row>
    <row r="979">
      <c r="C979" s="80"/>
    </row>
    <row r="980">
      <c r="C980" s="80"/>
    </row>
    <row r="981">
      <c r="C981" s="80"/>
    </row>
    <row r="982">
      <c r="C982" s="80"/>
    </row>
    <row r="983">
      <c r="C983" s="80"/>
    </row>
    <row r="984">
      <c r="C984" s="80"/>
    </row>
    <row r="985">
      <c r="C985" s="80"/>
    </row>
    <row r="986">
      <c r="C986" s="80"/>
    </row>
    <row r="987">
      <c r="C987" s="80"/>
    </row>
    <row r="988">
      <c r="C988" s="80"/>
    </row>
    <row r="989">
      <c r="C989" s="80"/>
    </row>
    <row r="990">
      <c r="C990" s="80"/>
    </row>
    <row r="991">
      <c r="C991" s="80"/>
    </row>
    <row r="992">
      <c r="C992" s="80"/>
    </row>
    <row r="993">
      <c r="C993" s="80"/>
    </row>
    <row r="994">
      <c r="C994" s="80"/>
    </row>
    <row r="995">
      <c r="C995" s="80"/>
    </row>
    <row r="996">
      <c r="C996" s="80"/>
    </row>
    <row r="997">
      <c r="C997" s="80"/>
    </row>
    <row r="998">
      <c r="C998" s="80"/>
    </row>
    <row r="999">
      <c r="C999" s="80"/>
    </row>
    <row r="1000">
      <c r="C1000" s="8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6.5"/>
    <col customWidth="1" min="7" max="7" width="14.38"/>
    <col customWidth="1" min="9" max="9" width="14.25"/>
    <col customWidth="1" min="10" max="10" width="14.0"/>
  </cols>
  <sheetData>
    <row r="1">
      <c r="A1" s="246" t="s">
        <v>199</v>
      </c>
      <c r="H1" s="536" t="s">
        <v>200</v>
      </c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  <c r="AA1" s="524"/>
      <c r="AB1" s="524"/>
      <c r="AC1" s="524"/>
    </row>
    <row r="2">
      <c r="A2" s="130" t="s">
        <v>2</v>
      </c>
      <c r="B2" s="130" t="s">
        <v>660</v>
      </c>
      <c r="C2" s="130" t="s">
        <v>711</v>
      </c>
      <c r="D2" s="130" t="s">
        <v>712</v>
      </c>
      <c r="E2" s="130" t="s">
        <v>87</v>
      </c>
      <c r="F2" s="130" t="s">
        <v>88</v>
      </c>
      <c r="G2" s="130" t="s">
        <v>662</v>
      </c>
      <c r="H2" s="130" t="s">
        <v>2</v>
      </c>
      <c r="I2" s="130" t="s">
        <v>713</v>
      </c>
      <c r="J2" s="130" t="s">
        <v>711</v>
      </c>
      <c r="K2" s="130" t="s">
        <v>712</v>
      </c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</row>
    <row r="3">
      <c r="A3" s="36">
        <v>1.0</v>
      </c>
      <c r="B3" s="36" t="s">
        <v>113</v>
      </c>
      <c r="C3" s="36" t="s">
        <v>86</v>
      </c>
      <c r="D3" s="36">
        <v>5.0</v>
      </c>
      <c r="E3" s="36" t="s">
        <v>40</v>
      </c>
      <c r="F3" s="36" t="s">
        <v>41</v>
      </c>
      <c r="G3" s="423" t="s">
        <v>714</v>
      </c>
      <c r="H3" s="71" t="s">
        <v>138</v>
      </c>
      <c r="I3" s="328" t="s">
        <v>201</v>
      </c>
      <c r="J3" s="36" t="s">
        <v>86</v>
      </c>
      <c r="K3" s="36">
        <v>5.0</v>
      </c>
    </row>
    <row r="4">
      <c r="A4" s="36">
        <v>2.0</v>
      </c>
      <c r="B4" s="36" t="s">
        <v>113</v>
      </c>
      <c r="C4" s="36" t="s">
        <v>86</v>
      </c>
      <c r="D4" s="36">
        <v>3.0</v>
      </c>
      <c r="E4" s="36" t="s">
        <v>37</v>
      </c>
      <c r="F4" s="36" t="s">
        <v>36</v>
      </c>
      <c r="G4" s="423" t="s">
        <v>715</v>
      </c>
      <c r="H4" s="71" t="s">
        <v>121</v>
      </c>
      <c r="I4" s="328" t="s">
        <v>201</v>
      </c>
      <c r="J4" s="36" t="s">
        <v>86</v>
      </c>
      <c r="K4" s="36">
        <v>3.0</v>
      </c>
    </row>
    <row r="5">
      <c r="A5" s="36">
        <v>4.0</v>
      </c>
      <c r="B5" s="36" t="s">
        <v>113</v>
      </c>
      <c r="C5" s="36" t="s">
        <v>86</v>
      </c>
      <c r="D5" s="36">
        <v>6.0</v>
      </c>
      <c r="E5" s="36" t="s">
        <v>41</v>
      </c>
      <c r="F5" s="36" t="s">
        <v>40</v>
      </c>
      <c r="G5" s="423" t="s">
        <v>714</v>
      </c>
      <c r="H5" s="71" t="s">
        <v>122</v>
      </c>
      <c r="I5" s="328" t="s">
        <v>201</v>
      </c>
      <c r="J5" s="36" t="s">
        <v>86</v>
      </c>
      <c r="K5" s="36">
        <v>6.0</v>
      </c>
    </row>
    <row r="6">
      <c r="A6" s="36">
        <v>5.0</v>
      </c>
      <c r="B6" s="36" t="s">
        <v>113</v>
      </c>
      <c r="C6" s="36" t="s">
        <v>86</v>
      </c>
      <c r="D6" s="36">
        <v>5.0</v>
      </c>
      <c r="E6" s="36" t="s">
        <v>40</v>
      </c>
      <c r="F6" s="36" t="s">
        <v>41</v>
      </c>
      <c r="G6" s="423" t="s">
        <v>714</v>
      </c>
      <c r="H6" s="71" t="s">
        <v>124</v>
      </c>
      <c r="I6" s="328" t="s">
        <v>201</v>
      </c>
      <c r="J6" s="36" t="s">
        <v>86</v>
      </c>
      <c r="K6" s="36">
        <v>5.0</v>
      </c>
    </row>
    <row r="7">
      <c r="A7" s="36">
        <v>6.0</v>
      </c>
      <c r="B7" s="36" t="s">
        <v>113</v>
      </c>
      <c r="C7" s="36" t="s">
        <v>86</v>
      </c>
      <c r="D7" s="36">
        <v>5.0</v>
      </c>
      <c r="E7" s="36" t="s">
        <v>37</v>
      </c>
      <c r="F7" s="36" t="s">
        <v>36</v>
      </c>
      <c r="G7" s="423" t="s">
        <v>715</v>
      </c>
      <c r="H7" s="71" t="s">
        <v>123</v>
      </c>
      <c r="I7" s="328" t="s">
        <v>201</v>
      </c>
      <c r="J7" s="36" t="s">
        <v>86</v>
      </c>
      <c r="K7" s="36">
        <v>5.0</v>
      </c>
    </row>
    <row r="8">
      <c r="A8" s="36">
        <v>7.0</v>
      </c>
      <c r="B8" s="36" t="s">
        <v>113</v>
      </c>
      <c r="C8" s="36" t="s">
        <v>86</v>
      </c>
      <c r="D8" s="36">
        <v>3.0</v>
      </c>
      <c r="E8" s="36" t="s">
        <v>36</v>
      </c>
      <c r="F8" s="36" t="s">
        <v>37</v>
      </c>
      <c r="G8" s="423" t="s">
        <v>715</v>
      </c>
      <c r="H8" s="71" t="s">
        <v>125</v>
      </c>
      <c r="I8" s="328" t="s">
        <v>201</v>
      </c>
      <c r="J8" s="36" t="s">
        <v>86</v>
      </c>
      <c r="K8" s="36">
        <v>3.0</v>
      </c>
    </row>
    <row r="9">
      <c r="A9" s="36">
        <v>8.0</v>
      </c>
      <c r="B9" s="36" t="s">
        <v>113</v>
      </c>
      <c r="C9" s="36" t="s">
        <v>86</v>
      </c>
      <c r="D9" s="36">
        <v>7.0</v>
      </c>
      <c r="E9" s="36" t="s">
        <v>41</v>
      </c>
      <c r="F9" s="36" t="s">
        <v>40</v>
      </c>
      <c r="G9" s="423" t="s">
        <v>714</v>
      </c>
      <c r="H9" s="71" t="s">
        <v>126</v>
      </c>
      <c r="I9" s="328" t="s">
        <v>201</v>
      </c>
      <c r="J9" s="36" t="s">
        <v>86</v>
      </c>
      <c r="K9" s="36">
        <v>7.0</v>
      </c>
    </row>
    <row r="10">
      <c r="A10" s="36">
        <v>9.0</v>
      </c>
      <c r="B10" s="36" t="s">
        <v>113</v>
      </c>
      <c r="C10" s="36" t="s">
        <v>86</v>
      </c>
      <c r="D10" s="36">
        <v>6.0</v>
      </c>
      <c r="E10" s="36" t="s">
        <v>40</v>
      </c>
      <c r="F10" s="36" t="s">
        <v>41</v>
      </c>
      <c r="G10" s="423" t="s">
        <v>714</v>
      </c>
      <c r="H10" s="51">
        <v>10.0</v>
      </c>
      <c r="I10" s="328" t="s">
        <v>201</v>
      </c>
      <c r="J10" s="36" t="s">
        <v>86</v>
      </c>
      <c r="K10" s="36">
        <v>6.0</v>
      </c>
    </row>
    <row r="11">
      <c r="A11" s="36">
        <v>10.0</v>
      </c>
      <c r="B11" s="36" t="s">
        <v>113</v>
      </c>
      <c r="C11" s="36" t="s">
        <v>86</v>
      </c>
      <c r="D11" s="36">
        <v>6.0</v>
      </c>
      <c r="E11" s="36" t="s">
        <v>37</v>
      </c>
      <c r="F11" s="36" t="s">
        <v>36</v>
      </c>
      <c r="G11" s="423" t="s">
        <v>715</v>
      </c>
      <c r="H11" s="71" t="s">
        <v>127</v>
      </c>
      <c r="I11" s="328" t="s">
        <v>201</v>
      </c>
      <c r="J11" s="36" t="s">
        <v>86</v>
      </c>
      <c r="K11" s="36">
        <v>6.0</v>
      </c>
    </row>
    <row r="12">
      <c r="A12" s="36">
        <v>11.0</v>
      </c>
      <c r="B12" s="36" t="s">
        <v>113</v>
      </c>
      <c r="C12" s="36" t="s">
        <v>86</v>
      </c>
      <c r="D12" s="36">
        <v>6.0</v>
      </c>
      <c r="E12" s="36" t="s">
        <v>36</v>
      </c>
      <c r="F12" s="36" t="s">
        <v>37</v>
      </c>
      <c r="G12" s="423" t="s">
        <v>715</v>
      </c>
      <c r="H12" s="51">
        <v>11.0</v>
      </c>
      <c r="I12" s="328" t="s">
        <v>201</v>
      </c>
      <c r="J12" s="36" t="s">
        <v>86</v>
      </c>
      <c r="K12" s="36">
        <v>6.0</v>
      </c>
    </row>
    <row r="13">
      <c r="A13" s="36">
        <v>12.0</v>
      </c>
      <c r="B13" s="36" t="s">
        <v>113</v>
      </c>
      <c r="C13" s="36" t="s">
        <v>86</v>
      </c>
      <c r="D13" s="36">
        <v>5.0</v>
      </c>
      <c r="E13" s="36" t="s">
        <v>41</v>
      </c>
      <c r="F13" s="36" t="s">
        <v>40</v>
      </c>
      <c r="G13" s="423" t="s">
        <v>714</v>
      </c>
      <c r="H13" s="51">
        <v>12.0</v>
      </c>
      <c r="I13" s="328" t="s">
        <v>201</v>
      </c>
      <c r="J13" s="36" t="s">
        <v>86</v>
      </c>
      <c r="K13" s="36">
        <v>5.0</v>
      </c>
    </row>
    <row r="14">
      <c r="A14" s="36">
        <v>13.0</v>
      </c>
      <c r="B14" s="36" t="s">
        <v>113</v>
      </c>
      <c r="C14" s="36" t="s">
        <v>86</v>
      </c>
      <c r="D14" s="36">
        <v>6.0</v>
      </c>
      <c r="E14" s="36" t="s">
        <v>40</v>
      </c>
      <c r="F14" s="36" t="s">
        <v>41</v>
      </c>
      <c r="G14" s="423" t="s">
        <v>714</v>
      </c>
      <c r="H14" s="51">
        <v>14.0</v>
      </c>
      <c r="I14" s="328" t="s">
        <v>201</v>
      </c>
      <c r="J14" s="36" t="s">
        <v>86</v>
      </c>
      <c r="K14" s="36">
        <v>4.0</v>
      </c>
    </row>
    <row r="15">
      <c r="A15" s="36">
        <v>14.0</v>
      </c>
      <c r="B15" s="36" t="s">
        <v>113</v>
      </c>
      <c r="C15" s="36" t="s">
        <v>86</v>
      </c>
      <c r="D15" s="36">
        <v>4.0</v>
      </c>
      <c r="E15" s="36" t="s">
        <v>37</v>
      </c>
      <c r="F15" s="36" t="s">
        <v>36</v>
      </c>
      <c r="G15" s="423" t="s">
        <v>715</v>
      </c>
      <c r="H15" s="51">
        <v>13.0</v>
      </c>
      <c r="I15" s="328" t="s">
        <v>201</v>
      </c>
      <c r="J15" s="36" t="s">
        <v>86</v>
      </c>
      <c r="K15" s="36">
        <v>6.0</v>
      </c>
    </row>
    <row r="16">
      <c r="A16" s="36">
        <v>15.0</v>
      </c>
      <c r="B16" s="36" t="s">
        <v>113</v>
      </c>
      <c r="C16" s="36" t="s">
        <v>86</v>
      </c>
      <c r="D16" s="36">
        <v>6.0</v>
      </c>
      <c r="E16" s="36" t="s">
        <v>36</v>
      </c>
      <c r="F16" s="36" t="s">
        <v>37</v>
      </c>
      <c r="G16" s="423" t="s">
        <v>715</v>
      </c>
      <c r="H16" s="51">
        <v>15.0</v>
      </c>
      <c r="I16" s="328" t="s">
        <v>201</v>
      </c>
      <c r="J16" s="36" t="s">
        <v>86</v>
      </c>
      <c r="K16" s="36">
        <v>6.0</v>
      </c>
    </row>
    <row r="17">
      <c r="A17" s="36">
        <v>16.0</v>
      </c>
      <c r="B17" s="36" t="s">
        <v>113</v>
      </c>
      <c r="C17" s="36" t="s">
        <v>86</v>
      </c>
      <c r="D17" s="36">
        <v>6.0</v>
      </c>
      <c r="E17" s="36" t="s">
        <v>41</v>
      </c>
      <c r="F17" s="36" t="s">
        <v>40</v>
      </c>
      <c r="G17" s="423" t="s">
        <v>714</v>
      </c>
      <c r="H17" s="51">
        <v>16.0</v>
      </c>
      <c r="I17" s="328" t="s">
        <v>201</v>
      </c>
      <c r="J17" s="36" t="s">
        <v>86</v>
      </c>
      <c r="K17" s="36">
        <v>6.0</v>
      </c>
    </row>
    <row r="18">
      <c r="A18" s="36">
        <v>17.0</v>
      </c>
      <c r="B18" s="36" t="s">
        <v>113</v>
      </c>
      <c r="C18" s="36" t="s">
        <v>86</v>
      </c>
      <c r="D18" s="36">
        <v>6.0</v>
      </c>
      <c r="E18" s="36" t="s">
        <v>40</v>
      </c>
      <c r="F18" s="36" t="s">
        <v>41</v>
      </c>
      <c r="G18" s="423" t="s">
        <v>714</v>
      </c>
      <c r="H18" s="51">
        <v>18.0</v>
      </c>
      <c r="I18" s="328" t="s">
        <v>201</v>
      </c>
      <c r="J18" s="36" t="s">
        <v>86</v>
      </c>
      <c r="K18" s="36">
        <v>5.0</v>
      </c>
    </row>
    <row r="19">
      <c r="A19" s="36">
        <v>18.0</v>
      </c>
      <c r="B19" s="36" t="s">
        <v>113</v>
      </c>
      <c r="C19" s="36" t="s">
        <v>86</v>
      </c>
      <c r="D19" s="36">
        <v>5.0</v>
      </c>
      <c r="E19" s="36" t="s">
        <v>37</v>
      </c>
      <c r="F19" s="36" t="s">
        <v>36</v>
      </c>
      <c r="G19" s="423" t="s">
        <v>715</v>
      </c>
      <c r="H19" s="51">
        <v>17.0</v>
      </c>
      <c r="I19" s="328" t="s">
        <v>201</v>
      </c>
      <c r="J19" s="36" t="s">
        <v>86</v>
      </c>
      <c r="K19" s="36">
        <v>6.0</v>
      </c>
    </row>
    <row r="20">
      <c r="A20" s="36">
        <v>19.0</v>
      </c>
      <c r="B20" s="36" t="s">
        <v>113</v>
      </c>
      <c r="C20" s="36" t="s">
        <v>86</v>
      </c>
      <c r="D20" s="36">
        <v>5.0</v>
      </c>
      <c r="E20" s="36" t="s">
        <v>36</v>
      </c>
      <c r="F20" s="36" t="s">
        <v>37</v>
      </c>
      <c r="G20" s="423" t="s">
        <v>715</v>
      </c>
      <c r="H20" s="51">
        <v>19.0</v>
      </c>
      <c r="I20" s="328" t="s">
        <v>201</v>
      </c>
      <c r="J20" s="36" t="s">
        <v>86</v>
      </c>
      <c r="K20" s="36">
        <v>5.0</v>
      </c>
    </row>
    <row r="21">
      <c r="A21" s="36">
        <v>20.0</v>
      </c>
      <c r="B21" s="36" t="s">
        <v>113</v>
      </c>
      <c r="C21" s="36" t="s">
        <v>86</v>
      </c>
      <c r="D21" s="36">
        <v>7.0</v>
      </c>
      <c r="E21" s="36" t="s">
        <v>41</v>
      </c>
      <c r="F21" s="36" t="s">
        <v>40</v>
      </c>
      <c r="G21" s="423" t="s">
        <v>714</v>
      </c>
      <c r="H21" s="51">
        <v>20.0</v>
      </c>
      <c r="I21" s="328" t="s">
        <v>201</v>
      </c>
      <c r="J21" s="36" t="s">
        <v>86</v>
      </c>
      <c r="K21" s="36">
        <v>7.0</v>
      </c>
    </row>
    <row r="22">
      <c r="A22" s="36">
        <v>21.0</v>
      </c>
      <c r="B22" s="36" t="s">
        <v>113</v>
      </c>
      <c r="C22" s="36" t="s">
        <v>86</v>
      </c>
      <c r="D22" s="36">
        <v>6.0</v>
      </c>
      <c r="E22" s="36" t="s">
        <v>36</v>
      </c>
      <c r="F22" s="36" t="s">
        <v>37</v>
      </c>
      <c r="G22" s="423" t="s">
        <v>715</v>
      </c>
      <c r="H22" s="51">
        <v>21.0</v>
      </c>
      <c r="I22" s="328" t="s">
        <v>201</v>
      </c>
      <c r="J22" s="36" t="s">
        <v>86</v>
      </c>
      <c r="K22" s="36">
        <v>6.0</v>
      </c>
    </row>
    <row r="23">
      <c r="A23" s="36">
        <v>1.0</v>
      </c>
      <c r="B23" s="36" t="s">
        <v>115</v>
      </c>
      <c r="C23" s="36" t="s">
        <v>86</v>
      </c>
      <c r="D23" s="36">
        <v>3.0</v>
      </c>
      <c r="E23" s="36" t="s">
        <v>40</v>
      </c>
      <c r="F23" s="36" t="s">
        <v>41</v>
      </c>
      <c r="G23" s="537" t="s">
        <v>715</v>
      </c>
      <c r="H23" s="323">
        <v>22.0</v>
      </c>
      <c r="I23" s="328" t="s">
        <v>202</v>
      </c>
      <c r="J23" s="36" t="s">
        <v>86</v>
      </c>
      <c r="K23" s="36">
        <v>6.0</v>
      </c>
    </row>
    <row r="24">
      <c r="A24" s="36">
        <v>2.0</v>
      </c>
      <c r="B24" s="36" t="s">
        <v>115</v>
      </c>
      <c r="C24" s="36" t="s">
        <v>86</v>
      </c>
      <c r="D24" s="36">
        <v>5.0</v>
      </c>
      <c r="E24" s="36" t="s">
        <v>37</v>
      </c>
      <c r="F24" s="36" t="s">
        <v>36</v>
      </c>
      <c r="G24" s="537" t="s">
        <v>714</v>
      </c>
      <c r="H24" s="323">
        <v>23.0</v>
      </c>
      <c r="I24" s="328" t="s">
        <v>202</v>
      </c>
      <c r="J24" s="36" t="s">
        <v>86</v>
      </c>
      <c r="K24" s="36">
        <v>5.0</v>
      </c>
    </row>
    <row r="25">
      <c r="A25" s="36">
        <v>4.0</v>
      </c>
      <c r="B25" s="36" t="s">
        <v>115</v>
      </c>
      <c r="C25" s="36" t="s">
        <v>86</v>
      </c>
      <c r="D25" s="36">
        <v>3.0</v>
      </c>
      <c r="E25" s="36" t="s">
        <v>41</v>
      </c>
      <c r="F25" s="36" t="s">
        <v>40</v>
      </c>
      <c r="G25" s="537" t="s">
        <v>715</v>
      </c>
      <c r="H25" s="323">
        <v>24.0</v>
      </c>
      <c r="I25" s="328" t="s">
        <v>202</v>
      </c>
      <c r="J25" s="36" t="s">
        <v>86</v>
      </c>
      <c r="K25" s="36">
        <v>5.0</v>
      </c>
    </row>
    <row r="26">
      <c r="A26" s="36">
        <v>5.0</v>
      </c>
      <c r="B26" s="36" t="s">
        <v>115</v>
      </c>
      <c r="C26" s="36" t="s">
        <v>86</v>
      </c>
      <c r="D26" s="36">
        <v>3.0</v>
      </c>
      <c r="E26" s="36" t="s">
        <v>40</v>
      </c>
      <c r="F26" s="36" t="s">
        <v>41</v>
      </c>
      <c r="G26" s="537" t="s">
        <v>715</v>
      </c>
      <c r="H26" s="323">
        <v>25.0</v>
      </c>
      <c r="I26" s="328" t="s">
        <v>202</v>
      </c>
      <c r="J26" s="36" t="s">
        <v>86</v>
      </c>
      <c r="K26" s="36">
        <v>6.0</v>
      </c>
    </row>
    <row r="27">
      <c r="A27" s="36">
        <v>6.0</v>
      </c>
      <c r="B27" s="36" t="s">
        <v>115</v>
      </c>
      <c r="C27" s="36" t="s">
        <v>86</v>
      </c>
      <c r="D27" s="36">
        <v>6.0</v>
      </c>
      <c r="E27" s="36" t="s">
        <v>37</v>
      </c>
      <c r="F27" s="36" t="s">
        <v>36</v>
      </c>
      <c r="G27" s="537" t="s">
        <v>714</v>
      </c>
      <c r="H27" s="323">
        <v>26.0</v>
      </c>
      <c r="I27" s="328" t="s">
        <v>202</v>
      </c>
      <c r="J27" s="36" t="s">
        <v>86</v>
      </c>
      <c r="K27" s="36">
        <v>5.0</v>
      </c>
    </row>
    <row r="28">
      <c r="A28" s="36">
        <v>7.0</v>
      </c>
      <c r="B28" s="36" t="s">
        <v>115</v>
      </c>
      <c r="C28" s="36" t="s">
        <v>86</v>
      </c>
      <c r="D28" s="36">
        <v>3.0</v>
      </c>
      <c r="E28" s="36" t="s">
        <v>36</v>
      </c>
      <c r="F28" s="36" t="s">
        <v>37</v>
      </c>
      <c r="G28" s="537" t="s">
        <v>714</v>
      </c>
      <c r="H28" s="323">
        <v>27.0</v>
      </c>
      <c r="I28" s="328" t="s">
        <v>202</v>
      </c>
      <c r="J28" s="36" t="s">
        <v>86</v>
      </c>
      <c r="K28" s="36">
        <v>5.0</v>
      </c>
    </row>
    <row r="29">
      <c r="A29" s="36">
        <v>8.0</v>
      </c>
      <c r="B29" s="36" t="s">
        <v>115</v>
      </c>
      <c r="C29" s="36" t="s">
        <v>86</v>
      </c>
      <c r="D29" s="36">
        <v>5.0</v>
      </c>
      <c r="E29" s="36" t="s">
        <v>41</v>
      </c>
      <c r="F29" s="36" t="s">
        <v>40</v>
      </c>
      <c r="G29" s="537" t="s">
        <v>715</v>
      </c>
      <c r="H29" s="323">
        <v>28.0</v>
      </c>
      <c r="I29" s="328" t="s">
        <v>202</v>
      </c>
      <c r="J29" s="36" t="s">
        <v>86</v>
      </c>
      <c r="K29" s="36">
        <v>6.0</v>
      </c>
    </row>
    <row r="30">
      <c r="A30" s="36">
        <v>9.0</v>
      </c>
      <c r="B30" s="36" t="s">
        <v>115</v>
      </c>
      <c r="C30" s="36" t="s">
        <v>86</v>
      </c>
      <c r="D30" s="36">
        <v>4.0</v>
      </c>
      <c r="E30" s="36" t="s">
        <v>40</v>
      </c>
      <c r="F30" s="36" t="s">
        <v>41</v>
      </c>
      <c r="G30" s="537" t="s">
        <v>715</v>
      </c>
      <c r="H30" s="323">
        <v>29.0</v>
      </c>
      <c r="I30" s="328" t="s">
        <v>202</v>
      </c>
      <c r="J30" s="36" t="s">
        <v>86</v>
      </c>
      <c r="K30" s="36">
        <v>5.0</v>
      </c>
    </row>
    <row r="31">
      <c r="A31" s="36">
        <v>10.0</v>
      </c>
      <c r="B31" s="36" t="s">
        <v>115</v>
      </c>
      <c r="C31" s="36" t="s">
        <v>86</v>
      </c>
      <c r="D31" s="36">
        <v>6.0</v>
      </c>
      <c r="E31" s="36" t="s">
        <v>37</v>
      </c>
      <c r="F31" s="36" t="s">
        <v>36</v>
      </c>
      <c r="G31" s="537" t="s">
        <v>714</v>
      </c>
      <c r="H31" s="323">
        <v>32.0</v>
      </c>
      <c r="I31" s="328" t="s">
        <v>202</v>
      </c>
      <c r="J31" s="36" t="s">
        <v>86</v>
      </c>
      <c r="K31" s="36">
        <v>5.0</v>
      </c>
    </row>
    <row r="32">
      <c r="A32" s="36">
        <v>11.0</v>
      </c>
      <c r="B32" s="36" t="s">
        <v>115</v>
      </c>
      <c r="C32" s="36" t="s">
        <v>86</v>
      </c>
      <c r="D32" s="36">
        <v>5.0</v>
      </c>
      <c r="E32" s="36" t="s">
        <v>36</v>
      </c>
      <c r="F32" s="36" t="s">
        <v>37</v>
      </c>
      <c r="G32" s="537" t="s">
        <v>714</v>
      </c>
      <c r="H32" s="323">
        <v>31.0</v>
      </c>
      <c r="I32" s="328" t="s">
        <v>202</v>
      </c>
      <c r="J32" s="36" t="s">
        <v>86</v>
      </c>
      <c r="K32" s="36">
        <v>6.0</v>
      </c>
    </row>
    <row r="33">
      <c r="A33" s="36">
        <v>12.0</v>
      </c>
      <c r="B33" s="36" t="s">
        <v>115</v>
      </c>
      <c r="C33" s="36" t="s">
        <v>86</v>
      </c>
      <c r="D33" s="36">
        <v>6.0</v>
      </c>
      <c r="E33" s="36" t="s">
        <v>41</v>
      </c>
      <c r="F33" s="36" t="s">
        <v>40</v>
      </c>
      <c r="G33" s="537" t="s">
        <v>715</v>
      </c>
      <c r="H33" s="323">
        <v>23.0</v>
      </c>
      <c r="I33" s="328" t="s">
        <v>202</v>
      </c>
      <c r="J33" s="36" t="s">
        <v>86</v>
      </c>
      <c r="K33" s="36">
        <v>6.0</v>
      </c>
    </row>
    <row r="34">
      <c r="A34" s="36">
        <v>13.0</v>
      </c>
      <c r="B34" s="36" t="s">
        <v>115</v>
      </c>
      <c r="C34" s="36" t="s">
        <v>86</v>
      </c>
      <c r="D34" s="36">
        <v>4.0</v>
      </c>
      <c r="E34" s="36" t="s">
        <v>40</v>
      </c>
      <c r="F34" s="36" t="s">
        <v>41</v>
      </c>
      <c r="G34" s="537" t="s">
        <v>715</v>
      </c>
      <c r="H34" s="323">
        <v>22.0</v>
      </c>
      <c r="I34" s="328" t="s">
        <v>202</v>
      </c>
      <c r="J34" s="36" t="s">
        <v>86</v>
      </c>
      <c r="K34" s="36">
        <v>5.0</v>
      </c>
    </row>
    <row r="35">
      <c r="A35" s="36">
        <v>14.0</v>
      </c>
      <c r="B35" s="36" t="s">
        <v>115</v>
      </c>
      <c r="C35" s="36" t="s">
        <v>86</v>
      </c>
      <c r="D35" s="36">
        <v>4.0</v>
      </c>
      <c r="E35" s="36" t="s">
        <v>37</v>
      </c>
      <c r="F35" s="36" t="s">
        <v>36</v>
      </c>
      <c r="G35" s="537" t="s">
        <v>714</v>
      </c>
      <c r="H35" s="323">
        <v>25.0</v>
      </c>
      <c r="I35" s="328" t="s">
        <v>202</v>
      </c>
      <c r="J35" s="36" t="s">
        <v>86</v>
      </c>
      <c r="K35" s="36">
        <v>7.0</v>
      </c>
    </row>
    <row r="36">
      <c r="A36" s="36">
        <v>15.0</v>
      </c>
      <c r="B36" s="36" t="s">
        <v>115</v>
      </c>
      <c r="C36" s="36" t="s">
        <v>86</v>
      </c>
      <c r="D36" s="36">
        <v>7.0</v>
      </c>
      <c r="E36" s="36" t="s">
        <v>36</v>
      </c>
      <c r="F36" s="36" t="s">
        <v>37</v>
      </c>
      <c r="G36" s="537" t="s">
        <v>714</v>
      </c>
      <c r="H36" s="323">
        <v>24.0</v>
      </c>
      <c r="I36" s="328" t="s">
        <v>202</v>
      </c>
      <c r="J36" s="36" t="s">
        <v>86</v>
      </c>
      <c r="K36" s="36">
        <v>5.0</v>
      </c>
    </row>
    <row r="37">
      <c r="A37" s="36">
        <v>16.0</v>
      </c>
      <c r="B37" s="36" t="s">
        <v>115</v>
      </c>
      <c r="C37" s="36" t="s">
        <v>86</v>
      </c>
      <c r="D37" s="36">
        <v>5.0</v>
      </c>
      <c r="E37" s="36" t="s">
        <v>41</v>
      </c>
      <c r="F37" s="36" t="s">
        <v>40</v>
      </c>
      <c r="G37" s="537" t="s">
        <v>715</v>
      </c>
      <c r="H37" s="323">
        <v>27.0</v>
      </c>
      <c r="I37" s="328" t="s">
        <v>202</v>
      </c>
      <c r="J37" s="36" t="s">
        <v>86</v>
      </c>
      <c r="K37" s="36">
        <v>4.0</v>
      </c>
    </row>
    <row r="38">
      <c r="A38" s="36">
        <v>17.0</v>
      </c>
      <c r="B38" s="36" t="s">
        <v>115</v>
      </c>
      <c r="C38" s="36" t="s">
        <v>86</v>
      </c>
      <c r="D38" s="36">
        <v>5.0</v>
      </c>
      <c r="E38" s="36" t="s">
        <v>40</v>
      </c>
      <c r="F38" s="36" t="s">
        <v>41</v>
      </c>
      <c r="G38" s="537" t="s">
        <v>715</v>
      </c>
      <c r="H38" s="323">
        <v>26.0</v>
      </c>
      <c r="I38" s="328" t="s">
        <v>202</v>
      </c>
      <c r="J38" s="36" t="s">
        <v>86</v>
      </c>
      <c r="K38" s="36">
        <v>5.0</v>
      </c>
    </row>
    <row r="39">
      <c r="A39" s="36">
        <v>18.0</v>
      </c>
      <c r="B39" s="36" t="s">
        <v>115</v>
      </c>
      <c r="C39" s="36" t="s">
        <v>86</v>
      </c>
      <c r="D39" s="36">
        <v>4.0</v>
      </c>
      <c r="E39" s="36" t="s">
        <v>37</v>
      </c>
      <c r="F39" s="36" t="s">
        <v>36</v>
      </c>
      <c r="G39" s="537" t="s">
        <v>714</v>
      </c>
      <c r="H39" s="323">
        <v>29.0</v>
      </c>
      <c r="I39" s="328" t="s">
        <v>202</v>
      </c>
      <c r="J39" s="36" t="s">
        <v>86</v>
      </c>
      <c r="K39" s="36">
        <v>3.0</v>
      </c>
    </row>
    <row r="40">
      <c r="A40" s="36">
        <v>19.0</v>
      </c>
      <c r="B40" s="36" t="s">
        <v>115</v>
      </c>
      <c r="C40" s="36" t="s">
        <v>86</v>
      </c>
      <c r="D40" s="36">
        <v>7.0</v>
      </c>
      <c r="E40" s="36" t="s">
        <v>36</v>
      </c>
      <c r="F40" s="36" t="s">
        <v>37</v>
      </c>
      <c r="G40" s="537" t="s">
        <v>714</v>
      </c>
      <c r="H40" s="323">
        <v>28.0</v>
      </c>
      <c r="I40" s="328" t="s">
        <v>202</v>
      </c>
      <c r="J40" s="36" t="s">
        <v>86</v>
      </c>
      <c r="K40" s="36">
        <v>3.0</v>
      </c>
    </row>
    <row r="41">
      <c r="A41" s="36">
        <v>20.0</v>
      </c>
      <c r="B41" s="36" t="s">
        <v>115</v>
      </c>
      <c r="C41" s="36" t="s">
        <v>86</v>
      </c>
      <c r="D41" s="36">
        <v>6.0</v>
      </c>
      <c r="E41" s="36" t="s">
        <v>41</v>
      </c>
      <c r="F41" s="36" t="s">
        <v>40</v>
      </c>
      <c r="G41" s="537" t="s">
        <v>715</v>
      </c>
      <c r="H41" s="323">
        <v>31.0</v>
      </c>
      <c r="I41" s="328" t="s">
        <v>202</v>
      </c>
      <c r="J41" s="36" t="s">
        <v>86</v>
      </c>
      <c r="K41" s="36">
        <v>2.0</v>
      </c>
    </row>
    <row r="42">
      <c r="A42" s="36">
        <v>21.0</v>
      </c>
      <c r="B42" s="36" t="s">
        <v>115</v>
      </c>
      <c r="C42" s="36" t="s">
        <v>86</v>
      </c>
      <c r="D42" s="36">
        <v>2.0</v>
      </c>
      <c r="E42" s="36" t="s">
        <v>36</v>
      </c>
      <c r="F42" s="36" t="s">
        <v>37</v>
      </c>
      <c r="G42" s="537" t="s">
        <v>714</v>
      </c>
      <c r="H42" s="323">
        <v>32.0</v>
      </c>
      <c r="I42" s="328" t="s">
        <v>202</v>
      </c>
      <c r="J42" s="36" t="s">
        <v>86</v>
      </c>
      <c r="K42" s="36">
        <v>5.0</v>
      </c>
    </row>
    <row r="43">
      <c r="A43" s="36">
        <v>1.0</v>
      </c>
      <c r="B43" s="36" t="s">
        <v>113</v>
      </c>
      <c r="C43" s="36" t="s">
        <v>148</v>
      </c>
      <c r="D43" s="36">
        <v>38.89</v>
      </c>
      <c r="E43" s="36" t="s">
        <v>40</v>
      </c>
      <c r="F43" s="36" t="s">
        <v>41</v>
      </c>
      <c r="G43" s="423" t="s">
        <v>714</v>
      </c>
      <c r="H43" s="71" t="s">
        <v>138</v>
      </c>
      <c r="I43" s="328" t="s">
        <v>201</v>
      </c>
      <c r="J43" s="36" t="s">
        <v>148</v>
      </c>
      <c r="K43" s="36">
        <v>38.89</v>
      </c>
    </row>
    <row r="44">
      <c r="A44" s="36">
        <v>2.0</v>
      </c>
      <c r="B44" s="36" t="s">
        <v>113</v>
      </c>
      <c r="C44" s="36" t="s">
        <v>148</v>
      </c>
      <c r="D44" s="36">
        <v>66.67</v>
      </c>
      <c r="E44" s="36" t="s">
        <v>37</v>
      </c>
      <c r="F44" s="36" t="s">
        <v>36</v>
      </c>
      <c r="G44" s="423" t="s">
        <v>715</v>
      </c>
      <c r="H44" s="71" t="s">
        <v>121</v>
      </c>
      <c r="I44" s="328" t="s">
        <v>201</v>
      </c>
      <c r="J44" s="36" t="s">
        <v>148</v>
      </c>
      <c r="K44" s="36">
        <v>66.67</v>
      </c>
    </row>
    <row r="45">
      <c r="A45" s="36">
        <v>4.0</v>
      </c>
      <c r="B45" s="36" t="s">
        <v>113</v>
      </c>
      <c r="C45" s="36" t="s">
        <v>148</v>
      </c>
      <c r="D45" s="36">
        <v>41.67</v>
      </c>
      <c r="E45" s="36" t="s">
        <v>41</v>
      </c>
      <c r="F45" s="36" t="s">
        <v>40</v>
      </c>
      <c r="G45" s="423" t="s">
        <v>714</v>
      </c>
      <c r="H45" s="71" t="s">
        <v>122</v>
      </c>
      <c r="I45" s="328" t="s">
        <v>201</v>
      </c>
      <c r="J45" s="36" t="s">
        <v>148</v>
      </c>
      <c r="K45" s="36">
        <v>41.67</v>
      </c>
    </row>
    <row r="46">
      <c r="A46" s="36">
        <v>5.0</v>
      </c>
      <c r="B46" s="36" t="s">
        <v>113</v>
      </c>
      <c r="C46" s="36" t="s">
        <v>148</v>
      </c>
      <c r="D46" s="36">
        <v>38.89</v>
      </c>
      <c r="E46" s="36" t="s">
        <v>40</v>
      </c>
      <c r="F46" s="36" t="s">
        <v>41</v>
      </c>
      <c r="G46" s="423" t="s">
        <v>714</v>
      </c>
      <c r="H46" s="71" t="s">
        <v>124</v>
      </c>
      <c r="I46" s="328" t="s">
        <v>201</v>
      </c>
      <c r="J46" s="36" t="s">
        <v>148</v>
      </c>
      <c r="K46" s="36">
        <v>30.56</v>
      </c>
    </row>
    <row r="47">
      <c r="A47" s="36">
        <v>6.0</v>
      </c>
      <c r="B47" s="36" t="s">
        <v>113</v>
      </c>
      <c r="C47" s="36" t="s">
        <v>148</v>
      </c>
      <c r="D47" s="36">
        <v>30.56</v>
      </c>
      <c r="E47" s="36" t="s">
        <v>37</v>
      </c>
      <c r="F47" s="36" t="s">
        <v>36</v>
      </c>
      <c r="G47" s="423" t="s">
        <v>715</v>
      </c>
      <c r="H47" s="71" t="s">
        <v>123</v>
      </c>
      <c r="I47" s="328" t="s">
        <v>201</v>
      </c>
      <c r="J47" s="36" t="s">
        <v>148</v>
      </c>
      <c r="K47" s="36">
        <v>38.89</v>
      </c>
    </row>
    <row r="48">
      <c r="A48" s="36">
        <v>7.0</v>
      </c>
      <c r="B48" s="36" t="s">
        <v>113</v>
      </c>
      <c r="C48" s="36" t="s">
        <v>148</v>
      </c>
      <c r="D48" s="36">
        <v>41.67</v>
      </c>
      <c r="E48" s="36" t="s">
        <v>36</v>
      </c>
      <c r="F48" s="36" t="s">
        <v>37</v>
      </c>
      <c r="G48" s="423" t="s">
        <v>715</v>
      </c>
      <c r="H48" s="71" t="s">
        <v>125</v>
      </c>
      <c r="I48" s="328" t="s">
        <v>201</v>
      </c>
      <c r="J48" s="36" t="s">
        <v>148</v>
      </c>
      <c r="K48" s="36">
        <v>41.67</v>
      </c>
    </row>
    <row r="49">
      <c r="A49" s="36">
        <v>8.0</v>
      </c>
      <c r="B49" s="36" t="s">
        <v>113</v>
      </c>
      <c r="C49" s="36" t="s">
        <v>148</v>
      </c>
      <c r="D49" s="36">
        <v>16.67</v>
      </c>
      <c r="E49" s="36" t="s">
        <v>41</v>
      </c>
      <c r="F49" s="36" t="s">
        <v>40</v>
      </c>
      <c r="G49" s="423" t="s">
        <v>714</v>
      </c>
      <c r="H49" s="71" t="s">
        <v>126</v>
      </c>
      <c r="I49" s="328" t="s">
        <v>201</v>
      </c>
      <c r="J49" s="36" t="s">
        <v>148</v>
      </c>
      <c r="K49" s="36">
        <v>16.67</v>
      </c>
    </row>
    <row r="50">
      <c r="A50" s="36">
        <v>9.0</v>
      </c>
      <c r="B50" s="36" t="s">
        <v>113</v>
      </c>
      <c r="C50" s="36" t="s">
        <v>148</v>
      </c>
      <c r="D50" s="36">
        <v>27.78</v>
      </c>
      <c r="E50" s="36" t="s">
        <v>40</v>
      </c>
      <c r="F50" s="36" t="s">
        <v>41</v>
      </c>
      <c r="G50" s="423" t="s">
        <v>714</v>
      </c>
      <c r="H50" s="51">
        <v>10.0</v>
      </c>
      <c r="I50" s="328" t="s">
        <v>201</v>
      </c>
      <c r="J50" s="36" t="s">
        <v>148</v>
      </c>
      <c r="K50" s="36">
        <v>11.11</v>
      </c>
    </row>
    <row r="51">
      <c r="A51" s="36">
        <v>10.0</v>
      </c>
      <c r="B51" s="36" t="s">
        <v>113</v>
      </c>
      <c r="C51" s="36" t="s">
        <v>148</v>
      </c>
      <c r="D51" s="36">
        <v>11.11</v>
      </c>
      <c r="E51" s="36" t="s">
        <v>37</v>
      </c>
      <c r="F51" s="36" t="s">
        <v>36</v>
      </c>
      <c r="G51" s="423" t="s">
        <v>715</v>
      </c>
      <c r="H51" s="71" t="s">
        <v>127</v>
      </c>
      <c r="I51" s="328" t="s">
        <v>201</v>
      </c>
      <c r="J51" s="36" t="s">
        <v>148</v>
      </c>
      <c r="K51" s="36">
        <v>27.78</v>
      </c>
    </row>
    <row r="52">
      <c r="A52" s="36">
        <v>11.0</v>
      </c>
      <c r="B52" s="36" t="s">
        <v>113</v>
      </c>
      <c r="C52" s="36" t="s">
        <v>148</v>
      </c>
      <c r="D52" s="36">
        <v>38.89</v>
      </c>
      <c r="E52" s="36" t="s">
        <v>36</v>
      </c>
      <c r="F52" s="36" t="s">
        <v>37</v>
      </c>
      <c r="G52" s="423" t="s">
        <v>715</v>
      </c>
      <c r="H52" s="51">
        <v>11.0</v>
      </c>
      <c r="I52" s="328" t="s">
        <v>201</v>
      </c>
      <c r="J52" s="36" t="s">
        <v>148</v>
      </c>
      <c r="K52" s="36">
        <v>38.89</v>
      </c>
    </row>
    <row r="53">
      <c r="A53" s="36">
        <v>12.0</v>
      </c>
      <c r="B53" s="36" t="s">
        <v>113</v>
      </c>
      <c r="C53" s="36" t="s">
        <v>148</v>
      </c>
      <c r="D53" s="36">
        <v>22.22</v>
      </c>
      <c r="E53" s="36" t="s">
        <v>41</v>
      </c>
      <c r="F53" s="36" t="s">
        <v>40</v>
      </c>
      <c r="G53" s="423" t="s">
        <v>714</v>
      </c>
      <c r="H53" s="51">
        <v>12.0</v>
      </c>
      <c r="I53" s="328" t="s">
        <v>201</v>
      </c>
      <c r="J53" s="36" t="s">
        <v>148</v>
      </c>
      <c r="K53" s="36">
        <v>22.22</v>
      </c>
    </row>
    <row r="54">
      <c r="A54" s="36">
        <v>13.0</v>
      </c>
      <c r="B54" s="36" t="s">
        <v>113</v>
      </c>
      <c r="C54" s="36" t="s">
        <v>148</v>
      </c>
      <c r="D54" s="36">
        <v>30.56</v>
      </c>
      <c r="E54" s="36" t="s">
        <v>40</v>
      </c>
      <c r="F54" s="36" t="s">
        <v>41</v>
      </c>
      <c r="G54" s="423" t="s">
        <v>714</v>
      </c>
      <c r="H54" s="51">
        <v>14.0</v>
      </c>
      <c r="I54" s="328" t="s">
        <v>201</v>
      </c>
      <c r="J54" s="36" t="s">
        <v>148</v>
      </c>
      <c r="K54" s="36">
        <v>52.78</v>
      </c>
    </row>
    <row r="55">
      <c r="A55" s="36">
        <v>14.0</v>
      </c>
      <c r="B55" s="36" t="s">
        <v>113</v>
      </c>
      <c r="C55" s="36" t="s">
        <v>148</v>
      </c>
      <c r="D55" s="36">
        <v>52.78</v>
      </c>
      <c r="E55" s="36" t="s">
        <v>37</v>
      </c>
      <c r="F55" s="36" t="s">
        <v>36</v>
      </c>
      <c r="G55" s="423" t="s">
        <v>715</v>
      </c>
      <c r="H55" s="51">
        <v>13.0</v>
      </c>
      <c r="I55" s="328" t="s">
        <v>201</v>
      </c>
      <c r="J55" s="36" t="s">
        <v>148</v>
      </c>
      <c r="K55" s="36">
        <v>30.56</v>
      </c>
    </row>
    <row r="56">
      <c r="A56" s="36">
        <v>15.0</v>
      </c>
      <c r="B56" s="36" t="s">
        <v>113</v>
      </c>
      <c r="C56" s="36" t="s">
        <v>148</v>
      </c>
      <c r="D56" s="36">
        <v>25.0</v>
      </c>
      <c r="E56" s="36" t="s">
        <v>36</v>
      </c>
      <c r="F56" s="36" t="s">
        <v>37</v>
      </c>
      <c r="G56" s="423" t="s">
        <v>715</v>
      </c>
      <c r="H56" s="51">
        <v>15.0</v>
      </c>
      <c r="I56" s="328" t="s">
        <v>201</v>
      </c>
      <c r="J56" s="36" t="s">
        <v>148</v>
      </c>
      <c r="K56" s="36">
        <v>25.0</v>
      </c>
    </row>
    <row r="57">
      <c r="A57" s="36">
        <v>16.0</v>
      </c>
      <c r="B57" s="36" t="s">
        <v>113</v>
      </c>
      <c r="C57" s="36" t="s">
        <v>148</v>
      </c>
      <c r="D57" s="36">
        <v>25.0</v>
      </c>
      <c r="E57" s="36" t="s">
        <v>41</v>
      </c>
      <c r="F57" s="36" t="s">
        <v>40</v>
      </c>
      <c r="G57" s="423" t="s">
        <v>714</v>
      </c>
      <c r="H57" s="51">
        <v>16.0</v>
      </c>
      <c r="I57" s="328" t="s">
        <v>201</v>
      </c>
      <c r="J57" s="36" t="s">
        <v>148</v>
      </c>
      <c r="K57" s="36">
        <v>25.0</v>
      </c>
    </row>
    <row r="58">
      <c r="A58" s="36">
        <v>17.0</v>
      </c>
      <c r="B58" s="36" t="s">
        <v>113</v>
      </c>
      <c r="C58" s="36" t="s">
        <v>148</v>
      </c>
      <c r="D58" s="36">
        <v>36.11</v>
      </c>
      <c r="E58" s="36" t="s">
        <v>40</v>
      </c>
      <c r="F58" s="36" t="s">
        <v>41</v>
      </c>
      <c r="G58" s="423" t="s">
        <v>714</v>
      </c>
      <c r="H58" s="51">
        <v>18.0</v>
      </c>
      <c r="I58" s="328" t="s">
        <v>201</v>
      </c>
      <c r="J58" s="36" t="s">
        <v>148</v>
      </c>
      <c r="K58" s="36">
        <v>38.89</v>
      </c>
    </row>
    <row r="59">
      <c r="A59" s="36">
        <v>18.0</v>
      </c>
      <c r="B59" s="36" t="s">
        <v>113</v>
      </c>
      <c r="C59" s="36" t="s">
        <v>148</v>
      </c>
      <c r="D59" s="36">
        <v>38.89</v>
      </c>
      <c r="E59" s="36" t="s">
        <v>37</v>
      </c>
      <c r="F59" s="36" t="s">
        <v>36</v>
      </c>
      <c r="G59" s="423" t="s">
        <v>715</v>
      </c>
      <c r="H59" s="51">
        <v>17.0</v>
      </c>
      <c r="I59" s="328" t="s">
        <v>201</v>
      </c>
      <c r="J59" s="36" t="s">
        <v>148</v>
      </c>
      <c r="K59" s="36">
        <v>36.11</v>
      </c>
    </row>
    <row r="60">
      <c r="A60" s="36">
        <v>19.0</v>
      </c>
      <c r="B60" s="36" t="s">
        <v>113</v>
      </c>
      <c r="C60" s="36" t="s">
        <v>148</v>
      </c>
      <c r="D60" s="36">
        <v>50.0</v>
      </c>
      <c r="E60" s="36" t="s">
        <v>36</v>
      </c>
      <c r="F60" s="36" t="s">
        <v>37</v>
      </c>
      <c r="G60" s="423" t="s">
        <v>715</v>
      </c>
      <c r="H60" s="51">
        <v>19.0</v>
      </c>
      <c r="I60" s="328" t="s">
        <v>201</v>
      </c>
      <c r="J60" s="36" t="s">
        <v>148</v>
      </c>
      <c r="K60" s="36">
        <v>50.0</v>
      </c>
    </row>
    <row r="61">
      <c r="A61" s="36">
        <v>20.0</v>
      </c>
      <c r="B61" s="36" t="s">
        <v>113</v>
      </c>
      <c r="C61" s="36" t="s">
        <v>148</v>
      </c>
      <c r="D61" s="36">
        <v>38.89</v>
      </c>
      <c r="E61" s="36" t="s">
        <v>41</v>
      </c>
      <c r="F61" s="36" t="s">
        <v>40</v>
      </c>
      <c r="G61" s="423" t="s">
        <v>714</v>
      </c>
      <c r="H61" s="51">
        <v>20.0</v>
      </c>
      <c r="I61" s="328" t="s">
        <v>201</v>
      </c>
      <c r="J61" s="36" t="s">
        <v>148</v>
      </c>
      <c r="K61" s="36">
        <v>38.89</v>
      </c>
    </row>
    <row r="62">
      <c r="A62" s="36">
        <v>21.0</v>
      </c>
      <c r="B62" s="36" t="s">
        <v>113</v>
      </c>
      <c r="C62" s="36" t="s">
        <v>148</v>
      </c>
      <c r="D62" s="36">
        <v>41.67</v>
      </c>
      <c r="E62" s="36" t="s">
        <v>36</v>
      </c>
      <c r="F62" s="36" t="s">
        <v>37</v>
      </c>
      <c r="G62" s="423" t="s">
        <v>715</v>
      </c>
      <c r="H62" s="51">
        <v>21.0</v>
      </c>
      <c r="I62" s="328" t="s">
        <v>201</v>
      </c>
      <c r="J62" s="36" t="s">
        <v>148</v>
      </c>
      <c r="K62" s="36">
        <v>41.67</v>
      </c>
    </row>
    <row r="63">
      <c r="A63" s="36">
        <v>1.0</v>
      </c>
      <c r="B63" s="36" t="s">
        <v>115</v>
      </c>
      <c r="C63" s="36" t="s">
        <v>148</v>
      </c>
      <c r="D63" s="36">
        <v>41.67</v>
      </c>
      <c r="E63" s="36" t="s">
        <v>40</v>
      </c>
      <c r="F63" s="36" t="s">
        <v>41</v>
      </c>
      <c r="G63" s="537" t="s">
        <v>715</v>
      </c>
      <c r="H63" s="323">
        <v>22.0</v>
      </c>
      <c r="I63" s="328" t="s">
        <v>202</v>
      </c>
      <c r="J63" s="36" t="s">
        <v>148</v>
      </c>
      <c r="K63" s="36">
        <v>36.11</v>
      </c>
    </row>
    <row r="64">
      <c r="A64" s="36">
        <v>2.0</v>
      </c>
      <c r="B64" s="36" t="s">
        <v>115</v>
      </c>
      <c r="C64" s="36" t="s">
        <v>148</v>
      </c>
      <c r="D64" s="36">
        <v>41.67</v>
      </c>
      <c r="E64" s="36" t="s">
        <v>37</v>
      </c>
      <c r="F64" s="36" t="s">
        <v>36</v>
      </c>
      <c r="G64" s="537" t="s">
        <v>714</v>
      </c>
      <c r="H64" s="323">
        <v>23.0</v>
      </c>
      <c r="I64" s="328" t="s">
        <v>202</v>
      </c>
      <c r="J64" s="36" t="s">
        <v>148</v>
      </c>
      <c r="K64" s="36">
        <v>50.0</v>
      </c>
    </row>
    <row r="65">
      <c r="A65" s="36">
        <v>4.0</v>
      </c>
      <c r="B65" s="36" t="s">
        <v>115</v>
      </c>
      <c r="C65" s="36" t="s">
        <v>148</v>
      </c>
      <c r="D65" s="36">
        <v>58.33</v>
      </c>
      <c r="E65" s="36" t="s">
        <v>41</v>
      </c>
      <c r="F65" s="36" t="s">
        <v>40</v>
      </c>
      <c r="G65" s="537" t="s">
        <v>715</v>
      </c>
      <c r="H65" s="323">
        <v>24.0</v>
      </c>
      <c r="I65" s="328" t="s">
        <v>202</v>
      </c>
      <c r="J65" s="36" t="s">
        <v>148</v>
      </c>
      <c r="K65" s="36">
        <v>41.67</v>
      </c>
    </row>
    <row r="66">
      <c r="A66" s="36">
        <v>5.0</v>
      </c>
      <c r="B66" s="36" t="s">
        <v>115</v>
      </c>
      <c r="C66" s="36" t="s">
        <v>148</v>
      </c>
      <c r="D66" s="36">
        <v>52.78</v>
      </c>
      <c r="E66" s="36" t="s">
        <v>40</v>
      </c>
      <c r="F66" s="36" t="s">
        <v>41</v>
      </c>
      <c r="G66" s="537" t="s">
        <v>715</v>
      </c>
      <c r="H66" s="323">
        <v>25.0</v>
      </c>
      <c r="I66" s="328" t="s">
        <v>202</v>
      </c>
      <c r="J66" s="36" t="s">
        <v>148</v>
      </c>
      <c r="K66" s="36">
        <v>25.0</v>
      </c>
    </row>
    <row r="67">
      <c r="A67" s="36">
        <v>6.0</v>
      </c>
      <c r="B67" s="36" t="s">
        <v>115</v>
      </c>
      <c r="C67" s="36" t="s">
        <v>148</v>
      </c>
      <c r="D67" s="36">
        <v>25.0</v>
      </c>
      <c r="E67" s="36" t="s">
        <v>37</v>
      </c>
      <c r="F67" s="36" t="s">
        <v>36</v>
      </c>
      <c r="G67" s="537" t="s">
        <v>714</v>
      </c>
      <c r="H67" s="323">
        <v>26.0</v>
      </c>
      <c r="I67" s="328" t="s">
        <v>202</v>
      </c>
      <c r="J67" s="36" t="s">
        <v>148</v>
      </c>
      <c r="K67" s="36">
        <v>58.33</v>
      </c>
    </row>
    <row r="68">
      <c r="A68" s="36">
        <v>7.0</v>
      </c>
      <c r="B68" s="36" t="s">
        <v>115</v>
      </c>
      <c r="C68" s="36" t="s">
        <v>148</v>
      </c>
      <c r="D68" s="36">
        <v>58.33</v>
      </c>
      <c r="E68" s="36" t="s">
        <v>36</v>
      </c>
      <c r="F68" s="36" t="s">
        <v>37</v>
      </c>
      <c r="G68" s="537" t="s">
        <v>714</v>
      </c>
      <c r="H68" s="323">
        <v>27.0</v>
      </c>
      <c r="I68" s="328" t="s">
        <v>202</v>
      </c>
      <c r="J68" s="36" t="s">
        <v>148</v>
      </c>
      <c r="K68" s="36">
        <v>36.11</v>
      </c>
    </row>
    <row r="69">
      <c r="A69" s="36">
        <v>8.0</v>
      </c>
      <c r="B69" s="36" t="s">
        <v>115</v>
      </c>
      <c r="C69" s="36" t="s">
        <v>148</v>
      </c>
      <c r="D69" s="36">
        <v>36.11</v>
      </c>
      <c r="E69" s="36" t="s">
        <v>41</v>
      </c>
      <c r="F69" s="36" t="s">
        <v>40</v>
      </c>
      <c r="G69" s="537" t="s">
        <v>715</v>
      </c>
      <c r="H69" s="323">
        <v>28.0</v>
      </c>
      <c r="I69" s="328" t="s">
        <v>202</v>
      </c>
      <c r="J69" s="36" t="s">
        <v>148</v>
      </c>
      <c r="K69" s="36">
        <v>27.78</v>
      </c>
    </row>
    <row r="70">
      <c r="A70" s="36">
        <v>9.0</v>
      </c>
      <c r="B70" s="36" t="s">
        <v>115</v>
      </c>
      <c r="C70" s="36" t="s">
        <v>148</v>
      </c>
      <c r="D70" s="36">
        <v>47.22</v>
      </c>
      <c r="E70" s="36" t="s">
        <v>40</v>
      </c>
      <c r="F70" s="36" t="s">
        <v>41</v>
      </c>
      <c r="G70" s="537" t="s">
        <v>715</v>
      </c>
      <c r="H70" s="323">
        <v>29.0</v>
      </c>
      <c r="I70" s="328" t="s">
        <v>202</v>
      </c>
      <c r="J70" s="36" t="s">
        <v>148</v>
      </c>
      <c r="K70" s="36">
        <v>36.11</v>
      </c>
    </row>
    <row r="71">
      <c r="A71" s="36">
        <v>10.0</v>
      </c>
      <c r="B71" s="36" t="s">
        <v>115</v>
      </c>
      <c r="C71" s="36" t="s">
        <v>148</v>
      </c>
      <c r="D71" s="36">
        <v>19.44</v>
      </c>
      <c r="E71" s="36" t="s">
        <v>37</v>
      </c>
      <c r="F71" s="36" t="s">
        <v>36</v>
      </c>
      <c r="G71" s="537" t="s">
        <v>714</v>
      </c>
      <c r="H71" s="323">
        <v>32.0</v>
      </c>
      <c r="I71" s="328" t="s">
        <v>202</v>
      </c>
      <c r="J71" s="36" t="s">
        <v>148</v>
      </c>
      <c r="K71" s="36">
        <v>30.56</v>
      </c>
    </row>
    <row r="72">
      <c r="A72" s="36">
        <v>11.0</v>
      </c>
      <c r="B72" s="36" t="s">
        <v>115</v>
      </c>
      <c r="C72" s="36" t="s">
        <v>148</v>
      </c>
      <c r="D72" s="36">
        <v>19.44</v>
      </c>
      <c r="E72" s="36" t="s">
        <v>36</v>
      </c>
      <c r="F72" s="36" t="s">
        <v>37</v>
      </c>
      <c r="G72" s="537" t="s">
        <v>714</v>
      </c>
      <c r="H72" s="323">
        <v>31.0</v>
      </c>
      <c r="I72" s="328" t="s">
        <v>202</v>
      </c>
      <c r="J72" s="36" t="s">
        <v>148</v>
      </c>
      <c r="K72" s="36">
        <v>38.89</v>
      </c>
    </row>
    <row r="73">
      <c r="A73" s="36">
        <v>12.0</v>
      </c>
      <c r="B73" s="36" t="s">
        <v>115</v>
      </c>
      <c r="C73" s="36" t="s">
        <v>148</v>
      </c>
      <c r="D73" s="36">
        <v>25.0</v>
      </c>
      <c r="E73" s="36" t="s">
        <v>41</v>
      </c>
      <c r="F73" s="36" t="s">
        <v>40</v>
      </c>
      <c r="G73" s="537" t="s">
        <v>715</v>
      </c>
      <c r="H73" s="323">
        <v>23.0</v>
      </c>
      <c r="I73" s="328" t="s">
        <v>202</v>
      </c>
      <c r="J73" s="36" t="s">
        <v>148</v>
      </c>
      <c r="K73" s="36">
        <v>44.44</v>
      </c>
    </row>
    <row r="74">
      <c r="A74" s="36">
        <v>13.0</v>
      </c>
      <c r="B74" s="36" t="s">
        <v>115</v>
      </c>
      <c r="C74" s="36" t="s">
        <v>148</v>
      </c>
      <c r="D74" s="36">
        <v>38.89</v>
      </c>
      <c r="E74" s="36" t="s">
        <v>40</v>
      </c>
      <c r="F74" s="36" t="s">
        <v>41</v>
      </c>
      <c r="G74" s="537" t="s">
        <v>715</v>
      </c>
      <c r="H74" s="323">
        <v>22.0</v>
      </c>
      <c r="I74" s="328" t="s">
        <v>202</v>
      </c>
      <c r="J74" s="36" t="s">
        <v>148</v>
      </c>
      <c r="K74" s="36">
        <v>36.11</v>
      </c>
    </row>
    <row r="75">
      <c r="A75" s="36">
        <v>14.0</v>
      </c>
      <c r="B75" s="36" t="s">
        <v>115</v>
      </c>
      <c r="C75" s="36" t="s">
        <v>148</v>
      </c>
      <c r="D75" s="36">
        <v>44.44</v>
      </c>
      <c r="E75" s="36" t="s">
        <v>37</v>
      </c>
      <c r="F75" s="36" t="s">
        <v>36</v>
      </c>
      <c r="G75" s="537" t="s">
        <v>714</v>
      </c>
      <c r="H75" s="323">
        <v>25.0</v>
      </c>
      <c r="I75" s="328" t="s">
        <v>202</v>
      </c>
      <c r="J75" s="36" t="s">
        <v>148</v>
      </c>
      <c r="K75" s="36">
        <v>22.22</v>
      </c>
    </row>
    <row r="76">
      <c r="A76" s="36">
        <v>15.0</v>
      </c>
      <c r="B76" s="36" t="s">
        <v>115</v>
      </c>
      <c r="C76" s="36" t="s">
        <v>148</v>
      </c>
      <c r="D76" s="36">
        <v>22.22</v>
      </c>
      <c r="E76" s="36" t="s">
        <v>36</v>
      </c>
      <c r="F76" s="36" t="s">
        <v>37</v>
      </c>
      <c r="G76" s="537" t="s">
        <v>714</v>
      </c>
      <c r="H76" s="323">
        <v>24.0</v>
      </c>
      <c r="I76" s="328" t="s">
        <v>202</v>
      </c>
      <c r="J76" s="36" t="s">
        <v>148</v>
      </c>
      <c r="K76" s="36">
        <v>58.33</v>
      </c>
    </row>
    <row r="77">
      <c r="A77" s="36">
        <v>16.0</v>
      </c>
      <c r="B77" s="36" t="s">
        <v>115</v>
      </c>
      <c r="C77" s="36" t="s">
        <v>148</v>
      </c>
      <c r="D77" s="36">
        <v>22.22</v>
      </c>
      <c r="E77" s="36" t="s">
        <v>41</v>
      </c>
      <c r="F77" s="36" t="s">
        <v>40</v>
      </c>
      <c r="G77" s="537" t="s">
        <v>715</v>
      </c>
      <c r="H77" s="323">
        <v>27.0</v>
      </c>
      <c r="I77" s="328" t="s">
        <v>202</v>
      </c>
      <c r="J77" s="36" t="s">
        <v>148</v>
      </c>
      <c r="K77" s="36">
        <v>52.78</v>
      </c>
    </row>
    <row r="78">
      <c r="A78" s="36">
        <v>17.0</v>
      </c>
      <c r="B78" s="36" t="s">
        <v>115</v>
      </c>
      <c r="C78" s="36" t="s">
        <v>148</v>
      </c>
      <c r="D78" s="36">
        <v>50.0</v>
      </c>
      <c r="E78" s="36" t="s">
        <v>40</v>
      </c>
      <c r="F78" s="36" t="s">
        <v>41</v>
      </c>
      <c r="G78" s="537" t="s">
        <v>715</v>
      </c>
      <c r="H78" s="323">
        <v>26.0</v>
      </c>
      <c r="I78" s="328" t="s">
        <v>202</v>
      </c>
      <c r="J78" s="36" t="s">
        <v>148</v>
      </c>
      <c r="K78" s="36">
        <v>41.67</v>
      </c>
    </row>
    <row r="79">
      <c r="A79" s="36">
        <v>18.0</v>
      </c>
      <c r="B79" s="36" t="s">
        <v>115</v>
      </c>
      <c r="C79" s="36" t="s">
        <v>148</v>
      </c>
      <c r="D79" s="36">
        <v>41.67</v>
      </c>
      <c r="E79" s="36" t="s">
        <v>37</v>
      </c>
      <c r="F79" s="36" t="s">
        <v>36</v>
      </c>
      <c r="G79" s="537" t="s">
        <v>714</v>
      </c>
      <c r="H79" s="323">
        <v>29.0</v>
      </c>
      <c r="I79" s="328" t="s">
        <v>202</v>
      </c>
      <c r="J79" s="36" t="s">
        <v>148</v>
      </c>
      <c r="K79" s="36">
        <v>41.67</v>
      </c>
    </row>
    <row r="80">
      <c r="A80" s="36">
        <v>19.0</v>
      </c>
      <c r="B80" s="36" t="s">
        <v>115</v>
      </c>
      <c r="C80" s="36" t="s">
        <v>148</v>
      </c>
      <c r="D80" s="36">
        <v>36.11</v>
      </c>
      <c r="E80" s="36" t="s">
        <v>36</v>
      </c>
      <c r="F80" s="36" t="s">
        <v>37</v>
      </c>
      <c r="G80" s="537" t="s">
        <v>714</v>
      </c>
      <c r="H80" s="323">
        <v>28.0</v>
      </c>
      <c r="I80" s="328" t="s">
        <v>202</v>
      </c>
      <c r="J80" s="36" t="s">
        <v>148</v>
      </c>
      <c r="K80" s="36">
        <v>66.67</v>
      </c>
    </row>
    <row r="81">
      <c r="A81" s="36">
        <v>20.0</v>
      </c>
      <c r="B81" s="36" t="s">
        <v>115</v>
      </c>
      <c r="C81" s="36" t="s">
        <v>148</v>
      </c>
      <c r="D81" s="36">
        <v>50.0</v>
      </c>
      <c r="E81" s="36" t="s">
        <v>41</v>
      </c>
      <c r="F81" s="36" t="s">
        <v>40</v>
      </c>
      <c r="G81" s="537" t="s">
        <v>715</v>
      </c>
      <c r="H81" s="323">
        <v>31.0</v>
      </c>
      <c r="I81" s="328" t="s">
        <v>202</v>
      </c>
      <c r="J81" s="36" t="s">
        <v>148</v>
      </c>
      <c r="K81" s="36">
        <v>41.67</v>
      </c>
    </row>
    <row r="82">
      <c r="A82" s="36">
        <v>21.0</v>
      </c>
      <c r="B82" s="36" t="s">
        <v>115</v>
      </c>
      <c r="C82" s="36" t="s">
        <v>148</v>
      </c>
      <c r="D82" s="36">
        <v>52.78</v>
      </c>
      <c r="E82" s="36" t="s">
        <v>36</v>
      </c>
      <c r="F82" s="36" t="s">
        <v>37</v>
      </c>
      <c r="G82" s="537" t="s">
        <v>714</v>
      </c>
      <c r="H82" s="323">
        <v>32.0</v>
      </c>
      <c r="I82" s="328" t="s">
        <v>202</v>
      </c>
      <c r="J82" s="36" t="s">
        <v>148</v>
      </c>
      <c r="K82" s="36">
        <v>25.0</v>
      </c>
    </row>
    <row r="83">
      <c r="A83" s="36">
        <v>1.0</v>
      </c>
      <c r="B83" s="36" t="s">
        <v>113</v>
      </c>
      <c r="C83" s="36" t="s">
        <v>149</v>
      </c>
      <c r="D83" s="36">
        <v>72.5</v>
      </c>
      <c r="E83" s="538" t="s">
        <v>40</v>
      </c>
      <c r="F83" s="389" t="s">
        <v>41</v>
      </c>
      <c r="G83" s="538" t="s">
        <v>714</v>
      </c>
      <c r="H83" s="71" t="s">
        <v>138</v>
      </c>
      <c r="I83" s="328" t="s">
        <v>201</v>
      </c>
      <c r="J83" s="36" t="s">
        <v>149</v>
      </c>
      <c r="K83" s="36">
        <v>72.5</v>
      </c>
    </row>
    <row r="84">
      <c r="A84" s="36">
        <v>2.0</v>
      </c>
      <c r="B84" s="36" t="s">
        <v>113</v>
      </c>
      <c r="C84" s="36" t="s">
        <v>149</v>
      </c>
      <c r="D84" s="36">
        <v>52.5</v>
      </c>
      <c r="E84" s="389" t="s">
        <v>37</v>
      </c>
      <c r="F84" s="538" t="s">
        <v>36</v>
      </c>
      <c r="G84" s="538" t="s">
        <v>715</v>
      </c>
      <c r="H84" s="71" t="s">
        <v>121</v>
      </c>
      <c r="I84" s="328" t="s">
        <v>201</v>
      </c>
      <c r="J84" s="36" t="s">
        <v>149</v>
      </c>
      <c r="K84" s="36">
        <v>52.5</v>
      </c>
    </row>
    <row r="85">
      <c r="A85" s="36">
        <v>4.0</v>
      </c>
      <c r="B85" s="36" t="s">
        <v>113</v>
      </c>
      <c r="C85" s="36" t="s">
        <v>149</v>
      </c>
      <c r="D85" s="36">
        <v>80.0</v>
      </c>
      <c r="E85" s="389" t="s">
        <v>41</v>
      </c>
      <c r="F85" s="538" t="s">
        <v>40</v>
      </c>
      <c r="G85" s="538" t="s">
        <v>714</v>
      </c>
      <c r="H85" s="71" t="s">
        <v>122</v>
      </c>
      <c r="I85" s="328" t="s">
        <v>201</v>
      </c>
      <c r="J85" s="36" t="s">
        <v>149</v>
      </c>
      <c r="K85" s="36">
        <v>80.0</v>
      </c>
    </row>
    <row r="86">
      <c r="A86" s="36">
        <v>5.0</v>
      </c>
      <c r="B86" s="36" t="s">
        <v>113</v>
      </c>
      <c r="C86" s="36" t="s">
        <v>149</v>
      </c>
      <c r="D86" s="36">
        <v>75.0</v>
      </c>
      <c r="E86" s="538" t="s">
        <v>40</v>
      </c>
      <c r="F86" s="389" t="s">
        <v>41</v>
      </c>
      <c r="G86" s="538" t="s">
        <v>714</v>
      </c>
      <c r="H86" s="71" t="s">
        <v>124</v>
      </c>
      <c r="I86" s="328" t="s">
        <v>201</v>
      </c>
      <c r="J86" s="36" t="s">
        <v>149</v>
      </c>
      <c r="K86" s="36">
        <v>95.0</v>
      </c>
    </row>
    <row r="87">
      <c r="A87" s="36">
        <v>6.0</v>
      </c>
      <c r="B87" s="36" t="s">
        <v>113</v>
      </c>
      <c r="C87" s="36" t="s">
        <v>149</v>
      </c>
      <c r="D87" s="36">
        <v>95.0</v>
      </c>
      <c r="E87" s="389" t="s">
        <v>37</v>
      </c>
      <c r="F87" s="538" t="s">
        <v>36</v>
      </c>
      <c r="G87" s="538" t="s">
        <v>715</v>
      </c>
      <c r="H87" s="71" t="s">
        <v>123</v>
      </c>
      <c r="I87" s="328" t="s">
        <v>201</v>
      </c>
      <c r="J87" s="36" t="s">
        <v>149</v>
      </c>
      <c r="K87" s="36">
        <v>75.0</v>
      </c>
    </row>
    <row r="88">
      <c r="A88" s="36">
        <v>7.0</v>
      </c>
      <c r="B88" s="36" t="s">
        <v>113</v>
      </c>
      <c r="C88" s="36" t="s">
        <v>149</v>
      </c>
      <c r="D88" s="36">
        <v>72.5</v>
      </c>
      <c r="E88" s="538" t="s">
        <v>36</v>
      </c>
      <c r="F88" s="389" t="s">
        <v>37</v>
      </c>
      <c r="G88" s="538" t="s">
        <v>715</v>
      </c>
      <c r="H88" s="71" t="s">
        <v>125</v>
      </c>
      <c r="I88" s="328" t="s">
        <v>201</v>
      </c>
      <c r="J88" s="36" t="s">
        <v>149</v>
      </c>
      <c r="K88" s="36">
        <v>72.5</v>
      </c>
    </row>
    <row r="89">
      <c r="A89" s="36">
        <v>8.0</v>
      </c>
      <c r="B89" s="36" t="s">
        <v>113</v>
      </c>
      <c r="C89" s="36" t="s">
        <v>149</v>
      </c>
      <c r="D89" s="36">
        <v>100.0</v>
      </c>
      <c r="E89" s="389" t="s">
        <v>41</v>
      </c>
      <c r="F89" s="538" t="s">
        <v>40</v>
      </c>
      <c r="G89" s="538" t="s">
        <v>714</v>
      </c>
      <c r="H89" s="71" t="s">
        <v>126</v>
      </c>
      <c r="I89" s="328" t="s">
        <v>201</v>
      </c>
      <c r="J89" s="36" t="s">
        <v>149</v>
      </c>
      <c r="K89" s="36">
        <v>100.0</v>
      </c>
    </row>
    <row r="90">
      <c r="A90" s="36">
        <v>9.0</v>
      </c>
      <c r="B90" s="36" t="s">
        <v>113</v>
      </c>
      <c r="C90" s="36" t="s">
        <v>149</v>
      </c>
      <c r="D90" s="36">
        <v>90.0</v>
      </c>
      <c r="E90" s="538" t="s">
        <v>40</v>
      </c>
      <c r="F90" s="389" t="s">
        <v>41</v>
      </c>
      <c r="G90" s="538" t="s">
        <v>714</v>
      </c>
      <c r="H90" s="51">
        <v>10.0</v>
      </c>
      <c r="I90" s="328" t="s">
        <v>201</v>
      </c>
      <c r="J90" s="36" t="s">
        <v>149</v>
      </c>
      <c r="K90" s="36">
        <v>90.0</v>
      </c>
    </row>
    <row r="91">
      <c r="A91" s="36">
        <v>10.0</v>
      </c>
      <c r="B91" s="36" t="s">
        <v>113</v>
      </c>
      <c r="C91" s="36" t="s">
        <v>149</v>
      </c>
      <c r="D91" s="36">
        <v>90.0</v>
      </c>
      <c r="E91" s="389" t="s">
        <v>37</v>
      </c>
      <c r="F91" s="538" t="s">
        <v>36</v>
      </c>
      <c r="G91" s="538" t="s">
        <v>715</v>
      </c>
      <c r="H91" s="71" t="s">
        <v>127</v>
      </c>
      <c r="I91" s="328" t="s">
        <v>201</v>
      </c>
      <c r="J91" s="36" t="s">
        <v>149</v>
      </c>
      <c r="K91" s="36">
        <v>90.0</v>
      </c>
    </row>
    <row r="92">
      <c r="A92" s="36">
        <v>11.0</v>
      </c>
      <c r="B92" s="36" t="s">
        <v>113</v>
      </c>
      <c r="C92" s="36" t="s">
        <v>149</v>
      </c>
      <c r="D92" s="36">
        <v>97.5</v>
      </c>
      <c r="E92" s="538" t="s">
        <v>36</v>
      </c>
      <c r="F92" s="389" t="s">
        <v>37</v>
      </c>
      <c r="G92" s="538" t="s">
        <v>715</v>
      </c>
      <c r="H92" s="51">
        <v>11.0</v>
      </c>
      <c r="I92" s="328" t="s">
        <v>201</v>
      </c>
      <c r="J92" s="36" t="s">
        <v>149</v>
      </c>
      <c r="K92" s="36">
        <v>97.5</v>
      </c>
    </row>
    <row r="93">
      <c r="A93" s="36">
        <v>12.0</v>
      </c>
      <c r="B93" s="36" t="s">
        <v>113</v>
      </c>
      <c r="C93" s="36" t="s">
        <v>149</v>
      </c>
      <c r="D93" s="36">
        <v>90.0</v>
      </c>
      <c r="E93" s="389" t="s">
        <v>41</v>
      </c>
      <c r="F93" s="538" t="s">
        <v>40</v>
      </c>
      <c r="G93" s="538" t="s">
        <v>714</v>
      </c>
      <c r="H93" s="51">
        <v>12.0</v>
      </c>
      <c r="I93" s="328" t="s">
        <v>201</v>
      </c>
      <c r="J93" s="36" t="s">
        <v>149</v>
      </c>
      <c r="K93" s="36">
        <v>90.0</v>
      </c>
    </row>
    <row r="94">
      <c r="A94" s="36">
        <v>13.0</v>
      </c>
      <c r="B94" s="36" t="s">
        <v>113</v>
      </c>
      <c r="C94" s="36" t="s">
        <v>149</v>
      </c>
      <c r="D94" s="36">
        <v>95.0</v>
      </c>
      <c r="E94" s="538" t="s">
        <v>40</v>
      </c>
      <c r="F94" s="389" t="s">
        <v>41</v>
      </c>
      <c r="G94" s="538" t="s">
        <v>714</v>
      </c>
      <c r="H94" s="51">
        <v>14.0</v>
      </c>
      <c r="I94" s="328" t="s">
        <v>201</v>
      </c>
      <c r="J94" s="36" t="s">
        <v>149</v>
      </c>
      <c r="K94" s="36">
        <v>57.5</v>
      </c>
    </row>
    <row r="95">
      <c r="A95" s="36">
        <v>14.0</v>
      </c>
      <c r="B95" s="36" t="s">
        <v>113</v>
      </c>
      <c r="C95" s="36" t="s">
        <v>149</v>
      </c>
      <c r="D95" s="36">
        <v>57.5</v>
      </c>
      <c r="E95" s="389" t="s">
        <v>37</v>
      </c>
      <c r="F95" s="538" t="s">
        <v>36</v>
      </c>
      <c r="G95" s="538" t="s">
        <v>715</v>
      </c>
      <c r="H95" s="51">
        <v>13.0</v>
      </c>
      <c r="I95" s="328" t="s">
        <v>201</v>
      </c>
      <c r="J95" s="36" t="s">
        <v>149</v>
      </c>
      <c r="K95" s="36">
        <v>95.0</v>
      </c>
    </row>
    <row r="96">
      <c r="A96" s="36">
        <v>15.0</v>
      </c>
      <c r="B96" s="36" t="s">
        <v>113</v>
      </c>
      <c r="C96" s="36" t="s">
        <v>149</v>
      </c>
      <c r="D96" s="36">
        <v>97.5</v>
      </c>
      <c r="E96" s="538" t="s">
        <v>36</v>
      </c>
      <c r="F96" s="389" t="s">
        <v>37</v>
      </c>
      <c r="G96" s="538" t="s">
        <v>715</v>
      </c>
      <c r="H96" s="51">
        <v>15.0</v>
      </c>
      <c r="I96" s="328" t="s">
        <v>201</v>
      </c>
      <c r="J96" s="36" t="s">
        <v>149</v>
      </c>
      <c r="K96" s="36">
        <v>97.5</v>
      </c>
    </row>
    <row r="97">
      <c r="A97" s="36">
        <v>16.0</v>
      </c>
      <c r="B97" s="36" t="s">
        <v>113</v>
      </c>
      <c r="C97" s="36" t="s">
        <v>149</v>
      </c>
      <c r="D97" s="36">
        <v>87.5</v>
      </c>
      <c r="E97" s="389" t="s">
        <v>41</v>
      </c>
      <c r="F97" s="538" t="s">
        <v>40</v>
      </c>
      <c r="G97" s="538" t="s">
        <v>714</v>
      </c>
      <c r="H97" s="51">
        <v>16.0</v>
      </c>
      <c r="I97" s="328" t="s">
        <v>201</v>
      </c>
      <c r="J97" s="36" t="s">
        <v>149</v>
      </c>
      <c r="K97" s="36">
        <v>87.5</v>
      </c>
    </row>
    <row r="98">
      <c r="A98" s="36">
        <v>17.0</v>
      </c>
      <c r="B98" s="36" t="s">
        <v>113</v>
      </c>
      <c r="C98" s="36" t="s">
        <v>149</v>
      </c>
      <c r="D98" s="36">
        <v>82.5</v>
      </c>
      <c r="E98" s="538" t="s">
        <v>40</v>
      </c>
      <c r="F98" s="389" t="s">
        <v>41</v>
      </c>
      <c r="G98" s="538" t="s">
        <v>714</v>
      </c>
      <c r="H98" s="51">
        <v>18.0</v>
      </c>
      <c r="I98" s="328" t="s">
        <v>201</v>
      </c>
      <c r="J98" s="36" t="s">
        <v>149</v>
      </c>
      <c r="K98" s="36">
        <v>60.0</v>
      </c>
    </row>
    <row r="99">
      <c r="A99" s="36">
        <v>18.0</v>
      </c>
      <c r="B99" s="36" t="s">
        <v>113</v>
      </c>
      <c r="C99" s="36" t="s">
        <v>149</v>
      </c>
      <c r="D99" s="36">
        <v>60.0</v>
      </c>
      <c r="E99" s="389" t="s">
        <v>37</v>
      </c>
      <c r="F99" s="538" t="s">
        <v>36</v>
      </c>
      <c r="G99" s="538" t="s">
        <v>715</v>
      </c>
      <c r="H99" s="51">
        <v>17.0</v>
      </c>
      <c r="I99" s="328" t="s">
        <v>201</v>
      </c>
      <c r="J99" s="36" t="s">
        <v>149</v>
      </c>
      <c r="K99" s="36">
        <v>82.5</v>
      </c>
    </row>
    <row r="100">
      <c r="A100" s="36">
        <v>19.0</v>
      </c>
      <c r="B100" s="36" t="s">
        <v>113</v>
      </c>
      <c r="C100" s="36" t="s">
        <v>149</v>
      </c>
      <c r="D100" s="36">
        <v>67.5</v>
      </c>
      <c r="E100" s="538" t="s">
        <v>36</v>
      </c>
      <c r="F100" s="389" t="s">
        <v>37</v>
      </c>
      <c r="G100" s="538" t="s">
        <v>715</v>
      </c>
      <c r="H100" s="51">
        <v>19.0</v>
      </c>
      <c r="I100" s="328" t="s">
        <v>201</v>
      </c>
      <c r="J100" s="36" t="s">
        <v>149</v>
      </c>
      <c r="K100" s="36">
        <v>67.5</v>
      </c>
    </row>
    <row r="101">
      <c r="A101" s="36">
        <v>20.0</v>
      </c>
      <c r="B101" s="36" t="s">
        <v>113</v>
      </c>
      <c r="C101" s="36" t="s">
        <v>149</v>
      </c>
      <c r="D101" s="36">
        <v>87.5</v>
      </c>
      <c r="E101" s="389" t="s">
        <v>41</v>
      </c>
      <c r="F101" s="538" t="s">
        <v>40</v>
      </c>
      <c r="G101" s="538" t="s">
        <v>714</v>
      </c>
      <c r="H101" s="51">
        <v>20.0</v>
      </c>
      <c r="I101" s="328" t="s">
        <v>201</v>
      </c>
      <c r="J101" s="36" t="s">
        <v>149</v>
      </c>
      <c r="K101" s="36">
        <v>87.5</v>
      </c>
    </row>
    <row r="102">
      <c r="A102" s="36">
        <v>21.0</v>
      </c>
      <c r="B102" s="36" t="s">
        <v>113</v>
      </c>
      <c r="C102" s="36" t="s">
        <v>149</v>
      </c>
      <c r="D102" s="36">
        <v>92.5</v>
      </c>
      <c r="E102" s="538" t="s">
        <v>36</v>
      </c>
      <c r="F102" s="389" t="s">
        <v>37</v>
      </c>
      <c r="G102" s="538" t="s">
        <v>715</v>
      </c>
      <c r="H102" s="51">
        <v>21.0</v>
      </c>
      <c r="I102" s="328" t="s">
        <v>201</v>
      </c>
      <c r="J102" s="36" t="s">
        <v>149</v>
      </c>
      <c r="K102" s="36">
        <v>92.5</v>
      </c>
    </row>
    <row r="103">
      <c r="A103" s="36">
        <v>1.0</v>
      </c>
      <c r="B103" s="36" t="s">
        <v>115</v>
      </c>
      <c r="C103" s="36" t="s">
        <v>149</v>
      </c>
      <c r="D103" s="36">
        <v>65.0</v>
      </c>
      <c r="E103" s="389" t="s">
        <v>40</v>
      </c>
      <c r="F103" s="539" t="s">
        <v>41</v>
      </c>
      <c r="G103" s="539" t="s">
        <v>715</v>
      </c>
      <c r="H103" s="323">
        <v>22.0</v>
      </c>
      <c r="I103" s="328" t="s">
        <v>202</v>
      </c>
      <c r="J103" s="36" t="s">
        <v>149</v>
      </c>
      <c r="K103" s="36">
        <v>75.0</v>
      </c>
    </row>
    <row r="104">
      <c r="A104" s="36">
        <v>2.0</v>
      </c>
      <c r="B104" s="36" t="s">
        <v>115</v>
      </c>
      <c r="C104" s="36" t="s">
        <v>149</v>
      </c>
      <c r="D104" s="36">
        <v>90.0</v>
      </c>
      <c r="E104" s="539" t="s">
        <v>37</v>
      </c>
      <c r="F104" s="389" t="s">
        <v>36</v>
      </c>
      <c r="G104" s="539" t="s">
        <v>714</v>
      </c>
      <c r="H104" s="323">
        <v>23.0</v>
      </c>
      <c r="I104" s="328" t="s">
        <v>202</v>
      </c>
      <c r="J104" s="36" t="s">
        <v>149</v>
      </c>
      <c r="K104" s="36">
        <v>77.5</v>
      </c>
    </row>
    <row r="105">
      <c r="A105" s="36">
        <v>4.0</v>
      </c>
      <c r="B105" s="36" t="s">
        <v>115</v>
      </c>
      <c r="C105" s="36" t="s">
        <v>149</v>
      </c>
      <c r="D105" s="36">
        <v>75.0</v>
      </c>
      <c r="E105" s="539" t="s">
        <v>41</v>
      </c>
      <c r="F105" s="389" t="s">
        <v>40</v>
      </c>
      <c r="G105" s="539" t="s">
        <v>715</v>
      </c>
      <c r="H105" s="323">
        <v>24.0</v>
      </c>
      <c r="I105" s="328" t="s">
        <v>202</v>
      </c>
      <c r="J105" s="36" t="s">
        <v>149</v>
      </c>
      <c r="K105" s="36">
        <v>75.0</v>
      </c>
    </row>
    <row r="106">
      <c r="A106" s="36">
        <v>5.0</v>
      </c>
      <c r="B106" s="36" t="s">
        <v>115</v>
      </c>
      <c r="C106" s="36" t="s">
        <v>149</v>
      </c>
      <c r="D106" s="36">
        <v>70.0</v>
      </c>
      <c r="E106" s="389" t="s">
        <v>40</v>
      </c>
      <c r="F106" s="539" t="s">
        <v>41</v>
      </c>
      <c r="G106" s="539" t="s">
        <v>715</v>
      </c>
      <c r="H106" s="323">
        <v>25.0</v>
      </c>
      <c r="I106" s="328" t="s">
        <v>202</v>
      </c>
      <c r="J106" s="36" t="s">
        <v>149</v>
      </c>
      <c r="K106" s="36">
        <v>92.5</v>
      </c>
    </row>
    <row r="107">
      <c r="A107" s="36">
        <v>6.0</v>
      </c>
      <c r="B107" s="36" t="s">
        <v>115</v>
      </c>
      <c r="C107" s="36" t="s">
        <v>149</v>
      </c>
      <c r="D107" s="36">
        <v>97.5</v>
      </c>
      <c r="E107" s="539" t="s">
        <v>37</v>
      </c>
      <c r="F107" s="389" t="s">
        <v>36</v>
      </c>
      <c r="G107" s="539" t="s">
        <v>714</v>
      </c>
      <c r="H107" s="323">
        <v>26.0</v>
      </c>
      <c r="I107" s="328" t="s">
        <v>202</v>
      </c>
      <c r="J107" s="36" t="s">
        <v>149</v>
      </c>
      <c r="K107" s="36">
        <v>67.5</v>
      </c>
    </row>
    <row r="108">
      <c r="A108" s="36">
        <v>7.0</v>
      </c>
      <c r="B108" s="36" t="s">
        <v>115</v>
      </c>
      <c r="C108" s="36" t="s">
        <v>149</v>
      </c>
      <c r="D108" s="36">
        <v>47.5</v>
      </c>
      <c r="E108" s="389" t="s">
        <v>36</v>
      </c>
      <c r="F108" s="539" t="s">
        <v>37</v>
      </c>
      <c r="G108" s="539" t="s">
        <v>714</v>
      </c>
      <c r="H108" s="323">
        <v>27.0</v>
      </c>
      <c r="I108" s="328" t="s">
        <v>202</v>
      </c>
      <c r="J108" s="36" t="s">
        <v>149</v>
      </c>
      <c r="K108" s="36">
        <v>80.0</v>
      </c>
    </row>
    <row r="109">
      <c r="A109" s="36">
        <v>8.0</v>
      </c>
      <c r="B109" s="36" t="s">
        <v>115</v>
      </c>
      <c r="C109" s="36" t="s">
        <v>149</v>
      </c>
      <c r="D109" s="36">
        <v>97.5</v>
      </c>
      <c r="E109" s="539" t="s">
        <v>41</v>
      </c>
      <c r="F109" s="389" t="s">
        <v>40</v>
      </c>
      <c r="G109" s="539" t="s">
        <v>715</v>
      </c>
      <c r="H109" s="323">
        <v>28.0</v>
      </c>
      <c r="I109" s="328" t="s">
        <v>202</v>
      </c>
      <c r="J109" s="36" t="s">
        <v>149</v>
      </c>
      <c r="K109" s="36">
        <v>85.0</v>
      </c>
    </row>
    <row r="110">
      <c r="A110" s="36">
        <v>9.0</v>
      </c>
      <c r="B110" s="36" t="s">
        <v>115</v>
      </c>
      <c r="C110" s="36" t="s">
        <v>149</v>
      </c>
      <c r="D110" s="36">
        <v>75.0</v>
      </c>
      <c r="E110" s="389" t="s">
        <v>40</v>
      </c>
      <c r="F110" s="539" t="s">
        <v>41</v>
      </c>
      <c r="G110" s="539" t="s">
        <v>715</v>
      </c>
      <c r="H110" s="323">
        <v>29.0</v>
      </c>
      <c r="I110" s="328" t="s">
        <v>202</v>
      </c>
      <c r="J110" s="36" t="s">
        <v>149</v>
      </c>
      <c r="K110" s="36">
        <v>85.0</v>
      </c>
    </row>
    <row r="111">
      <c r="A111" s="36">
        <v>10.0</v>
      </c>
      <c r="B111" s="36" t="s">
        <v>115</v>
      </c>
      <c r="C111" s="36" t="s">
        <v>149</v>
      </c>
      <c r="D111" s="36">
        <v>82.5</v>
      </c>
      <c r="E111" s="539" t="s">
        <v>37</v>
      </c>
      <c r="F111" s="389" t="s">
        <v>36</v>
      </c>
      <c r="G111" s="539" t="s">
        <v>714</v>
      </c>
      <c r="H111" s="323">
        <v>32.0</v>
      </c>
      <c r="I111" s="328" t="s">
        <v>202</v>
      </c>
      <c r="J111" s="36" t="s">
        <v>149</v>
      </c>
      <c r="K111" s="36">
        <v>82.5</v>
      </c>
    </row>
    <row r="112">
      <c r="A112" s="36">
        <v>11.0</v>
      </c>
      <c r="B112" s="36" t="s">
        <v>115</v>
      </c>
      <c r="C112" s="36" t="s">
        <v>149</v>
      </c>
      <c r="D112" s="36">
        <v>92.5</v>
      </c>
      <c r="E112" s="389" t="s">
        <v>36</v>
      </c>
      <c r="F112" s="539" t="s">
        <v>37</v>
      </c>
      <c r="G112" s="539" t="s">
        <v>714</v>
      </c>
      <c r="H112" s="323">
        <v>31.0</v>
      </c>
      <c r="I112" s="328" t="s">
        <v>202</v>
      </c>
      <c r="J112" s="36" t="s">
        <v>149</v>
      </c>
      <c r="K112" s="36">
        <v>85.0</v>
      </c>
    </row>
    <row r="113">
      <c r="A113" s="36">
        <v>12.0</v>
      </c>
      <c r="B113" s="36" t="s">
        <v>115</v>
      </c>
      <c r="C113" s="36" t="s">
        <v>149</v>
      </c>
      <c r="D113" s="36">
        <v>90.0</v>
      </c>
      <c r="E113" s="539" t="s">
        <v>41</v>
      </c>
      <c r="F113" s="389" t="s">
        <v>40</v>
      </c>
      <c r="G113" s="539" t="s">
        <v>715</v>
      </c>
      <c r="H113" s="323">
        <v>23.0</v>
      </c>
      <c r="I113" s="328" t="s">
        <v>202</v>
      </c>
      <c r="J113" s="36" t="s">
        <v>149</v>
      </c>
      <c r="K113" s="36">
        <v>85.0</v>
      </c>
    </row>
    <row r="114">
      <c r="A114" s="36">
        <v>13.0</v>
      </c>
      <c r="B114" s="36" t="s">
        <v>115</v>
      </c>
      <c r="C114" s="36" t="s">
        <v>149</v>
      </c>
      <c r="D114" s="36">
        <v>95.0</v>
      </c>
      <c r="E114" s="389" t="s">
        <v>40</v>
      </c>
      <c r="F114" s="539" t="s">
        <v>41</v>
      </c>
      <c r="G114" s="539" t="s">
        <v>715</v>
      </c>
      <c r="H114" s="323">
        <v>22.0</v>
      </c>
      <c r="I114" s="328" t="s">
        <v>202</v>
      </c>
      <c r="J114" s="36" t="s">
        <v>149</v>
      </c>
      <c r="K114" s="36">
        <v>82.5</v>
      </c>
    </row>
    <row r="115">
      <c r="A115" s="36">
        <v>14.0</v>
      </c>
      <c r="B115" s="36" t="s">
        <v>115</v>
      </c>
      <c r="C115" s="36" t="s">
        <v>149</v>
      </c>
      <c r="D115" s="36">
        <v>35.0</v>
      </c>
      <c r="E115" s="539" t="s">
        <v>37</v>
      </c>
      <c r="F115" s="389" t="s">
        <v>36</v>
      </c>
      <c r="G115" s="539" t="s">
        <v>714</v>
      </c>
      <c r="H115" s="323">
        <v>25.0</v>
      </c>
      <c r="I115" s="328" t="s">
        <v>202</v>
      </c>
      <c r="J115" s="36" t="s">
        <v>149</v>
      </c>
      <c r="K115" s="36">
        <v>85.0</v>
      </c>
    </row>
    <row r="116">
      <c r="A116" s="36">
        <v>15.0</v>
      </c>
      <c r="B116" s="36" t="s">
        <v>115</v>
      </c>
      <c r="C116" s="36" t="s">
        <v>149</v>
      </c>
      <c r="D116" s="36">
        <v>95.0</v>
      </c>
      <c r="E116" s="389" t="s">
        <v>36</v>
      </c>
      <c r="F116" s="539" t="s">
        <v>37</v>
      </c>
      <c r="G116" s="539" t="s">
        <v>714</v>
      </c>
      <c r="H116" s="323">
        <v>24.0</v>
      </c>
      <c r="I116" s="328" t="s">
        <v>202</v>
      </c>
      <c r="J116" s="36" t="s">
        <v>149</v>
      </c>
      <c r="K116" s="36">
        <v>62.5</v>
      </c>
    </row>
    <row r="117">
      <c r="A117" s="36">
        <v>16.0</v>
      </c>
      <c r="B117" s="36" t="s">
        <v>115</v>
      </c>
      <c r="C117" s="36" t="s">
        <v>149</v>
      </c>
      <c r="D117" s="36">
        <v>80.0</v>
      </c>
      <c r="E117" s="539" t="s">
        <v>41</v>
      </c>
      <c r="F117" s="389" t="s">
        <v>40</v>
      </c>
      <c r="G117" s="539" t="s">
        <v>715</v>
      </c>
      <c r="H117" s="323">
        <v>27.0</v>
      </c>
      <c r="I117" s="328" t="s">
        <v>202</v>
      </c>
      <c r="J117" s="36" t="s">
        <v>149</v>
      </c>
      <c r="K117" s="36">
        <v>67.5</v>
      </c>
    </row>
    <row r="118">
      <c r="A118" s="36">
        <v>17.0</v>
      </c>
      <c r="B118" s="36" t="s">
        <v>115</v>
      </c>
      <c r="C118" s="36" t="s">
        <v>149</v>
      </c>
      <c r="D118" s="36">
        <v>65.0</v>
      </c>
      <c r="E118" s="389" t="s">
        <v>40</v>
      </c>
      <c r="F118" s="539" t="s">
        <v>41</v>
      </c>
      <c r="G118" s="539" t="s">
        <v>715</v>
      </c>
      <c r="H118" s="323">
        <v>26.0</v>
      </c>
      <c r="I118" s="328" t="s">
        <v>202</v>
      </c>
      <c r="J118" s="36" t="s">
        <v>149</v>
      </c>
      <c r="K118" s="36">
        <v>80.0</v>
      </c>
    </row>
    <row r="119">
      <c r="A119" s="36">
        <v>18.0</v>
      </c>
      <c r="B119" s="36" t="s">
        <v>115</v>
      </c>
      <c r="C119" s="36" t="s">
        <v>149</v>
      </c>
      <c r="D119" s="36">
        <v>72.5</v>
      </c>
      <c r="E119" s="539" t="s">
        <v>37</v>
      </c>
      <c r="F119" s="389" t="s">
        <v>36</v>
      </c>
      <c r="G119" s="539" t="s">
        <v>714</v>
      </c>
      <c r="H119" s="323">
        <v>29.0</v>
      </c>
      <c r="I119" s="328" t="s">
        <v>202</v>
      </c>
      <c r="J119" s="36" t="s">
        <v>149</v>
      </c>
      <c r="K119" s="36">
        <v>77.5</v>
      </c>
    </row>
    <row r="120">
      <c r="A120" s="36">
        <v>19.0</v>
      </c>
      <c r="B120" s="36" t="s">
        <v>115</v>
      </c>
      <c r="C120" s="36" t="s">
        <v>149</v>
      </c>
      <c r="D120" s="36">
        <v>77.5</v>
      </c>
      <c r="E120" s="389" t="s">
        <v>36</v>
      </c>
      <c r="F120" s="539" t="s">
        <v>37</v>
      </c>
      <c r="G120" s="539" t="s">
        <v>714</v>
      </c>
      <c r="H120" s="323">
        <v>28.0</v>
      </c>
      <c r="I120" s="328" t="s">
        <v>202</v>
      </c>
      <c r="J120" s="36" t="s">
        <v>149</v>
      </c>
      <c r="K120" s="36">
        <v>77.5</v>
      </c>
    </row>
    <row r="121">
      <c r="A121" s="36">
        <v>20.0</v>
      </c>
      <c r="B121" s="36" t="s">
        <v>115</v>
      </c>
      <c r="C121" s="36" t="s">
        <v>149</v>
      </c>
      <c r="D121" s="36">
        <v>77.5</v>
      </c>
      <c r="E121" s="539" t="s">
        <v>41</v>
      </c>
      <c r="F121" s="389" t="s">
        <v>40</v>
      </c>
      <c r="G121" s="539" t="s">
        <v>715</v>
      </c>
      <c r="H121" s="323">
        <v>31.0</v>
      </c>
      <c r="I121" s="328" t="s">
        <v>202</v>
      </c>
      <c r="J121" s="36" t="s">
        <v>149</v>
      </c>
      <c r="K121" s="36">
        <v>40.0</v>
      </c>
    </row>
    <row r="122">
      <c r="A122" s="36">
        <v>21.0</v>
      </c>
      <c r="B122" s="36" t="s">
        <v>115</v>
      </c>
      <c r="C122" s="36" t="s">
        <v>149</v>
      </c>
      <c r="D122" s="36">
        <v>37.5</v>
      </c>
      <c r="E122" s="389" t="s">
        <v>36</v>
      </c>
      <c r="F122" s="539" t="s">
        <v>37</v>
      </c>
      <c r="G122" s="539" t="s">
        <v>714</v>
      </c>
      <c r="H122" s="323">
        <v>32.0</v>
      </c>
      <c r="I122" s="328" t="s">
        <v>202</v>
      </c>
      <c r="J122" s="36" t="s">
        <v>149</v>
      </c>
      <c r="K122" s="36">
        <v>85.0</v>
      </c>
    </row>
    <row r="123">
      <c r="A123" s="36">
        <v>1.0</v>
      </c>
      <c r="B123" s="36" t="s">
        <v>113</v>
      </c>
      <c r="C123" s="36" t="s">
        <v>150</v>
      </c>
      <c r="D123" s="36">
        <v>-0.38</v>
      </c>
      <c r="E123" s="538" t="s">
        <v>40</v>
      </c>
      <c r="F123" s="389" t="s">
        <v>41</v>
      </c>
      <c r="G123" s="538" t="s">
        <v>714</v>
      </c>
      <c r="H123" s="71" t="s">
        <v>138</v>
      </c>
      <c r="I123" s="328" t="s">
        <v>201</v>
      </c>
      <c r="J123" s="36" t="s">
        <v>150</v>
      </c>
      <c r="K123" s="36">
        <v>-0.38</v>
      </c>
    </row>
    <row r="124">
      <c r="A124" s="36">
        <v>2.0</v>
      </c>
      <c r="B124" s="36" t="s">
        <v>113</v>
      </c>
      <c r="C124" s="36" t="s">
        <v>150</v>
      </c>
      <c r="D124" s="36">
        <v>1.25</v>
      </c>
      <c r="E124" s="389" t="s">
        <v>37</v>
      </c>
      <c r="F124" s="538" t="s">
        <v>36</v>
      </c>
      <c r="G124" s="538" t="s">
        <v>715</v>
      </c>
      <c r="H124" s="71" t="s">
        <v>121</v>
      </c>
      <c r="I124" s="328" t="s">
        <v>201</v>
      </c>
      <c r="J124" s="36" t="s">
        <v>150</v>
      </c>
      <c r="K124" s="36">
        <v>1.25</v>
      </c>
    </row>
    <row r="125">
      <c r="A125" s="36">
        <v>4.0</v>
      </c>
      <c r="B125" s="36" t="s">
        <v>113</v>
      </c>
      <c r="C125" s="36" t="s">
        <v>150</v>
      </c>
      <c r="D125" s="36">
        <v>-0.25</v>
      </c>
      <c r="E125" s="389" t="s">
        <v>41</v>
      </c>
      <c r="F125" s="538" t="s">
        <v>40</v>
      </c>
      <c r="G125" s="538" t="s">
        <v>714</v>
      </c>
      <c r="H125" s="71" t="s">
        <v>122</v>
      </c>
      <c r="I125" s="328" t="s">
        <v>201</v>
      </c>
      <c r="J125" s="36" t="s">
        <v>150</v>
      </c>
      <c r="K125" s="36">
        <v>-0.25</v>
      </c>
    </row>
    <row r="126">
      <c r="A126" s="36">
        <v>5.0</v>
      </c>
      <c r="B126" s="36" t="s">
        <v>113</v>
      </c>
      <c r="C126" s="36" t="s">
        <v>150</v>
      </c>
      <c r="D126" s="36">
        <v>-0.25</v>
      </c>
      <c r="E126" s="538" t="s">
        <v>40</v>
      </c>
      <c r="F126" s="389" t="s">
        <v>41</v>
      </c>
      <c r="G126" s="538" t="s">
        <v>714</v>
      </c>
      <c r="H126" s="71" t="s">
        <v>124</v>
      </c>
      <c r="I126" s="328" t="s">
        <v>201</v>
      </c>
      <c r="J126" s="36" t="s">
        <v>150</v>
      </c>
      <c r="K126" s="36">
        <v>2.63</v>
      </c>
    </row>
    <row r="127">
      <c r="A127" s="36">
        <v>6.0</v>
      </c>
      <c r="B127" s="36" t="s">
        <v>113</v>
      </c>
      <c r="C127" s="36" t="s">
        <v>150</v>
      </c>
      <c r="D127" s="36">
        <v>2.63</v>
      </c>
      <c r="E127" s="389" t="s">
        <v>37</v>
      </c>
      <c r="F127" s="538" t="s">
        <v>36</v>
      </c>
      <c r="G127" s="538" t="s">
        <v>715</v>
      </c>
      <c r="H127" s="71" t="s">
        <v>123</v>
      </c>
      <c r="I127" s="328" t="s">
        <v>201</v>
      </c>
      <c r="J127" s="36" t="s">
        <v>150</v>
      </c>
      <c r="K127" s="36">
        <v>-0.25</v>
      </c>
    </row>
    <row r="128">
      <c r="A128" s="36">
        <v>7.0</v>
      </c>
      <c r="B128" s="36" t="s">
        <v>113</v>
      </c>
      <c r="C128" s="36" t="s">
        <v>150</v>
      </c>
      <c r="D128" s="36">
        <v>1.38</v>
      </c>
      <c r="E128" s="538" t="s">
        <v>36</v>
      </c>
      <c r="F128" s="389" t="s">
        <v>37</v>
      </c>
      <c r="G128" s="538" t="s">
        <v>715</v>
      </c>
      <c r="H128" s="71" t="s">
        <v>125</v>
      </c>
      <c r="I128" s="328" t="s">
        <v>201</v>
      </c>
      <c r="J128" s="36" t="s">
        <v>150</v>
      </c>
      <c r="K128" s="36">
        <v>1.38</v>
      </c>
    </row>
    <row r="129">
      <c r="A129" s="36">
        <v>8.0</v>
      </c>
      <c r="B129" s="36" t="s">
        <v>113</v>
      </c>
      <c r="C129" s="36" t="s">
        <v>150</v>
      </c>
      <c r="D129" s="36">
        <v>1.88</v>
      </c>
      <c r="E129" s="389" t="s">
        <v>41</v>
      </c>
      <c r="F129" s="538" t="s">
        <v>40</v>
      </c>
      <c r="G129" s="538" t="s">
        <v>714</v>
      </c>
      <c r="H129" s="71" t="s">
        <v>126</v>
      </c>
      <c r="I129" s="328" t="s">
        <v>201</v>
      </c>
      <c r="J129" s="36" t="s">
        <v>150</v>
      </c>
      <c r="K129" s="36">
        <v>1.88</v>
      </c>
    </row>
    <row r="130">
      <c r="A130" s="36">
        <v>9.0</v>
      </c>
      <c r="B130" s="36" t="s">
        <v>113</v>
      </c>
      <c r="C130" s="36" t="s">
        <v>150</v>
      </c>
      <c r="D130" s="36">
        <v>0.38</v>
      </c>
      <c r="E130" s="538" t="s">
        <v>40</v>
      </c>
      <c r="F130" s="389" t="s">
        <v>41</v>
      </c>
      <c r="G130" s="538" t="s">
        <v>714</v>
      </c>
      <c r="H130" s="51">
        <v>10.0</v>
      </c>
      <c r="I130" s="328" t="s">
        <v>201</v>
      </c>
      <c r="J130" s="36" t="s">
        <v>150</v>
      </c>
      <c r="K130" s="36">
        <v>0.5</v>
      </c>
    </row>
    <row r="131">
      <c r="A131" s="36">
        <v>10.0</v>
      </c>
      <c r="B131" s="36" t="s">
        <v>113</v>
      </c>
      <c r="C131" s="36" t="s">
        <v>150</v>
      </c>
      <c r="D131" s="36">
        <v>0.5</v>
      </c>
      <c r="E131" s="389" t="s">
        <v>37</v>
      </c>
      <c r="F131" s="538" t="s">
        <v>36</v>
      </c>
      <c r="G131" s="538" t="s">
        <v>715</v>
      </c>
      <c r="H131" s="71" t="s">
        <v>127</v>
      </c>
      <c r="I131" s="328" t="s">
        <v>201</v>
      </c>
      <c r="J131" s="36" t="s">
        <v>150</v>
      </c>
      <c r="K131" s="36">
        <v>0.38</v>
      </c>
    </row>
    <row r="132">
      <c r="A132" s="36">
        <v>11.0</v>
      </c>
      <c r="B132" s="36" t="s">
        <v>113</v>
      </c>
      <c r="C132" s="36" t="s">
        <v>150</v>
      </c>
      <c r="D132" s="36">
        <v>0.63</v>
      </c>
      <c r="E132" s="538" t="s">
        <v>36</v>
      </c>
      <c r="F132" s="389" t="s">
        <v>37</v>
      </c>
      <c r="G132" s="538" t="s">
        <v>715</v>
      </c>
      <c r="H132" s="51">
        <v>11.0</v>
      </c>
      <c r="I132" s="328" t="s">
        <v>201</v>
      </c>
      <c r="J132" s="36" t="s">
        <v>150</v>
      </c>
      <c r="K132" s="36">
        <v>0.63</v>
      </c>
    </row>
    <row r="133">
      <c r="A133" s="36">
        <v>12.0</v>
      </c>
      <c r="B133" s="36" t="s">
        <v>113</v>
      </c>
      <c r="C133" s="36" t="s">
        <v>150</v>
      </c>
      <c r="D133" s="36">
        <v>1.25</v>
      </c>
      <c r="E133" s="389" t="s">
        <v>41</v>
      </c>
      <c r="F133" s="538" t="s">
        <v>40</v>
      </c>
      <c r="G133" s="538" t="s">
        <v>714</v>
      </c>
      <c r="H133" s="51">
        <v>12.0</v>
      </c>
      <c r="I133" s="328" t="s">
        <v>201</v>
      </c>
      <c r="J133" s="36" t="s">
        <v>150</v>
      </c>
      <c r="K133" s="36">
        <v>1.25</v>
      </c>
    </row>
    <row r="134">
      <c r="A134" s="36">
        <v>13.0</v>
      </c>
      <c r="B134" s="36" t="s">
        <v>113</v>
      </c>
      <c r="C134" s="36" t="s">
        <v>150</v>
      </c>
      <c r="D134" s="36">
        <v>2.25</v>
      </c>
      <c r="E134" s="538" t="s">
        <v>40</v>
      </c>
      <c r="F134" s="389" t="s">
        <v>41</v>
      </c>
      <c r="G134" s="538" t="s">
        <v>714</v>
      </c>
      <c r="H134" s="51">
        <v>14.0</v>
      </c>
      <c r="I134" s="328" t="s">
        <v>201</v>
      </c>
      <c r="J134" s="36" t="s">
        <v>150</v>
      </c>
      <c r="K134" s="36">
        <v>1.0</v>
      </c>
    </row>
    <row r="135">
      <c r="A135" s="36">
        <v>14.0</v>
      </c>
      <c r="B135" s="36" t="s">
        <v>113</v>
      </c>
      <c r="C135" s="36" t="s">
        <v>150</v>
      </c>
      <c r="D135" s="36">
        <v>1.0</v>
      </c>
      <c r="E135" s="389" t="s">
        <v>37</v>
      </c>
      <c r="F135" s="538" t="s">
        <v>36</v>
      </c>
      <c r="G135" s="538" t="s">
        <v>715</v>
      </c>
      <c r="H135" s="51">
        <v>13.0</v>
      </c>
      <c r="I135" s="328" t="s">
        <v>201</v>
      </c>
      <c r="J135" s="36" t="s">
        <v>150</v>
      </c>
      <c r="K135" s="36">
        <v>2.25</v>
      </c>
    </row>
    <row r="136">
      <c r="A136" s="36">
        <v>15.0</v>
      </c>
      <c r="B136" s="36" t="s">
        <v>113</v>
      </c>
      <c r="C136" s="36" t="s">
        <v>150</v>
      </c>
      <c r="D136" s="36">
        <v>1.88</v>
      </c>
      <c r="E136" s="538" t="s">
        <v>36</v>
      </c>
      <c r="F136" s="389" t="s">
        <v>37</v>
      </c>
      <c r="G136" s="538" t="s">
        <v>715</v>
      </c>
      <c r="H136" s="51">
        <v>15.0</v>
      </c>
      <c r="I136" s="328" t="s">
        <v>201</v>
      </c>
      <c r="J136" s="36" t="s">
        <v>150</v>
      </c>
      <c r="K136" s="36">
        <v>1.88</v>
      </c>
    </row>
    <row r="137">
      <c r="A137" s="36">
        <v>16.0</v>
      </c>
      <c r="B137" s="36" t="s">
        <v>113</v>
      </c>
      <c r="C137" s="36" t="s">
        <v>150</v>
      </c>
      <c r="D137" s="36">
        <v>0.75</v>
      </c>
      <c r="E137" s="389" t="s">
        <v>41</v>
      </c>
      <c r="F137" s="538" t="s">
        <v>40</v>
      </c>
      <c r="G137" s="538" t="s">
        <v>714</v>
      </c>
      <c r="H137" s="51">
        <v>16.0</v>
      </c>
      <c r="I137" s="328" t="s">
        <v>201</v>
      </c>
      <c r="J137" s="36" t="s">
        <v>150</v>
      </c>
      <c r="K137" s="36">
        <v>0.75</v>
      </c>
    </row>
    <row r="138">
      <c r="A138" s="36">
        <v>17.0</v>
      </c>
      <c r="B138" s="36" t="s">
        <v>113</v>
      </c>
      <c r="C138" s="36" t="s">
        <v>150</v>
      </c>
      <c r="D138" s="36">
        <v>0.63</v>
      </c>
      <c r="E138" s="538" t="s">
        <v>40</v>
      </c>
      <c r="F138" s="389" t="s">
        <v>41</v>
      </c>
      <c r="G138" s="538" t="s">
        <v>714</v>
      </c>
      <c r="H138" s="51">
        <v>18.0</v>
      </c>
      <c r="I138" s="328" t="s">
        <v>201</v>
      </c>
      <c r="J138" s="36" t="s">
        <v>150</v>
      </c>
      <c r="K138" s="36">
        <v>1.25</v>
      </c>
    </row>
    <row r="139">
      <c r="A139" s="36">
        <v>18.0</v>
      </c>
      <c r="B139" s="36" t="s">
        <v>113</v>
      </c>
      <c r="C139" s="36" t="s">
        <v>150</v>
      </c>
      <c r="D139" s="36">
        <v>1.25</v>
      </c>
      <c r="E139" s="389" t="s">
        <v>37</v>
      </c>
      <c r="F139" s="538" t="s">
        <v>36</v>
      </c>
      <c r="G139" s="538" t="s">
        <v>715</v>
      </c>
      <c r="H139" s="51">
        <v>17.0</v>
      </c>
      <c r="I139" s="328" t="s">
        <v>201</v>
      </c>
      <c r="J139" s="36" t="s">
        <v>150</v>
      </c>
      <c r="K139" s="36">
        <v>0.63</v>
      </c>
    </row>
    <row r="140">
      <c r="A140" s="36">
        <v>19.0</v>
      </c>
      <c r="B140" s="36" t="s">
        <v>113</v>
      </c>
      <c r="C140" s="36" t="s">
        <v>150</v>
      </c>
      <c r="D140" s="36">
        <v>1.63</v>
      </c>
      <c r="E140" s="538" t="s">
        <v>36</v>
      </c>
      <c r="F140" s="389" t="s">
        <v>37</v>
      </c>
      <c r="G140" s="538" t="s">
        <v>715</v>
      </c>
      <c r="H140" s="51">
        <v>19.0</v>
      </c>
      <c r="I140" s="328" t="s">
        <v>201</v>
      </c>
      <c r="J140" s="36" t="s">
        <v>150</v>
      </c>
      <c r="K140" s="36">
        <v>1.63</v>
      </c>
    </row>
    <row r="141">
      <c r="A141" s="36">
        <v>20.0</v>
      </c>
      <c r="B141" s="36" t="s">
        <v>113</v>
      </c>
      <c r="C141" s="36" t="s">
        <v>150</v>
      </c>
      <c r="D141" s="36">
        <v>1.63</v>
      </c>
      <c r="E141" s="389" t="s">
        <v>41</v>
      </c>
      <c r="F141" s="538" t="s">
        <v>40</v>
      </c>
      <c r="G141" s="538" t="s">
        <v>714</v>
      </c>
      <c r="H141" s="51">
        <v>20.0</v>
      </c>
      <c r="I141" s="328" t="s">
        <v>201</v>
      </c>
      <c r="J141" s="36" t="s">
        <v>150</v>
      </c>
      <c r="K141" s="36">
        <v>1.63</v>
      </c>
    </row>
    <row r="142">
      <c r="A142" s="36">
        <v>21.0</v>
      </c>
      <c r="B142" s="36" t="s">
        <v>113</v>
      </c>
      <c r="C142" s="36" t="s">
        <v>150</v>
      </c>
      <c r="D142" s="36">
        <v>1.25</v>
      </c>
      <c r="E142" s="538" t="s">
        <v>36</v>
      </c>
      <c r="F142" s="389" t="s">
        <v>37</v>
      </c>
      <c r="G142" s="538" t="s">
        <v>715</v>
      </c>
      <c r="H142" s="51">
        <v>21.0</v>
      </c>
      <c r="I142" s="328" t="s">
        <v>201</v>
      </c>
      <c r="J142" s="36" t="s">
        <v>150</v>
      </c>
      <c r="K142" s="36">
        <v>1.25</v>
      </c>
    </row>
    <row r="143">
      <c r="A143" s="36">
        <v>1.0</v>
      </c>
      <c r="B143" s="36" t="s">
        <v>115</v>
      </c>
      <c r="C143" s="36" t="s">
        <v>150</v>
      </c>
      <c r="D143" s="36">
        <v>-0.25</v>
      </c>
      <c r="E143" s="389" t="s">
        <v>40</v>
      </c>
      <c r="F143" s="539" t="s">
        <v>41</v>
      </c>
      <c r="G143" s="539" t="s">
        <v>715</v>
      </c>
      <c r="H143" s="323">
        <v>22.0</v>
      </c>
      <c r="I143" s="328" t="s">
        <v>202</v>
      </c>
      <c r="J143" s="36" t="s">
        <v>150</v>
      </c>
      <c r="K143" s="36">
        <v>1.0</v>
      </c>
    </row>
    <row r="144">
      <c r="A144" s="36">
        <v>2.0</v>
      </c>
      <c r="B144" s="36" t="s">
        <v>115</v>
      </c>
      <c r="C144" s="36" t="s">
        <v>150</v>
      </c>
      <c r="D144" s="36">
        <v>1.5</v>
      </c>
      <c r="E144" s="539" t="s">
        <v>37</v>
      </c>
      <c r="F144" s="389" t="s">
        <v>36</v>
      </c>
      <c r="G144" s="539" t="s">
        <v>714</v>
      </c>
      <c r="H144" s="323">
        <v>23.0</v>
      </c>
      <c r="I144" s="328" t="s">
        <v>202</v>
      </c>
      <c r="J144" s="36" t="s">
        <v>150</v>
      </c>
      <c r="K144" s="36">
        <v>1.25</v>
      </c>
    </row>
    <row r="145">
      <c r="A145" s="36">
        <v>4.0</v>
      </c>
      <c r="B145" s="36" t="s">
        <v>115</v>
      </c>
      <c r="C145" s="36" t="s">
        <v>150</v>
      </c>
      <c r="D145" s="36">
        <v>0.5</v>
      </c>
      <c r="E145" s="539" t="s">
        <v>41</v>
      </c>
      <c r="F145" s="389" t="s">
        <v>40</v>
      </c>
      <c r="G145" s="539" t="s">
        <v>715</v>
      </c>
      <c r="H145" s="323">
        <v>24.0</v>
      </c>
      <c r="I145" s="328" t="s">
        <v>202</v>
      </c>
      <c r="J145" s="36" t="s">
        <v>150</v>
      </c>
      <c r="K145" s="36">
        <v>1.88</v>
      </c>
    </row>
    <row r="146">
      <c r="A146" s="36">
        <v>5.0</v>
      </c>
      <c r="B146" s="36" t="s">
        <v>115</v>
      </c>
      <c r="C146" s="36" t="s">
        <v>150</v>
      </c>
      <c r="D146" s="36">
        <v>0.38</v>
      </c>
      <c r="E146" s="389" t="s">
        <v>40</v>
      </c>
      <c r="F146" s="539" t="s">
        <v>41</v>
      </c>
      <c r="G146" s="539" t="s">
        <v>715</v>
      </c>
      <c r="H146" s="323">
        <v>25.0</v>
      </c>
      <c r="I146" s="328" t="s">
        <v>202</v>
      </c>
      <c r="J146" s="36" t="s">
        <v>150</v>
      </c>
      <c r="K146" s="36">
        <v>0.88</v>
      </c>
    </row>
    <row r="147">
      <c r="A147" s="36">
        <v>6.0</v>
      </c>
      <c r="B147" s="36" t="s">
        <v>115</v>
      </c>
      <c r="C147" s="36" t="s">
        <v>150</v>
      </c>
      <c r="D147" s="36">
        <v>2.63</v>
      </c>
      <c r="E147" s="539" t="s">
        <v>37</v>
      </c>
      <c r="F147" s="389" t="s">
        <v>36</v>
      </c>
      <c r="G147" s="539" t="s">
        <v>714</v>
      </c>
      <c r="H147" s="323">
        <v>26.0</v>
      </c>
      <c r="I147" s="328" t="s">
        <v>202</v>
      </c>
      <c r="J147" s="36" t="s">
        <v>150</v>
      </c>
      <c r="K147" s="36">
        <v>1.5</v>
      </c>
    </row>
    <row r="148">
      <c r="A148" s="36">
        <v>7.0</v>
      </c>
      <c r="B148" s="36" t="s">
        <v>115</v>
      </c>
      <c r="C148" s="36" t="s">
        <v>150</v>
      </c>
      <c r="D148" s="36">
        <v>0.0</v>
      </c>
      <c r="E148" s="389" t="s">
        <v>36</v>
      </c>
      <c r="F148" s="539" t="s">
        <v>37</v>
      </c>
      <c r="G148" s="539" t="s">
        <v>714</v>
      </c>
      <c r="H148" s="323">
        <v>27.0</v>
      </c>
      <c r="I148" s="328" t="s">
        <v>202</v>
      </c>
      <c r="J148" s="36" t="s">
        <v>150</v>
      </c>
      <c r="K148" s="36">
        <v>2.88</v>
      </c>
    </row>
    <row r="149">
      <c r="A149" s="36">
        <v>8.0</v>
      </c>
      <c r="B149" s="36" t="s">
        <v>115</v>
      </c>
      <c r="C149" s="36" t="s">
        <v>150</v>
      </c>
      <c r="D149" s="36">
        <v>1.25</v>
      </c>
      <c r="E149" s="539" t="s">
        <v>41</v>
      </c>
      <c r="F149" s="389" t="s">
        <v>40</v>
      </c>
      <c r="G149" s="539" t="s">
        <v>715</v>
      </c>
      <c r="H149" s="323">
        <v>28.0</v>
      </c>
      <c r="I149" s="328" t="s">
        <v>202</v>
      </c>
      <c r="J149" s="36" t="s">
        <v>150</v>
      </c>
      <c r="K149" s="36">
        <v>1.75</v>
      </c>
    </row>
    <row r="150">
      <c r="A150" s="36">
        <v>9.0</v>
      </c>
      <c r="B150" s="36" t="s">
        <v>115</v>
      </c>
      <c r="C150" s="36" t="s">
        <v>150</v>
      </c>
      <c r="D150" s="36">
        <v>-1.25</v>
      </c>
      <c r="E150" s="389" t="s">
        <v>40</v>
      </c>
      <c r="F150" s="539" t="s">
        <v>41</v>
      </c>
      <c r="G150" s="539" t="s">
        <v>715</v>
      </c>
      <c r="H150" s="323">
        <v>29.0</v>
      </c>
      <c r="I150" s="328" t="s">
        <v>202</v>
      </c>
      <c r="J150" s="36" t="s">
        <v>150</v>
      </c>
      <c r="K150" s="36">
        <v>0.75</v>
      </c>
    </row>
    <row r="151">
      <c r="A151" s="36">
        <v>10.0</v>
      </c>
      <c r="B151" s="36" t="s">
        <v>115</v>
      </c>
      <c r="C151" s="36" t="s">
        <v>150</v>
      </c>
      <c r="D151" s="36">
        <v>0.88</v>
      </c>
      <c r="E151" s="539" t="s">
        <v>37</v>
      </c>
      <c r="F151" s="389" t="s">
        <v>36</v>
      </c>
      <c r="G151" s="539" t="s">
        <v>714</v>
      </c>
      <c r="H151" s="323">
        <v>32.0</v>
      </c>
      <c r="I151" s="328" t="s">
        <v>202</v>
      </c>
      <c r="J151" s="36" t="s">
        <v>150</v>
      </c>
      <c r="K151" s="36">
        <v>0.63</v>
      </c>
    </row>
    <row r="152">
      <c r="A152" s="36">
        <v>11.0</v>
      </c>
      <c r="B152" s="36" t="s">
        <v>115</v>
      </c>
      <c r="C152" s="36" t="s">
        <v>150</v>
      </c>
      <c r="D152" s="36">
        <v>-0.25</v>
      </c>
      <c r="E152" s="389" t="s">
        <v>36</v>
      </c>
      <c r="F152" s="539" t="s">
        <v>37</v>
      </c>
      <c r="G152" s="539" t="s">
        <v>714</v>
      </c>
      <c r="H152" s="323">
        <v>31.0</v>
      </c>
      <c r="I152" s="328" t="s">
        <v>202</v>
      </c>
      <c r="J152" s="36" t="s">
        <v>150</v>
      </c>
      <c r="K152" s="36">
        <v>0.63</v>
      </c>
    </row>
    <row r="153">
      <c r="A153" s="36">
        <v>12.0</v>
      </c>
      <c r="B153" s="36" t="s">
        <v>115</v>
      </c>
      <c r="C153" s="36" t="s">
        <v>150</v>
      </c>
      <c r="D153" s="36">
        <v>1.25</v>
      </c>
      <c r="E153" s="539" t="s">
        <v>41</v>
      </c>
      <c r="F153" s="389" t="s">
        <v>40</v>
      </c>
      <c r="G153" s="539" t="s">
        <v>715</v>
      </c>
      <c r="H153" s="323">
        <v>23.0</v>
      </c>
      <c r="I153" s="328" t="s">
        <v>202</v>
      </c>
      <c r="J153" s="36" t="s">
        <v>150</v>
      </c>
      <c r="K153" s="36">
        <v>1.13</v>
      </c>
    </row>
    <row r="154">
      <c r="A154" s="36">
        <v>13.0</v>
      </c>
      <c r="B154" s="36" t="s">
        <v>115</v>
      </c>
      <c r="C154" s="36" t="s">
        <v>150</v>
      </c>
      <c r="D154" s="36">
        <v>2.25</v>
      </c>
      <c r="E154" s="389" t="s">
        <v>40</v>
      </c>
      <c r="F154" s="539" t="s">
        <v>41</v>
      </c>
      <c r="G154" s="539" t="s">
        <v>715</v>
      </c>
      <c r="H154" s="323">
        <v>22.0</v>
      </c>
      <c r="I154" s="328" t="s">
        <v>202</v>
      </c>
      <c r="J154" s="36" t="s">
        <v>150</v>
      </c>
      <c r="K154" s="36">
        <v>1.38</v>
      </c>
    </row>
    <row r="155">
      <c r="A155" s="36">
        <v>14.0</v>
      </c>
      <c r="B155" s="36" t="s">
        <v>115</v>
      </c>
      <c r="C155" s="36" t="s">
        <v>150</v>
      </c>
      <c r="D155" s="36">
        <v>0.38</v>
      </c>
      <c r="E155" s="539" t="s">
        <v>37</v>
      </c>
      <c r="F155" s="389" t="s">
        <v>36</v>
      </c>
      <c r="G155" s="539" t="s">
        <v>714</v>
      </c>
      <c r="H155" s="323">
        <v>25.0</v>
      </c>
      <c r="I155" s="328" t="s">
        <v>202</v>
      </c>
      <c r="J155" s="36" t="s">
        <v>150</v>
      </c>
      <c r="K155" s="36">
        <v>0.88</v>
      </c>
    </row>
    <row r="156">
      <c r="A156" s="36">
        <v>15.0</v>
      </c>
      <c r="B156" s="36" t="s">
        <v>115</v>
      </c>
      <c r="C156" s="36" t="s">
        <v>150</v>
      </c>
      <c r="D156" s="36">
        <v>1.63</v>
      </c>
      <c r="E156" s="389" t="s">
        <v>36</v>
      </c>
      <c r="F156" s="539" t="s">
        <v>37</v>
      </c>
      <c r="G156" s="539" t="s">
        <v>714</v>
      </c>
      <c r="H156" s="323">
        <v>24.0</v>
      </c>
      <c r="I156" s="328" t="s">
        <v>202</v>
      </c>
      <c r="J156" s="36" t="s">
        <v>150</v>
      </c>
      <c r="K156" s="36">
        <v>1.63</v>
      </c>
    </row>
    <row r="157">
      <c r="A157" s="36">
        <v>16.0</v>
      </c>
      <c r="B157" s="36" t="s">
        <v>115</v>
      </c>
      <c r="C157" s="36" t="s">
        <v>150</v>
      </c>
      <c r="D157" s="36">
        <v>0.63</v>
      </c>
      <c r="E157" s="539" t="s">
        <v>41</v>
      </c>
      <c r="F157" s="389" t="s">
        <v>40</v>
      </c>
      <c r="G157" s="539" t="s">
        <v>715</v>
      </c>
      <c r="H157" s="323">
        <v>27.0</v>
      </c>
      <c r="I157" s="328" t="s">
        <v>202</v>
      </c>
      <c r="J157" s="36" t="s">
        <v>150</v>
      </c>
      <c r="K157" s="36">
        <v>2.63</v>
      </c>
    </row>
    <row r="158">
      <c r="A158" s="36">
        <v>17.0</v>
      </c>
      <c r="B158" s="36" t="s">
        <v>115</v>
      </c>
      <c r="C158" s="36" t="s">
        <v>150</v>
      </c>
      <c r="D158" s="36">
        <v>-0.38</v>
      </c>
      <c r="E158" s="389" t="s">
        <v>40</v>
      </c>
      <c r="F158" s="539" t="s">
        <v>41</v>
      </c>
      <c r="G158" s="539" t="s">
        <v>715</v>
      </c>
      <c r="H158" s="323">
        <v>26.0</v>
      </c>
      <c r="I158" s="328" t="s">
        <v>202</v>
      </c>
      <c r="J158" s="36" t="s">
        <v>150</v>
      </c>
      <c r="K158" s="36">
        <v>1.13</v>
      </c>
    </row>
    <row r="159">
      <c r="A159" s="36">
        <v>18.0</v>
      </c>
      <c r="B159" s="36" t="s">
        <v>115</v>
      </c>
      <c r="C159" s="36" t="s">
        <v>150</v>
      </c>
      <c r="D159" s="36">
        <v>1.0</v>
      </c>
      <c r="E159" s="539" t="s">
        <v>37</v>
      </c>
      <c r="F159" s="389" t="s">
        <v>36</v>
      </c>
      <c r="G159" s="539" t="s">
        <v>714</v>
      </c>
      <c r="H159" s="323">
        <v>29.0</v>
      </c>
      <c r="I159" s="328" t="s">
        <v>202</v>
      </c>
      <c r="J159" s="36" t="s">
        <v>150</v>
      </c>
      <c r="K159" s="36">
        <v>0.13</v>
      </c>
    </row>
    <row r="160">
      <c r="A160" s="36">
        <v>19.0</v>
      </c>
      <c r="B160" s="36" t="s">
        <v>115</v>
      </c>
      <c r="C160" s="36" t="s">
        <v>150</v>
      </c>
      <c r="D160" s="36">
        <v>2.13</v>
      </c>
      <c r="E160" s="389" t="s">
        <v>36</v>
      </c>
      <c r="F160" s="539" t="s">
        <v>37</v>
      </c>
      <c r="G160" s="539" t="s">
        <v>714</v>
      </c>
      <c r="H160" s="323">
        <v>28.0</v>
      </c>
      <c r="I160" s="328" t="s">
        <v>202</v>
      </c>
      <c r="J160" s="36" t="s">
        <v>150</v>
      </c>
      <c r="K160" s="36">
        <v>1.13</v>
      </c>
    </row>
    <row r="161">
      <c r="A161" s="36">
        <v>20.0</v>
      </c>
      <c r="B161" s="36" t="s">
        <v>115</v>
      </c>
      <c r="C161" s="36" t="s">
        <v>150</v>
      </c>
      <c r="D161" s="36">
        <v>1.0</v>
      </c>
      <c r="E161" s="539" t="s">
        <v>41</v>
      </c>
      <c r="F161" s="389" t="s">
        <v>40</v>
      </c>
      <c r="G161" s="539" t="s">
        <v>715</v>
      </c>
      <c r="H161" s="323">
        <v>31.0</v>
      </c>
      <c r="I161" s="328" t="s">
        <v>202</v>
      </c>
      <c r="J161" s="36" t="s">
        <v>150</v>
      </c>
      <c r="K161" s="36">
        <v>-1.25</v>
      </c>
    </row>
    <row r="162">
      <c r="A162" s="36">
        <v>21.0</v>
      </c>
      <c r="B162" s="36" t="s">
        <v>115</v>
      </c>
      <c r="C162" s="36" t="s">
        <v>150</v>
      </c>
      <c r="D162" s="36">
        <v>-1.0</v>
      </c>
      <c r="E162" s="389" t="s">
        <v>36</v>
      </c>
      <c r="F162" s="539" t="s">
        <v>37</v>
      </c>
      <c r="G162" s="539" t="s">
        <v>714</v>
      </c>
      <c r="H162" s="323">
        <v>32.0</v>
      </c>
      <c r="I162" s="328" t="s">
        <v>202</v>
      </c>
      <c r="J162" s="36" t="s">
        <v>150</v>
      </c>
      <c r="K162" s="36">
        <v>1.38</v>
      </c>
    </row>
    <row r="163">
      <c r="A163" s="36">
        <v>1.0</v>
      </c>
      <c r="B163" s="36" t="s">
        <v>113</v>
      </c>
      <c r="C163" s="36" t="s">
        <v>95</v>
      </c>
      <c r="D163" s="36">
        <v>50.0</v>
      </c>
      <c r="E163" s="538" t="s">
        <v>40</v>
      </c>
      <c r="F163" s="389" t="s">
        <v>41</v>
      </c>
      <c r="G163" s="538" t="s">
        <v>714</v>
      </c>
      <c r="H163" s="71" t="s">
        <v>138</v>
      </c>
      <c r="I163" s="328" t="s">
        <v>201</v>
      </c>
      <c r="J163" s="36" t="s">
        <v>95</v>
      </c>
      <c r="K163" s="36">
        <v>50.0</v>
      </c>
    </row>
    <row r="164">
      <c r="A164" s="36">
        <v>2.0</v>
      </c>
      <c r="B164" s="36" t="s">
        <v>113</v>
      </c>
      <c r="C164" s="36" t="s">
        <v>95</v>
      </c>
      <c r="D164" s="36">
        <v>83.33</v>
      </c>
      <c r="E164" s="389" t="s">
        <v>37</v>
      </c>
      <c r="F164" s="538" t="s">
        <v>36</v>
      </c>
      <c r="G164" s="538" t="s">
        <v>715</v>
      </c>
      <c r="H164" s="71" t="s">
        <v>121</v>
      </c>
      <c r="I164" s="328" t="s">
        <v>201</v>
      </c>
      <c r="J164" s="36" t="s">
        <v>95</v>
      </c>
      <c r="K164" s="36">
        <v>83.33</v>
      </c>
    </row>
    <row r="165">
      <c r="A165" s="36">
        <v>4.0</v>
      </c>
      <c r="B165" s="36" t="s">
        <v>113</v>
      </c>
      <c r="C165" s="36" t="s">
        <v>95</v>
      </c>
      <c r="D165" s="36">
        <v>33.33</v>
      </c>
      <c r="E165" s="389" t="s">
        <v>41</v>
      </c>
      <c r="F165" s="538" t="s">
        <v>40</v>
      </c>
      <c r="G165" s="538" t="s">
        <v>714</v>
      </c>
      <c r="H165" s="71" t="s">
        <v>122</v>
      </c>
      <c r="I165" s="328" t="s">
        <v>201</v>
      </c>
      <c r="J165" s="36" t="s">
        <v>95</v>
      </c>
      <c r="K165" s="36">
        <v>33.33</v>
      </c>
    </row>
    <row r="166">
      <c r="A166" s="36">
        <v>5.0</v>
      </c>
      <c r="B166" s="36" t="s">
        <v>113</v>
      </c>
      <c r="C166" s="36" t="s">
        <v>95</v>
      </c>
      <c r="D166" s="36">
        <v>50.0</v>
      </c>
      <c r="E166" s="538" t="s">
        <v>40</v>
      </c>
      <c r="F166" s="389" t="s">
        <v>41</v>
      </c>
      <c r="G166" s="538" t="s">
        <v>714</v>
      </c>
      <c r="H166" s="71" t="s">
        <v>124</v>
      </c>
      <c r="I166" s="328" t="s">
        <v>201</v>
      </c>
      <c r="J166" s="36" t="s">
        <v>95</v>
      </c>
      <c r="K166" s="36">
        <v>33.33</v>
      </c>
    </row>
    <row r="167">
      <c r="A167" s="36">
        <v>6.0</v>
      </c>
      <c r="B167" s="36" t="s">
        <v>113</v>
      </c>
      <c r="C167" s="36" t="s">
        <v>95</v>
      </c>
      <c r="D167" s="36">
        <v>33.33</v>
      </c>
      <c r="E167" s="389" t="s">
        <v>37</v>
      </c>
      <c r="F167" s="538" t="s">
        <v>36</v>
      </c>
      <c r="G167" s="538" t="s">
        <v>715</v>
      </c>
      <c r="H167" s="71" t="s">
        <v>123</v>
      </c>
      <c r="I167" s="328" t="s">
        <v>201</v>
      </c>
      <c r="J167" s="36" t="s">
        <v>95</v>
      </c>
      <c r="K167" s="36">
        <v>50.0</v>
      </c>
    </row>
    <row r="168">
      <c r="A168" s="36">
        <v>7.0</v>
      </c>
      <c r="B168" s="36" t="s">
        <v>113</v>
      </c>
      <c r="C168" s="36" t="s">
        <v>95</v>
      </c>
      <c r="D168" s="36">
        <v>50.0</v>
      </c>
      <c r="E168" s="538" t="s">
        <v>36</v>
      </c>
      <c r="F168" s="389" t="s">
        <v>37</v>
      </c>
      <c r="G168" s="538" t="s">
        <v>715</v>
      </c>
      <c r="H168" s="71" t="s">
        <v>125</v>
      </c>
      <c r="I168" s="328" t="s">
        <v>201</v>
      </c>
      <c r="J168" s="36" t="s">
        <v>95</v>
      </c>
      <c r="K168" s="36">
        <v>50.0</v>
      </c>
    </row>
    <row r="169">
      <c r="A169" s="36">
        <v>8.0</v>
      </c>
      <c r="B169" s="36" t="s">
        <v>113</v>
      </c>
      <c r="C169" s="36" t="s">
        <v>95</v>
      </c>
      <c r="D169" s="36">
        <v>0.0</v>
      </c>
      <c r="E169" s="389" t="s">
        <v>41</v>
      </c>
      <c r="F169" s="538" t="s">
        <v>40</v>
      </c>
      <c r="G169" s="538" t="s">
        <v>714</v>
      </c>
      <c r="H169" s="71" t="s">
        <v>126</v>
      </c>
      <c r="I169" s="328" t="s">
        <v>201</v>
      </c>
      <c r="J169" s="36" t="s">
        <v>95</v>
      </c>
      <c r="K169" s="36">
        <v>0.0</v>
      </c>
    </row>
    <row r="170">
      <c r="A170" s="36">
        <v>9.0</v>
      </c>
      <c r="B170" s="36" t="s">
        <v>113</v>
      </c>
      <c r="C170" s="36" t="s">
        <v>95</v>
      </c>
      <c r="D170" s="36">
        <v>16.67</v>
      </c>
      <c r="E170" s="538" t="s">
        <v>40</v>
      </c>
      <c r="F170" s="389" t="s">
        <v>41</v>
      </c>
      <c r="G170" s="538" t="s">
        <v>714</v>
      </c>
      <c r="H170" s="51">
        <v>10.0</v>
      </c>
      <c r="I170" s="328" t="s">
        <v>201</v>
      </c>
      <c r="J170" s="36" t="s">
        <v>95</v>
      </c>
      <c r="K170" s="36">
        <v>16.67</v>
      </c>
    </row>
    <row r="171">
      <c r="A171" s="36">
        <v>10.0</v>
      </c>
      <c r="B171" s="36" t="s">
        <v>113</v>
      </c>
      <c r="C171" s="36" t="s">
        <v>95</v>
      </c>
      <c r="D171" s="36">
        <v>16.67</v>
      </c>
      <c r="E171" s="389" t="s">
        <v>37</v>
      </c>
      <c r="F171" s="538" t="s">
        <v>36</v>
      </c>
      <c r="G171" s="538" t="s">
        <v>715</v>
      </c>
      <c r="H171" s="71" t="s">
        <v>127</v>
      </c>
      <c r="I171" s="328" t="s">
        <v>201</v>
      </c>
      <c r="J171" s="36" t="s">
        <v>95</v>
      </c>
      <c r="K171" s="36">
        <v>16.67</v>
      </c>
    </row>
    <row r="172">
      <c r="A172" s="36">
        <v>11.0</v>
      </c>
      <c r="B172" s="36" t="s">
        <v>113</v>
      </c>
      <c r="C172" s="36" t="s">
        <v>95</v>
      </c>
      <c r="D172" s="36">
        <v>33.33</v>
      </c>
      <c r="E172" s="538" t="s">
        <v>36</v>
      </c>
      <c r="F172" s="389" t="s">
        <v>37</v>
      </c>
      <c r="G172" s="538" t="s">
        <v>715</v>
      </c>
      <c r="H172" s="51">
        <v>11.0</v>
      </c>
      <c r="I172" s="328" t="s">
        <v>201</v>
      </c>
      <c r="J172" s="36" t="s">
        <v>95</v>
      </c>
      <c r="K172" s="36">
        <v>33.33</v>
      </c>
    </row>
    <row r="173">
      <c r="A173" s="36">
        <v>12.0</v>
      </c>
      <c r="B173" s="36" t="s">
        <v>113</v>
      </c>
      <c r="C173" s="36" t="s">
        <v>95</v>
      </c>
      <c r="D173" s="36">
        <v>33.33</v>
      </c>
      <c r="E173" s="389" t="s">
        <v>41</v>
      </c>
      <c r="F173" s="538" t="s">
        <v>40</v>
      </c>
      <c r="G173" s="538" t="s">
        <v>714</v>
      </c>
      <c r="H173" s="51">
        <v>12.0</v>
      </c>
      <c r="I173" s="328" t="s">
        <v>201</v>
      </c>
      <c r="J173" s="36" t="s">
        <v>95</v>
      </c>
      <c r="K173" s="36">
        <v>33.33</v>
      </c>
    </row>
    <row r="174">
      <c r="A174" s="36">
        <v>13.0</v>
      </c>
      <c r="B174" s="36" t="s">
        <v>113</v>
      </c>
      <c r="C174" s="36" t="s">
        <v>95</v>
      </c>
      <c r="D174" s="36">
        <v>16.67</v>
      </c>
      <c r="E174" s="538" t="s">
        <v>40</v>
      </c>
      <c r="F174" s="389" t="s">
        <v>41</v>
      </c>
      <c r="G174" s="538" t="s">
        <v>714</v>
      </c>
      <c r="H174" s="51">
        <v>14.0</v>
      </c>
      <c r="I174" s="328" t="s">
        <v>201</v>
      </c>
      <c r="J174" s="36" t="s">
        <v>95</v>
      </c>
      <c r="K174" s="36">
        <v>66.67</v>
      </c>
    </row>
    <row r="175">
      <c r="A175" s="36">
        <v>14.0</v>
      </c>
      <c r="B175" s="36" t="s">
        <v>113</v>
      </c>
      <c r="C175" s="36" t="s">
        <v>95</v>
      </c>
      <c r="D175" s="36">
        <v>66.67</v>
      </c>
      <c r="E175" s="389" t="s">
        <v>37</v>
      </c>
      <c r="F175" s="538" t="s">
        <v>36</v>
      </c>
      <c r="G175" s="538" t="s">
        <v>715</v>
      </c>
      <c r="H175" s="51">
        <v>13.0</v>
      </c>
      <c r="I175" s="328" t="s">
        <v>201</v>
      </c>
      <c r="J175" s="36" t="s">
        <v>95</v>
      </c>
      <c r="K175" s="36">
        <v>16.67</v>
      </c>
    </row>
    <row r="176">
      <c r="A176" s="36">
        <v>15.0</v>
      </c>
      <c r="B176" s="36" t="s">
        <v>113</v>
      </c>
      <c r="C176" s="36" t="s">
        <v>95</v>
      </c>
      <c r="D176" s="36">
        <v>16.67</v>
      </c>
      <c r="E176" s="538" t="s">
        <v>36</v>
      </c>
      <c r="F176" s="389" t="s">
        <v>37</v>
      </c>
      <c r="G176" s="538" t="s">
        <v>715</v>
      </c>
      <c r="H176" s="51">
        <v>15.0</v>
      </c>
      <c r="I176" s="328" t="s">
        <v>201</v>
      </c>
      <c r="J176" s="36" t="s">
        <v>95</v>
      </c>
      <c r="K176" s="36">
        <v>16.67</v>
      </c>
    </row>
    <row r="177">
      <c r="A177" s="36">
        <v>16.0</v>
      </c>
      <c r="B177" s="36" t="s">
        <v>113</v>
      </c>
      <c r="C177" s="36" t="s">
        <v>95</v>
      </c>
      <c r="D177" s="36">
        <v>16.67</v>
      </c>
      <c r="E177" s="389" t="s">
        <v>41</v>
      </c>
      <c r="F177" s="538" t="s">
        <v>40</v>
      </c>
      <c r="G177" s="538" t="s">
        <v>714</v>
      </c>
      <c r="H177" s="51">
        <v>16.0</v>
      </c>
      <c r="I177" s="328" t="s">
        <v>201</v>
      </c>
      <c r="J177" s="36" t="s">
        <v>95</v>
      </c>
      <c r="K177" s="36">
        <v>16.67</v>
      </c>
    </row>
    <row r="178">
      <c r="A178" s="36">
        <v>17.0</v>
      </c>
      <c r="B178" s="36" t="s">
        <v>113</v>
      </c>
      <c r="C178" s="36" t="s">
        <v>95</v>
      </c>
      <c r="D178" s="36">
        <v>16.67</v>
      </c>
      <c r="E178" s="538" t="s">
        <v>40</v>
      </c>
      <c r="F178" s="389" t="s">
        <v>41</v>
      </c>
      <c r="G178" s="538" t="s">
        <v>714</v>
      </c>
      <c r="H178" s="51">
        <v>18.0</v>
      </c>
      <c r="I178" s="328" t="s">
        <v>201</v>
      </c>
      <c r="J178" s="36" t="s">
        <v>95</v>
      </c>
      <c r="K178" s="36">
        <v>33.33</v>
      </c>
    </row>
    <row r="179">
      <c r="A179" s="36">
        <v>18.0</v>
      </c>
      <c r="B179" s="36" t="s">
        <v>113</v>
      </c>
      <c r="C179" s="36" t="s">
        <v>95</v>
      </c>
      <c r="D179" s="36">
        <v>33.33</v>
      </c>
      <c r="E179" s="389" t="s">
        <v>37</v>
      </c>
      <c r="F179" s="538" t="s">
        <v>36</v>
      </c>
      <c r="G179" s="538" t="s">
        <v>715</v>
      </c>
      <c r="H179" s="51">
        <v>17.0</v>
      </c>
      <c r="I179" s="328" t="s">
        <v>201</v>
      </c>
      <c r="J179" s="36" t="s">
        <v>95</v>
      </c>
      <c r="K179" s="36">
        <v>16.67</v>
      </c>
    </row>
    <row r="180">
      <c r="A180" s="36">
        <v>19.0</v>
      </c>
      <c r="B180" s="36" t="s">
        <v>113</v>
      </c>
      <c r="C180" s="36" t="s">
        <v>95</v>
      </c>
      <c r="D180" s="36">
        <v>16.67</v>
      </c>
      <c r="E180" s="538" t="s">
        <v>36</v>
      </c>
      <c r="F180" s="389" t="s">
        <v>37</v>
      </c>
      <c r="G180" s="538" t="s">
        <v>715</v>
      </c>
      <c r="H180" s="51">
        <v>19.0</v>
      </c>
      <c r="I180" s="328" t="s">
        <v>201</v>
      </c>
      <c r="J180" s="36" t="s">
        <v>95</v>
      </c>
      <c r="K180" s="36">
        <v>16.67</v>
      </c>
    </row>
    <row r="181">
      <c r="A181" s="36">
        <v>20.0</v>
      </c>
      <c r="B181" s="36" t="s">
        <v>113</v>
      </c>
      <c r="C181" s="36" t="s">
        <v>95</v>
      </c>
      <c r="D181" s="36">
        <v>50.0</v>
      </c>
      <c r="E181" s="389" t="s">
        <v>41</v>
      </c>
      <c r="F181" s="538" t="s">
        <v>40</v>
      </c>
      <c r="G181" s="538" t="s">
        <v>714</v>
      </c>
      <c r="H181" s="51">
        <v>20.0</v>
      </c>
      <c r="I181" s="328" t="s">
        <v>201</v>
      </c>
      <c r="J181" s="36" t="s">
        <v>95</v>
      </c>
      <c r="K181" s="36">
        <v>50.0</v>
      </c>
    </row>
    <row r="182">
      <c r="A182" s="36">
        <v>21.0</v>
      </c>
      <c r="B182" s="36" t="s">
        <v>113</v>
      </c>
      <c r="C182" s="36" t="s">
        <v>95</v>
      </c>
      <c r="D182" s="36">
        <v>16.67</v>
      </c>
      <c r="E182" s="538" t="s">
        <v>36</v>
      </c>
      <c r="F182" s="389" t="s">
        <v>37</v>
      </c>
      <c r="G182" s="538" t="s">
        <v>715</v>
      </c>
      <c r="H182" s="51">
        <v>21.0</v>
      </c>
      <c r="I182" s="328" t="s">
        <v>201</v>
      </c>
      <c r="J182" s="36" t="s">
        <v>95</v>
      </c>
      <c r="K182" s="36">
        <v>16.67</v>
      </c>
    </row>
    <row r="183">
      <c r="A183" s="36">
        <v>1.0</v>
      </c>
      <c r="B183" s="36" t="s">
        <v>115</v>
      </c>
      <c r="C183" s="36" t="s">
        <v>95</v>
      </c>
      <c r="D183" s="36">
        <v>33.33</v>
      </c>
      <c r="E183" s="389" t="s">
        <v>40</v>
      </c>
      <c r="F183" s="539" t="s">
        <v>41</v>
      </c>
      <c r="G183" s="539" t="s">
        <v>715</v>
      </c>
      <c r="H183" s="323">
        <v>22.0</v>
      </c>
      <c r="I183" s="328" t="s">
        <v>202</v>
      </c>
      <c r="J183" s="36" t="s">
        <v>95</v>
      </c>
      <c r="K183" s="36">
        <v>50.0</v>
      </c>
    </row>
    <row r="184">
      <c r="A184" s="36">
        <v>2.0</v>
      </c>
      <c r="B184" s="36" t="s">
        <v>115</v>
      </c>
      <c r="C184" s="36" t="s">
        <v>95</v>
      </c>
      <c r="D184" s="36">
        <v>33.33</v>
      </c>
      <c r="E184" s="539" t="s">
        <v>37</v>
      </c>
      <c r="F184" s="389" t="s">
        <v>36</v>
      </c>
      <c r="G184" s="539" t="s">
        <v>714</v>
      </c>
      <c r="H184" s="323">
        <v>23.0</v>
      </c>
      <c r="I184" s="328" t="s">
        <v>202</v>
      </c>
      <c r="J184" s="36" t="s">
        <v>95</v>
      </c>
      <c r="K184" s="36">
        <v>83.33</v>
      </c>
    </row>
    <row r="185">
      <c r="A185" s="36">
        <v>4.0</v>
      </c>
      <c r="B185" s="36" t="s">
        <v>115</v>
      </c>
      <c r="C185" s="36" t="s">
        <v>95</v>
      </c>
      <c r="D185" s="36">
        <v>50.0</v>
      </c>
      <c r="E185" s="539" t="s">
        <v>41</v>
      </c>
      <c r="F185" s="389" t="s">
        <v>40</v>
      </c>
      <c r="G185" s="539" t="s">
        <v>715</v>
      </c>
      <c r="H185" s="323">
        <v>24.0</v>
      </c>
      <c r="I185" s="328" t="s">
        <v>202</v>
      </c>
      <c r="J185" s="36" t="s">
        <v>95</v>
      </c>
      <c r="K185" s="36">
        <v>33.33</v>
      </c>
    </row>
    <row r="186">
      <c r="A186" s="36">
        <v>5.0</v>
      </c>
      <c r="B186" s="36" t="s">
        <v>115</v>
      </c>
      <c r="C186" s="36" t="s">
        <v>95</v>
      </c>
      <c r="D186" s="36">
        <v>66.67</v>
      </c>
      <c r="E186" s="389" t="s">
        <v>40</v>
      </c>
      <c r="F186" s="539" t="s">
        <v>41</v>
      </c>
      <c r="G186" s="539" t="s">
        <v>715</v>
      </c>
      <c r="H186" s="323">
        <v>25.0</v>
      </c>
      <c r="I186" s="328" t="s">
        <v>202</v>
      </c>
      <c r="J186" s="36" t="s">
        <v>95</v>
      </c>
      <c r="K186" s="36">
        <v>16.67</v>
      </c>
    </row>
    <row r="187">
      <c r="A187" s="36">
        <v>6.0</v>
      </c>
      <c r="B187" s="36" t="s">
        <v>115</v>
      </c>
      <c r="C187" s="36" t="s">
        <v>95</v>
      </c>
      <c r="D187" s="36">
        <v>16.67</v>
      </c>
      <c r="E187" s="539" t="s">
        <v>37</v>
      </c>
      <c r="F187" s="389" t="s">
        <v>36</v>
      </c>
      <c r="G187" s="539" t="s">
        <v>714</v>
      </c>
      <c r="H187" s="323">
        <v>26.0</v>
      </c>
      <c r="I187" s="328" t="s">
        <v>202</v>
      </c>
      <c r="J187" s="36" t="s">
        <v>95</v>
      </c>
      <c r="K187" s="36">
        <v>16.67</v>
      </c>
    </row>
    <row r="188">
      <c r="A188" s="36">
        <v>7.0</v>
      </c>
      <c r="B188" s="36" t="s">
        <v>115</v>
      </c>
      <c r="C188" s="36" t="s">
        <v>95</v>
      </c>
      <c r="D188" s="36">
        <v>66.67</v>
      </c>
      <c r="E188" s="389" t="s">
        <v>36</v>
      </c>
      <c r="F188" s="539" t="s">
        <v>37</v>
      </c>
      <c r="G188" s="539" t="s">
        <v>714</v>
      </c>
      <c r="H188" s="323">
        <v>27.0</v>
      </c>
      <c r="I188" s="328" t="s">
        <v>202</v>
      </c>
      <c r="J188" s="36" t="s">
        <v>95</v>
      </c>
      <c r="K188" s="36">
        <v>16.67</v>
      </c>
    </row>
    <row r="189">
      <c r="A189" s="36">
        <v>8.0</v>
      </c>
      <c r="B189" s="36" t="s">
        <v>115</v>
      </c>
      <c r="C189" s="36" t="s">
        <v>95</v>
      </c>
      <c r="D189" s="36">
        <v>83.33</v>
      </c>
      <c r="E189" s="539" t="s">
        <v>41</v>
      </c>
      <c r="F189" s="389" t="s">
        <v>40</v>
      </c>
      <c r="G189" s="539" t="s">
        <v>715</v>
      </c>
      <c r="H189" s="323">
        <v>28.0</v>
      </c>
      <c r="I189" s="328" t="s">
        <v>202</v>
      </c>
      <c r="J189" s="36" t="s">
        <v>95</v>
      </c>
      <c r="K189" s="36">
        <v>16.67</v>
      </c>
    </row>
    <row r="190">
      <c r="A190" s="36">
        <v>9.0</v>
      </c>
      <c r="B190" s="36" t="s">
        <v>115</v>
      </c>
      <c r="C190" s="36" t="s">
        <v>95</v>
      </c>
      <c r="D190" s="36">
        <v>50.0</v>
      </c>
      <c r="E190" s="389" t="s">
        <v>40</v>
      </c>
      <c r="F190" s="539" t="s">
        <v>41</v>
      </c>
      <c r="G190" s="539" t="s">
        <v>715</v>
      </c>
      <c r="H190" s="323">
        <v>29.0</v>
      </c>
      <c r="I190" s="328" t="s">
        <v>202</v>
      </c>
      <c r="J190" s="36" t="s">
        <v>95</v>
      </c>
      <c r="K190" s="36">
        <v>16.67</v>
      </c>
    </row>
    <row r="191">
      <c r="A191" s="36">
        <v>10.0</v>
      </c>
      <c r="B191" s="36" t="s">
        <v>115</v>
      </c>
      <c r="C191" s="36" t="s">
        <v>95</v>
      </c>
      <c r="D191" s="36">
        <v>0.0</v>
      </c>
      <c r="E191" s="539" t="s">
        <v>37</v>
      </c>
      <c r="F191" s="389" t="s">
        <v>36</v>
      </c>
      <c r="G191" s="539" t="s">
        <v>714</v>
      </c>
      <c r="H191" s="323">
        <v>32.0</v>
      </c>
      <c r="I191" s="328" t="s">
        <v>202</v>
      </c>
      <c r="J191" s="36" t="s">
        <v>95</v>
      </c>
      <c r="K191" s="36">
        <v>0.0</v>
      </c>
    </row>
    <row r="192">
      <c r="A192" s="36">
        <v>11.0</v>
      </c>
      <c r="B192" s="36" t="s">
        <v>115</v>
      </c>
      <c r="C192" s="36" t="s">
        <v>95</v>
      </c>
      <c r="D192" s="36">
        <v>16.67</v>
      </c>
      <c r="E192" s="389" t="s">
        <v>36</v>
      </c>
      <c r="F192" s="539" t="s">
        <v>37</v>
      </c>
      <c r="G192" s="539" t="s">
        <v>714</v>
      </c>
      <c r="H192" s="323">
        <v>31.0</v>
      </c>
      <c r="I192" s="328" t="s">
        <v>202</v>
      </c>
      <c r="J192" s="36" t="s">
        <v>95</v>
      </c>
      <c r="K192" s="36">
        <v>16.67</v>
      </c>
    </row>
    <row r="193">
      <c r="A193" s="36">
        <v>12.0</v>
      </c>
      <c r="B193" s="36" t="s">
        <v>115</v>
      </c>
      <c r="C193" s="36" t="s">
        <v>95</v>
      </c>
      <c r="D193" s="36">
        <v>66.67</v>
      </c>
      <c r="E193" s="539" t="s">
        <v>41</v>
      </c>
      <c r="F193" s="389" t="s">
        <v>40</v>
      </c>
      <c r="G193" s="539" t="s">
        <v>715</v>
      </c>
      <c r="H193" s="323">
        <v>23.0</v>
      </c>
      <c r="I193" s="328" t="s">
        <v>202</v>
      </c>
      <c r="J193" s="36" t="s">
        <v>95</v>
      </c>
      <c r="K193" s="36">
        <v>33.33</v>
      </c>
    </row>
    <row r="194">
      <c r="A194" s="36">
        <v>13.0</v>
      </c>
      <c r="B194" s="36" t="s">
        <v>115</v>
      </c>
      <c r="C194" s="36" t="s">
        <v>95</v>
      </c>
      <c r="D194" s="36">
        <v>50.0</v>
      </c>
      <c r="E194" s="389" t="s">
        <v>40</v>
      </c>
      <c r="F194" s="539" t="s">
        <v>41</v>
      </c>
      <c r="G194" s="539" t="s">
        <v>715</v>
      </c>
      <c r="H194" s="323">
        <v>22.0</v>
      </c>
      <c r="I194" s="328" t="s">
        <v>202</v>
      </c>
      <c r="J194" s="36" t="s">
        <v>95</v>
      </c>
      <c r="K194" s="36">
        <v>66.67</v>
      </c>
    </row>
    <row r="195">
      <c r="A195" s="36">
        <v>14.0</v>
      </c>
      <c r="B195" s="36" t="s">
        <v>115</v>
      </c>
      <c r="C195" s="36" t="s">
        <v>95</v>
      </c>
      <c r="D195" s="36">
        <v>33.33</v>
      </c>
      <c r="E195" s="539" t="s">
        <v>37</v>
      </c>
      <c r="F195" s="389" t="s">
        <v>36</v>
      </c>
      <c r="G195" s="539" t="s">
        <v>714</v>
      </c>
      <c r="H195" s="323">
        <v>25.0</v>
      </c>
      <c r="I195" s="328" t="s">
        <v>202</v>
      </c>
      <c r="J195" s="36" t="s">
        <v>95</v>
      </c>
      <c r="K195" s="36">
        <v>0.0</v>
      </c>
    </row>
    <row r="196">
      <c r="A196" s="36">
        <v>15.0</v>
      </c>
      <c r="B196" s="36" t="s">
        <v>115</v>
      </c>
      <c r="C196" s="36" t="s">
        <v>95</v>
      </c>
      <c r="D196" s="36">
        <v>0.0</v>
      </c>
      <c r="E196" s="389" t="s">
        <v>36</v>
      </c>
      <c r="F196" s="539" t="s">
        <v>37</v>
      </c>
      <c r="G196" s="539" t="s">
        <v>714</v>
      </c>
      <c r="H196" s="323">
        <v>24.0</v>
      </c>
      <c r="I196" s="328" t="s">
        <v>202</v>
      </c>
      <c r="J196" s="36" t="s">
        <v>95</v>
      </c>
      <c r="K196" s="36">
        <v>50.0</v>
      </c>
    </row>
    <row r="197">
      <c r="A197" s="36">
        <v>16.0</v>
      </c>
      <c r="B197" s="36" t="s">
        <v>115</v>
      </c>
      <c r="C197" s="36" t="s">
        <v>95</v>
      </c>
      <c r="D197" s="36">
        <v>16.67</v>
      </c>
      <c r="E197" s="539" t="s">
        <v>41</v>
      </c>
      <c r="F197" s="389" t="s">
        <v>40</v>
      </c>
      <c r="G197" s="539" t="s">
        <v>715</v>
      </c>
      <c r="H197" s="323">
        <v>27.0</v>
      </c>
      <c r="I197" s="328" t="s">
        <v>202</v>
      </c>
      <c r="J197" s="36" t="s">
        <v>95</v>
      </c>
      <c r="K197" s="36">
        <v>50.0</v>
      </c>
    </row>
    <row r="198">
      <c r="A198" s="36">
        <v>17.0</v>
      </c>
      <c r="B198" s="36" t="s">
        <v>115</v>
      </c>
      <c r="C198" s="36" t="s">
        <v>95</v>
      </c>
      <c r="D198" s="36">
        <v>66.67</v>
      </c>
      <c r="E198" s="389" t="s">
        <v>40</v>
      </c>
      <c r="F198" s="539" t="s">
        <v>41</v>
      </c>
      <c r="G198" s="539" t="s">
        <v>715</v>
      </c>
      <c r="H198" s="323">
        <v>26.0</v>
      </c>
      <c r="I198" s="328" t="s">
        <v>202</v>
      </c>
      <c r="J198" s="36" t="s">
        <v>95</v>
      </c>
      <c r="K198" s="36">
        <v>33.33</v>
      </c>
    </row>
    <row r="199">
      <c r="A199" s="36">
        <v>18.0</v>
      </c>
      <c r="B199" s="36" t="s">
        <v>115</v>
      </c>
      <c r="C199" s="36" t="s">
        <v>95</v>
      </c>
      <c r="D199" s="36">
        <v>16.67</v>
      </c>
      <c r="E199" s="539" t="s">
        <v>37</v>
      </c>
      <c r="F199" s="389" t="s">
        <v>36</v>
      </c>
      <c r="G199" s="539" t="s">
        <v>714</v>
      </c>
      <c r="H199" s="323">
        <v>29.0</v>
      </c>
      <c r="I199" s="328" t="s">
        <v>202</v>
      </c>
      <c r="J199" s="36" t="s">
        <v>95</v>
      </c>
      <c r="K199" s="36">
        <v>16.67</v>
      </c>
    </row>
    <row r="200">
      <c r="A200" s="36">
        <v>19.0</v>
      </c>
      <c r="B200" s="36" t="s">
        <v>115</v>
      </c>
      <c r="C200" s="36" t="s">
        <v>95</v>
      </c>
      <c r="D200" s="36">
        <v>0.0</v>
      </c>
      <c r="E200" s="389" t="s">
        <v>36</v>
      </c>
      <c r="F200" s="539" t="s">
        <v>37</v>
      </c>
      <c r="G200" s="539" t="s">
        <v>714</v>
      </c>
      <c r="H200" s="323">
        <v>28.0</v>
      </c>
      <c r="I200" s="328" t="s">
        <v>202</v>
      </c>
      <c r="J200" s="36" t="s">
        <v>95</v>
      </c>
      <c r="K200" s="36">
        <v>66.67</v>
      </c>
    </row>
    <row r="201">
      <c r="A201" s="36">
        <v>20.0</v>
      </c>
      <c r="B201" s="36" t="s">
        <v>115</v>
      </c>
      <c r="C201" s="36" t="s">
        <v>95</v>
      </c>
      <c r="D201" s="36">
        <v>83.33</v>
      </c>
      <c r="E201" s="539" t="s">
        <v>41</v>
      </c>
      <c r="F201" s="389" t="s">
        <v>40</v>
      </c>
      <c r="G201" s="539" t="s">
        <v>715</v>
      </c>
      <c r="H201" s="323">
        <v>31.0</v>
      </c>
      <c r="I201" s="328" t="s">
        <v>202</v>
      </c>
      <c r="J201" s="36" t="s">
        <v>95</v>
      </c>
      <c r="K201" s="36">
        <v>0.0</v>
      </c>
    </row>
    <row r="202">
      <c r="A202" s="36">
        <v>21.0</v>
      </c>
      <c r="B202" s="36" t="s">
        <v>115</v>
      </c>
      <c r="C202" s="36" t="s">
        <v>95</v>
      </c>
      <c r="D202" s="36">
        <v>16.67</v>
      </c>
      <c r="E202" s="389" t="s">
        <v>36</v>
      </c>
      <c r="F202" s="539" t="s">
        <v>37</v>
      </c>
      <c r="G202" s="539" t="s">
        <v>714</v>
      </c>
      <c r="H202" s="323">
        <v>32.0</v>
      </c>
      <c r="I202" s="328" t="s">
        <v>202</v>
      </c>
      <c r="J202" s="36" t="s">
        <v>95</v>
      </c>
      <c r="K202" s="36">
        <v>0.0</v>
      </c>
    </row>
  </sheetData>
  <mergeCells count="2">
    <mergeCell ref="A1:G1"/>
    <mergeCell ref="H1:K1"/>
  </mergeCells>
  <conditionalFormatting sqref="I3:I202 H23:H42 H63:H82 H103:H122 H143:H162 H183:H202">
    <cfRule type="containsText" dxfId="7" priority="1" operator="containsText" text="BionicBack">
      <formula>NOT(ISERROR(SEARCH(("BionicBack"),(I3))))</formula>
    </cfRule>
  </conditionalFormatting>
  <conditionalFormatting sqref="I3:I202 H23:H42 H63:H82 H103:H122 H143:H162 H183:H202">
    <cfRule type="containsText" dxfId="8" priority="2" operator="containsText" text="Apogee">
      <formula>NOT(ISERROR(SEARCH(("Apogee"),(I3))))</formula>
    </cfRule>
  </conditionalFormatting>
  <conditionalFormatting sqref="E3:F22 E43:F62">
    <cfRule type="containsText" dxfId="13" priority="3" operator="containsText" text="Dynamic">
      <formula>NOT(ISERROR(SEARCH(("Dynamic"),(E3))))</formula>
    </cfRule>
  </conditionalFormatting>
  <conditionalFormatting sqref="E23:F42 E63:F82">
    <cfRule type="containsText" dxfId="8" priority="4" operator="containsText" text="Static">
      <formula>NOT(ISERROR(SEARCH(("Static"),(E23))))</formula>
    </cfRule>
  </conditionalFormatting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5" width="17.38"/>
    <col customWidth="1" min="20" max="20" width="12.13"/>
    <col customWidth="1" min="21" max="21" width="13.38"/>
    <col customWidth="1" min="23" max="23" width="16.13"/>
    <col customWidth="1" min="24" max="24" width="15.13"/>
  </cols>
  <sheetData>
    <row r="1">
      <c r="A1" s="476"/>
      <c r="B1" s="477" t="s">
        <v>2</v>
      </c>
      <c r="C1" s="478" t="s">
        <v>658</v>
      </c>
      <c r="D1" s="477" t="s">
        <v>659</v>
      </c>
      <c r="E1" s="478" t="s">
        <v>660</v>
      </c>
      <c r="F1" s="478" t="s">
        <v>662</v>
      </c>
      <c r="G1" s="478" t="s">
        <v>3</v>
      </c>
      <c r="H1" s="540" t="s">
        <v>103</v>
      </c>
      <c r="I1" s="540" t="s">
        <v>104</v>
      </c>
      <c r="J1" s="540" t="s">
        <v>105</v>
      </c>
      <c r="K1" s="540" t="s">
        <v>106</v>
      </c>
      <c r="L1" s="540" t="s">
        <v>107</v>
      </c>
      <c r="M1" s="540" t="s">
        <v>108</v>
      </c>
      <c r="N1" s="540" t="s">
        <v>109</v>
      </c>
      <c r="O1" s="478" t="s">
        <v>645</v>
      </c>
      <c r="P1" s="130" t="s">
        <v>664</v>
      </c>
      <c r="Q1" s="130" t="s">
        <v>148</v>
      </c>
      <c r="R1" s="130" t="s">
        <v>149</v>
      </c>
      <c r="S1" s="130" t="s">
        <v>150</v>
      </c>
      <c r="T1" s="130" t="s">
        <v>665</v>
      </c>
      <c r="U1" s="130" t="s">
        <v>666</v>
      </c>
      <c r="V1" s="130" t="s">
        <v>667</v>
      </c>
      <c r="W1" s="130" t="s">
        <v>668</v>
      </c>
      <c r="X1" s="130" t="s">
        <v>669</v>
      </c>
      <c r="Y1" s="130" t="s">
        <v>670</v>
      </c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</row>
    <row r="2">
      <c r="A2" s="479" t="s">
        <v>671</v>
      </c>
      <c r="B2" s="51">
        <v>1.0</v>
      </c>
      <c r="C2" s="59" t="s">
        <v>40</v>
      </c>
      <c r="D2" s="480">
        <v>0.0</v>
      </c>
      <c r="E2" s="481">
        <v>2.0</v>
      </c>
      <c r="F2" s="481">
        <v>0.0</v>
      </c>
      <c r="G2" s="53">
        <v>23.0</v>
      </c>
      <c r="H2" s="541">
        <v>1.0</v>
      </c>
      <c r="I2" s="541">
        <v>1.0</v>
      </c>
      <c r="J2" s="541">
        <v>0.0</v>
      </c>
      <c r="K2" s="541">
        <v>1.0</v>
      </c>
      <c r="L2" s="541">
        <v>0.0</v>
      </c>
      <c r="M2" s="541">
        <v>0.0</v>
      </c>
      <c r="N2" s="541">
        <v>0.0</v>
      </c>
      <c r="O2" s="53">
        <v>4.0</v>
      </c>
      <c r="P2" s="451">
        <v>5.0</v>
      </c>
      <c r="Q2" s="451">
        <v>38.89</v>
      </c>
      <c r="R2" s="451">
        <v>72.5</v>
      </c>
      <c r="S2" s="451">
        <v>-0.38</v>
      </c>
      <c r="T2" s="57">
        <v>238.84</v>
      </c>
      <c r="U2" s="57">
        <v>218.58</v>
      </c>
      <c r="V2" s="57">
        <v>32.24</v>
      </c>
      <c r="W2" s="423">
        <v>9.0</v>
      </c>
      <c r="X2" s="423">
        <v>10.0</v>
      </c>
      <c r="Y2" s="423">
        <v>9.3</v>
      </c>
    </row>
    <row r="3">
      <c r="A3" s="482"/>
      <c r="B3" s="71" t="s">
        <v>121</v>
      </c>
      <c r="C3" s="59" t="s">
        <v>37</v>
      </c>
      <c r="D3" s="480">
        <v>0.0</v>
      </c>
      <c r="E3" s="481">
        <v>1.0</v>
      </c>
      <c r="F3" s="481">
        <v>0.0</v>
      </c>
      <c r="G3" s="53">
        <v>24.0</v>
      </c>
      <c r="H3" s="541">
        <v>2.0</v>
      </c>
      <c r="I3" s="541">
        <v>1.0</v>
      </c>
      <c r="J3" s="541">
        <v>0.0</v>
      </c>
      <c r="K3" s="541">
        <v>0.0</v>
      </c>
      <c r="L3" s="541">
        <v>0.0</v>
      </c>
      <c r="M3" s="541">
        <v>1.0</v>
      </c>
      <c r="N3" s="541">
        <v>0.0</v>
      </c>
      <c r="O3" s="53">
        <v>4.75</v>
      </c>
      <c r="P3" s="451">
        <v>5.0</v>
      </c>
      <c r="Q3" s="451">
        <v>41.67</v>
      </c>
      <c r="R3" s="451">
        <v>90.0</v>
      </c>
      <c r="S3" s="451">
        <v>1.5</v>
      </c>
      <c r="T3" s="57">
        <v>469.63</v>
      </c>
      <c r="U3" s="57">
        <v>430.14</v>
      </c>
      <c r="V3" s="57">
        <v>142.26</v>
      </c>
      <c r="W3" s="423">
        <v>6.0</v>
      </c>
      <c r="X3" s="423">
        <v>3.0</v>
      </c>
      <c r="Y3" s="423">
        <v>5.1</v>
      </c>
    </row>
    <row r="4">
      <c r="A4" s="482"/>
      <c r="B4" s="71" t="s">
        <v>122</v>
      </c>
      <c r="C4" s="59" t="s">
        <v>41</v>
      </c>
      <c r="D4" s="480">
        <v>0.0</v>
      </c>
      <c r="E4" s="481">
        <v>1.0</v>
      </c>
      <c r="F4" s="481">
        <v>1.0</v>
      </c>
      <c r="G4" s="53">
        <v>24.0</v>
      </c>
      <c r="H4" s="541">
        <v>2.0</v>
      </c>
      <c r="I4" s="541">
        <v>1.0</v>
      </c>
      <c r="J4" s="541">
        <v>0.0</v>
      </c>
      <c r="K4" s="541">
        <v>0.0</v>
      </c>
      <c r="L4" s="541">
        <v>0.0</v>
      </c>
      <c r="M4" s="541">
        <v>1.0</v>
      </c>
      <c r="N4" s="541">
        <v>0.0</v>
      </c>
      <c r="O4" s="53">
        <v>3.25</v>
      </c>
      <c r="P4" s="451">
        <v>3.0</v>
      </c>
      <c r="Q4" s="451">
        <v>58.33</v>
      </c>
      <c r="R4" s="451">
        <v>75.0</v>
      </c>
      <c r="S4" s="451">
        <v>0.5</v>
      </c>
      <c r="T4" s="57">
        <v>682.44</v>
      </c>
      <c r="U4" s="57">
        <v>381.03</v>
      </c>
      <c r="V4" s="57">
        <v>145.76</v>
      </c>
      <c r="W4" s="423">
        <v>10.0</v>
      </c>
      <c r="X4" s="423">
        <v>8.0</v>
      </c>
      <c r="Y4" s="423">
        <v>9.4</v>
      </c>
    </row>
    <row r="5">
      <c r="A5" s="482"/>
      <c r="B5" s="71" t="s">
        <v>123</v>
      </c>
      <c r="C5" s="59" t="s">
        <v>40</v>
      </c>
      <c r="D5" s="480">
        <v>0.0</v>
      </c>
      <c r="E5" s="481">
        <v>2.0</v>
      </c>
      <c r="F5" s="481">
        <v>0.0</v>
      </c>
      <c r="G5" s="53">
        <v>27.0</v>
      </c>
      <c r="H5" s="541">
        <v>1.0</v>
      </c>
      <c r="I5" s="541">
        <v>1.0</v>
      </c>
      <c r="J5" s="541">
        <v>0.0</v>
      </c>
      <c r="K5" s="541">
        <v>0.0</v>
      </c>
      <c r="L5" s="541">
        <v>0.0</v>
      </c>
      <c r="M5" s="541">
        <v>1.0</v>
      </c>
      <c r="N5" s="541">
        <v>0.0</v>
      </c>
      <c r="O5" s="53">
        <v>4.75</v>
      </c>
      <c r="P5" s="451">
        <v>5.0</v>
      </c>
      <c r="Q5" s="451">
        <v>38.89</v>
      </c>
      <c r="R5" s="451">
        <v>75.0</v>
      </c>
      <c r="S5" s="451">
        <v>-0.25</v>
      </c>
      <c r="T5" s="57">
        <v>485.36</v>
      </c>
      <c r="U5" s="57">
        <v>202.68</v>
      </c>
      <c r="V5" s="57">
        <v>41.1</v>
      </c>
      <c r="W5" s="423">
        <v>9.0</v>
      </c>
      <c r="X5" s="423">
        <v>6.0</v>
      </c>
      <c r="Y5" s="423">
        <v>8.1</v>
      </c>
    </row>
    <row r="6">
      <c r="A6" s="482"/>
      <c r="B6" s="71" t="s">
        <v>124</v>
      </c>
      <c r="C6" s="59" t="s">
        <v>37</v>
      </c>
      <c r="D6" s="480">
        <v>0.0</v>
      </c>
      <c r="E6" s="481">
        <v>1.0</v>
      </c>
      <c r="F6" s="481">
        <v>0.0</v>
      </c>
      <c r="G6" s="53">
        <v>22.0</v>
      </c>
      <c r="H6" s="541">
        <v>2.0</v>
      </c>
      <c r="I6" s="541">
        <v>1.0</v>
      </c>
      <c r="J6" s="541">
        <v>0.0</v>
      </c>
      <c r="K6" s="541">
        <v>0.0</v>
      </c>
      <c r="L6" s="541">
        <v>1.0</v>
      </c>
      <c r="M6" s="541">
        <v>0.0</v>
      </c>
      <c r="N6" s="541">
        <v>0.0</v>
      </c>
      <c r="O6" s="53">
        <v>4.0</v>
      </c>
      <c r="P6" s="451">
        <v>6.0</v>
      </c>
      <c r="Q6" s="451">
        <v>25.0</v>
      </c>
      <c r="R6" s="451">
        <v>97.5</v>
      </c>
      <c r="S6" s="451">
        <v>2.63</v>
      </c>
      <c r="T6" s="57">
        <v>286.25</v>
      </c>
      <c r="U6" s="57">
        <v>162.24</v>
      </c>
      <c r="V6" s="57">
        <v>33.32</v>
      </c>
      <c r="W6" s="423">
        <v>10.0</v>
      </c>
      <c r="X6" s="423">
        <v>10.0</v>
      </c>
      <c r="Y6" s="423">
        <v>10.0</v>
      </c>
    </row>
    <row r="7">
      <c r="A7" s="482"/>
      <c r="B7" s="71" t="s">
        <v>125</v>
      </c>
      <c r="C7" s="59" t="s">
        <v>36</v>
      </c>
      <c r="D7" s="480">
        <v>0.0</v>
      </c>
      <c r="E7" s="481">
        <v>2.0</v>
      </c>
      <c r="F7" s="481">
        <v>1.0</v>
      </c>
      <c r="G7" s="53">
        <v>23.0</v>
      </c>
      <c r="H7" s="541">
        <v>1.0</v>
      </c>
      <c r="I7" s="541">
        <v>1.0</v>
      </c>
      <c r="J7" s="541">
        <v>0.0</v>
      </c>
      <c r="K7" s="541">
        <v>0.0</v>
      </c>
      <c r="L7" s="541">
        <v>0.0</v>
      </c>
      <c r="M7" s="541">
        <v>1.0</v>
      </c>
      <c r="N7" s="541">
        <v>0.0</v>
      </c>
      <c r="O7" s="53">
        <v>4.25</v>
      </c>
      <c r="P7" s="451">
        <v>3.0</v>
      </c>
      <c r="Q7" s="451">
        <v>41.67</v>
      </c>
      <c r="R7" s="451">
        <v>72.5</v>
      </c>
      <c r="S7" s="451">
        <v>1.38</v>
      </c>
      <c r="T7" s="57">
        <v>426.99</v>
      </c>
      <c r="U7" s="57">
        <v>370.84</v>
      </c>
      <c r="V7" s="57">
        <v>118.31</v>
      </c>
      <c r="W7" s="423">
        <v>9.0</v>
      </c>
      <c r="X7" s="423">
        <v>10.0</v>
      </c>
      <c r="Y7" s="423">
        <v>9.3</v>
      </c>
    </row>
    <row r="8">
      <c r="A8" s="482"/>
      <c r="B8" s="71" t="s">
        <v>126</v>
      </c>
      <c r="C8" s="59" t="s">
        <v>41</v>
      </c>
      <c r="D8" s="480">
        <v>0.0</v>
      </c>
      <c r="E8" s="481">
        <v>1.0</v>
      </c>
      <c r="F8" s="481">
        <v>1.0</v>
      </c>
      <c r="G8" s="53">
        <v>31.0</v>
      </c>
      <c r="H8" s="541">
        <v>2.0</v>
      </c>
      <c r="I8" s="541">
        <v>1.0</v>
      </c>
      <c r="J8" s="541">
        <v>0.0</v>
      </c>
      <c r="K8" s="541">
        <v>0.0</v>
      </c>
      <c r="L8" s="541">
        <v>0.0</v>
      </c>
      <c r="M8" s="541">
        <v>1.0</v>
      </c>
      <c r="N8" s="541">
        <v>0.0</v>
      </c>
      <c r="O8" s="53">
        <v>4.0</v>
      </c>
      <c r="P8" s="451">
        <v>5.0</v>
      </c>
      <c r="Q8" s="451">
        <v>36.11</v>
      </c>
      <c r="R8" s="451">
        <v>97.5</v>
      </c>
      <c r="S8" s="451">
        <v>1.25</v>
      </c>
      <c r="T8" s="57">
        <v>945.36</v>
      </c>
      <c r="U8" s="57">
        <v>522.42</v>
      </c>
      <c r="V8" s="57">
        <v>184.88</v>
      </c>
      <c r="W8" s="423">
        <v>9.0</v>
      </c>
      <c r="X8" s="423">
        <v>10.0</v>
      </c>
      <c r="Y8" s="423">
        <v>9.3</v>
      </c>
    </row>
    <row r="9">
      <c r="A9" s="482"/>
      <c r="B9" s="71" t="s">
        <v>127</v>
      </c>
      <c r="C9" s="59" t="s">
        <v>40</v>
      </c>
      <c r="D9" s="480">
        <v>0.0</v>
      </c>
      <c r="E9" s="481">
        <v>2.0</v>
      </c>
      <c r="F9" s="481">
        <v>0.0</v>
      </c>
      <c r="G9" s="53">
        <v>31.0</v>
      </c>
      <c r="H9" s="541">
        <v>1.0</v>
      </c>
      <c r="I9" s="541">
        <v>1.0</v>
      </c>
      <c r="J9" s="541">
        <v>0.0</v>
      </c>
      <c r="K9" s="541">
        <v>0.0</v>
      </c>
      <c r="L9" s="541">
        <v>1.0</v>
      </c>
      <c r="M9" s="541">
        <v>0.0</v>
      </c>
      <c r="N9" s="541">
        <v>0.0</v>
      </c>
      <c r="O9" s="53">
        <v>4.5</v>
      </c>
      <c r="P9" s="451">
        <v>6.0</v>
      </c>
      <c r="Q9" s="451">
        <v>27.78</v>
      </c>
      <c r="R9" s="451">
        <v>90.0</v>
      </c>
      <c r="S9" s="451">
        <v>0.38</v>
      </c>
      <c r="T9" s="57">
        <v>486.58</v>
      </c>
      <c r="U9" s="57">
        <v>316.55</v>
      </c>
      <c r="V9" s="57">
        <v>38.96</v>
      </c>
      <c r="W9" s="423">
        <v>10.0</v>
      </c>
      <c r="X9" s="423">
        <v>10.0</v>
      </c>
      <c r="Y9" s="423">
        <v>10.0</v>
      </c>
    </row>
    <row r="10">
      <c r="A10" s="482"/>
      <c r="B10" s="51">
        <v>10.0</v>
      </c>
      <c r="C10" s="59" t="s">
        <v>37</v>
      </c>
      <c r="D10" s="480">
        <v>0.0</v>
      </c>
      <c r="E10" s="481">
        <v>1.0</v>
      </c>
      <c r="F10" s="481">
        <v>0.0</v>
      </c>
      <c r="G10" s="53">
        <v>31.0</v>
      </c>
      <c r="H10" s="541">
        <v>2.0</v>
      </c>
      <c r="I10" s="541">
        <v>1.0</v>
      </c>
      <c r="J10" s="541">
        <v>1.0</v>
      </c>
      <c r="K10" s="541">
        <v>0.0</v>
      </c>
      <c r="L10" s="541">
        <v>0.0</v>
      </c>
      <c r="M10" s="541">
        <v>0.0</v>
      </c>
      <c r="N10" s="541">
        <v>0.0</v>
      </c>
      <c r="O10" s="53">
        <v>4.0</v>
      </c>
      <c r="P10" s="451">
        <v>6.0</v>
      </c>
      <c r="Q10" s="451">
        <v>19.44</v>
      </c>
      <c r="R10" s="451">
        <v>82.5</v>
      </c>
      <c r="S10" s="451">
        <v>0.88</v>
      </c>
      <c r="T10" s="57">
        <v>452.18</v>
      </c>
      <c r="U10" s="57">
        <v>244.72</v>
      </c>
      <c r="V10" s="57">
        <v>52.69</v>
      </c>
      <c r="W10" s="423">
        <v>9.0</v>
      </c>
      <c r="X10" s="423">
        <v>6.0</v>
      </c>
      <c r="Y10" s="423">
        <v>8.1</v>
      </c>
    </row>
    <row r="11">
      <c r="A11" s="482"/>
      <c r="B11" s="51">
        <v>11.0</v>
      </c>
      <c r="C11" s="59" t="s">
        <v>36</v>
      </c>
      <c r="D11" s="480">
        <v>0.0</v>
      </c>
      <c r="E11" s="481">
        <v>2.0</v>
      </c>
      <c r="F11" s="481">
        <v>1.0</v>
      </c>
      <c r="G11" s="53">
        <v>24.0</v>
      </c>
      <c r="H11" s="541">
        <v>2.0</v>
      </c>
      <c r="I11" s="541">
        <v>1.0</v>
      </c>
      <c r="J11" s="541">
        <v>0.0</v>
      </c>
      <c r="K11" s="541">
        <v>1.0</v>
      </c>
      <c r="L11" s="541">
        <v>0.0</v>
      </c>
      <c r="M11" s="541">
        <v>0.0</v>
      </c>
      <c r="N11" s="541">
        <v>0.0</v>
      </c>
      <c r="O11" s="53">
        <v>4.0</v>
      </c>
      <c r="P11" s="451">
        <v>6.0</v>
      </c>
      <c r="Q11" s="451">
        <v>38.89</v>
      </c>
      <c r="R11" s="451">
        <v>97.5</v>
      </c>
      <c r="S11" s="451">
        <v>0.63</v>
      </c>
      <c r="T11" s="57">
        <v>620.1</v>
      </c>
      <c r="U11" s="57">
        <v>371.15</v>
      </c>
      <c r="V11" s="57">
        <v>145.19</v>
      </c>
      <c r="W11" s="423">
        <v>8.0</v>
      </c>
      <c r="X11" s="423">
        <v>3.0</v>
      </c>
      <c r="Y11" s="423">
        <v>6.5</v>
      </c>
    </row>
    <row r="12">
      <c r="A12" s="482"/>
      <c r="B12" s="51">
        <v>12.0</v>
      </c>
      <c r="C12" s="59" t="s">
        <v>41</v>
      </c>
      <c r="D12" s="480">
        <v>0.0</v>
      </c>
      <c r="E12" s="481">
        <v>1.0</v>
      </c>
      <c r="F12" s="481">
        <v>1.0</v>
      </c>
      <c r="G12" s="53">
        <v>42.0</v>
      </c>
      <c r="H12" s="541">
        <v>1.0</v>
      </c>
      <c r="I12" s="541">
        <v>1.0</v>
      </c>
      <c r="J12" s="541">
        <v>0.0</v>
      </c>
      <c r="K12" s="541">
        <v>0.0</v>
      </c>
      <c r="L12" s="541">
        <v>1.0</v>
      </c>
      <c r="M12" s="541">
        <v>0.0</v>
      </c>
      <c r="N12" s="541">
        <v>0.0</v>
      </c>
      <c r="O12" s="53">
        <v>3.5</v>
      </c>
      <c r="P12" s="451">
        <v>6.0</v>
      </c>
      <c r="Q12" s="451">
        <v>25.0</v>
      </c>
      <c r="R12" s="451">
        <v>90.0</v>
      </c>
      <c r="S12" s="451">
        <v>1.25</v>
      </c>
      <c r="T12" s="57">
        <v>498.98</v>
      </c>
      <c r="U12" s="57">
        <v>265.15</v>
      </c>
      <c r="V12" s="57">
        <v>79.85</v>
      </c>
      <c r="W12" s="423">
        <v>10.0</v>
      </c>
      <c r="X12" s="423">
        <v>10.0</v>
      </c>
      <c r="Y12" s="423">
        <v>10.0</v>
      </c>
    </row>
    <row r="13">
      <c r="A13" s="482"/>
      <c r="B13" s="51">
        <v>13.0</v>
      </c>
      <c r="C13" s="59" t="s">
        <v>40</v>
      </c>
      <c r="D13" s="480">
        <v>0.0</v>
      </c>
      <c r="E13" s="481">
        <v>2.0</v>
      </c>
      <c r="F13" s="481">
        <v>0.0</v>
      </c>
      <c r="G13" s="53">
        <v>26.0</v>
      </c>
      <c r="H13" s="541">
        <v>1.0</v>
      </c>
      <c r="I13" s="541">
        <v>1.0</v>
      </c>
      <c r="J13" s="541">
        <v>0.0</v>
      </c>
      <c r="K13" s="541">
        <v>1.0</v>
      </c>
      <c r="L13" s="541">
        <v>0.0</v>
      </c>
      <c r="M13" s="541">
        <v>0.0</v>
      </c>
      <c r="N13" s="541">
        <v>0.0</v>
      </c>
      <c r="O13" s="53">
        <v>4.25</v>
      </c>
      <c r="P13" s="451">
        <v>6.0</v>
      </c>
      <c r="Q13" s="451">
        <v>30.56</v>
      </c>
      <c r="R13" s="451">
        <v>95.0</v>
      </c>
      <c r="S13" s="451">
        <v>2.25</v>
      </c>
      <c r="T13" s="57">
        <v>380.67</v>
      </c>
      <c r="U13" s="57">
        <v>148.5</v>
      </c>
      <c r="V13" s="57">
        <v>31.31</v>
      </c>
      <c r="W13" s="423">
        <v>10.0</v>
      </c>
      <c r="X13" s="423">
        <v>10.0</v>
      </c>
      <c r="Y13" s="423">
        <v>10.0</v>
      </c>
    </row>
    <row r="14">
      <c r="A14" s="482"/>
      <c r="B14" s="51">
        <v>14.0</v>
      </c>
      <c r="C14" s="59" t="s">
        <v>37</v>
      </c>
      <c r="D14" s="480">
        <v>0.0</v>
      </c>
      <c r="E14" s="481">
        <v>1.0</v>
      </c>
      <c r="F14" s="481">
        <v>0.0</v>
      </c>
      <c r="G14" s="53">
        <v>25.0</v>
      </c>
      <c r="H14" s="541">
        <v>1.0</v>
      </c>
      <c r="I14" s="541">
        <v>2.0</v>
      </c>
      <c r="J14" s="541">
        <v>0.0</v>
      </c>
      <c r="K14" s="541">
        <v>0.0</v>
      </c>
      <c r="L14" s="541">
        <v>1.0</v>
      </c>
      <c r="M14" s="541">
        <v>0.0</v>
      </c>
      <c r="N14" s="541">
        <v>0.0</v>
      </c>
      <c r="O14" s="53">
        <v>4.0</v>
      </c>
      <c r="P14" s="451">
        <v>4.0</v>
      </c>
      <c r="Q14" s="451">
        <v>44.44</v>
      </c>
      <c r="R14" s="451">
        <v>35.0</v>
      </c>
      <c r="S14" s="451">
        <v>0.38</v>
      </c>
      <c r="T14" s="57">
        <v>516.16</v>
      </c>
      <c r="U14" s="57">
        <v>260.74</v>
      </c>
      <c r="V14" s="57">
        <v>64.68</v>
      </c>
      <c r="W14" s="423">
        <v>8.0</v>
      </c>
      <c r="X14" s="423">
        <v>5.0</v>
      </c>
      <c r="Y14" s="423">
        <v>7.1</v>
      </c>
    </row>
    <row r="15">
      <c r="A15" s="482"/>
      <c r="B15" s="51">
        <v>15.0</v>
      </c>
      <c r="C15" s="59" t="s">
        <v>36</v>
      </c>
      <c r="D15" s="480">
        <v>0.0</v>
      </c>
      <c r="E15" s="481">
        <v>2.0</v>
      </c>
      <c r="F15" s="481">
        <v>1.0</v>
      </c>
      <c r="G15" s="53">
        <v>25.0</v>
      </c>
      <c r="H15" s="541">
        <v>1.0</v>
      </c>
      <c r="I15" s="541">
        <v>1.0</v>
      </c>
      <c r="J15" s="541">
        <v>0.0</v>
      </c>
      <c r="K15" s="541">
        <v>0.0</v>
      </c>
      <c r="L15" s="541">
        <v>0.0</v>
      </c>
      <c r="M15" s="541">
        <v>1.0</v>
      </c>
      <c r="N15" s="541">
        <v>0.0</v>
      </c>
      <c r="O15" s="53">
        <v>4.75</v>
      </c>
      <c r="P15" s="451">
        <v>6.0</v>
      </c>
      <c r="Q15" s="451">
        <v>25.0</v>
      </c>
      <c r="R15" s="451">
        <v>97.5</v>
      </c>
      <c r="S15" s="451">
        <v>1.88</v>
      </c>
      <c r="T15" s="57">
        <v>468.45</v>
      </c>
      <c r="U15" s="57">
        <v>303.66</v>
      </c>
      <c r="V15" s="57">
        <v>99.13</v>
      </c>
      <c r="W15" s="423">
        <v>9.0</v>
      </c>
      <c r="X15" s="423">
        <v>10.0</v>
      </c>
      <c r="Y15" s="423">
        <v>9.3</v>
      </c>
    </row>
    <row r="16">
      <c r="A16" s="482"/>
      <c r="B16" s="51">
        <v>16.0</v>
      </c>
      <c r="C16" s="59" t="s">
        <v>41</v>
      </c>
      <c r="D16" s="480">
        <v>0.0</v>
      </c>
      <c r="E16" s="481">
        <v>1.0</v>
      </c>
      <c r="F16" s="481">
        <v>1.0</v>
      </c>
      <c r="G16" s="53">
        <v>23.0</v>
      </c>
      <c r="H16" s="541">
        <v>1.0</v>
      </c>
      <c r="I16" s="541">
        <v>1.0</v>
      </c>
      <c r="J16" s="541">
        <v>0.0</v>
      </c>
      <c r="K16" s="541">
        <v>0.0</v>
      </c>
      <c r="L16" s="541">
        <v>0.0</v>
      </c>
      <c r="M16" s="541">
        <v>1.0</v>
      </c>
      <c r="N16" s="541">
        <v>0.0</v>
      </c>
      <c r="O16" s="53">
        <v>3.5</v>
      </c>
      <c r="P16" s="451">
        <v>5.0</v>
      </c>
      <c r="Q16" s="451">
        <v>22.22</v>
      </c>
      <c r="R16" s="451">
        <v>80.0</v>
      </c>
      <c r="S16" s="451">
        <v>0.63</v>
      </c>
      <c r="T16" s="57">
        <v>732.46</v>
      </c>
      <c r="U16" s="57">
        <v>328.35</v>
      </c>
      <c r="V16" s="57">
        <v>101.72</v>
      </c>
      <c r="W16" s="423">
        <v>8.0</v>
      </c>
      <c r="X16" s="423">
        <v>6.0</v>
      </c>
      <c r="Y16" s="423">
        <v>7.4</v>
      </c>
    </row>
    <row r="17">
      <c r="A17" s="482"/>
      <c r="B17" s="51">
        <v>17.0</v>
      </c>
      <c r="C17" s="59" t="s">
        <v>40</v>
      </c>
      <c r="D17" s="480">
        <v>0.0</v>
      </c>
      <c r="E17" s="481">
        <v>2.0</v>
      </c>
      <c r="F17" s="481">
        <v>0.0</v>
      </c>
      <c r="G17" s="53">
        <v>35.0</v>
      </c>
      <c r="H17" s="541">
        <v>1.0</v>
      </c>
      <c r="I17" s="541">
        <v>3.0</v>
      </c>
      <c r="J17" s="541">
        <v>0.0</v>
      </c>
      <c r="K17" s="541">
        <v>1.0</v>
      </c>
      <c r="L17" s="541">
        <v>1.0</v>
      </c>
      <c r="M17" s="541">
        <v>0.0</v>
      </c>
      <c r="N17" s="541">
        <v>0.0</v>
      </c>
      <c r="O17" s="53">
        <v>4.75</v>
      </c>
      <c r="P17" s="451">
        <v>6.0</v>
      </c>
      <c r="Q17" s="451">
        <v>36.11</v>
      </c>
      <c r="R17" s="451">
        <v>82.5</v>
      </c>
      <c r="S17" s="451">
        <v>0.63</v>
      </c>
      <c r="T17" s="57">
        <v>314.2</v>
      </c>
      <c r="U17" s="57">
        <v>206.67</v>
      </c>
      <c r="V17" s="57">
        <v>34.29</v>
      </c>
      <c r="W17" s="423">
        <v>10.0</v>
      </c>
      <c r="X17" s="423">
        <v>10.0</v>
      </c>
      <c r="Y17" s="423">
        <v>10.0</v>
      </c>
    </row>
    <row r="18">
      <c r="A18" s="482"/>
      <c r="B18" s="51">
        <v>18.0</v>
      </c>
      <c r="C18" s="59" t="s">
        <v>37</v>
      </c>
      <c r="D18" s="480">
        <v>0.0</v>
      </c>
      <c r="E18" s="481">
        <v>1.0</v>
      </c>
      <c r="F18" s="481">
        <v>0.0</v>
      </c>
      <c r="G18" s="53">
        <v>24.0</v>
      </c>
      <c r="H18" s="541">
        <v>2.0</v>
      </c>
      <c r="I18" s="541">
        <v>2.0</v>
      </c>
      <c r="J18" s="541">
        <v>0.0</v>
      </c>
      <c r="K18" s="541">
        <v>0.0</v>
      </c>
      <c r="L18" s="541">
        <v>0.0</v>
      </c>
      <c r="M18" s="541">
        <v>1.0</v>
      </c>
      <c r="N18" s="541">
        <v>0.0</v>
      </c>
      <c r="O18" s="53">
        <v>3.5</v>
      </c>
      <c r="P18" s="451">
        <v>4.0</v>
      </c>
      <c r="Q18" s="451">
        <v>41.67</v>
      </c>
      <c r="R18" s="451">
        <v>72.5</v>
      </c>
      <c r="S18" s="451">
        <v>1.0</v>
      </c>
      <c r="T18" s="57">
        <v>534.06</v>
      </c>
      <c r="U18" s="57">
        <v>192.78</v>
      </c>
      <c r="V18" s="57">
        <v>69.39</v>
      </c>
      <c r="W18" s="423">
        <v>9.0</v>
      </c>
      <c r="X18" s="423">
        <v>6.0</v>
      </c>
      <c r="Y18" s="423">
        <v>8.1</v>
      </c>
    </row>
    <row r="19">
      <c r="A19" s="482"/>
      <c r="B19" s="51">
        <v>19.0</v>
      </c>
      <c r="C19" s="59" t="s">
        <v>36</v>
      </c>
      <c r="D19" s="480">
        <v>0.0</v>
      </c>
      <c r="E19" s="481">
        <v>2.0</v>
      </c>
      <c r="F19" s="481">
        <v>1.0</v>
      </c>
      <c r="G19" s="53">
        <v>26.0</v>
      </c>
      <c r="H19" s="541">
        <v>2.0</v>
      </c>
      <c r="I19" s="541">
        <v>1.0</v>
      </c>
      <c r="J19" s="541">
        <v>0.0</v>
      </c>
      <c r="K19" s="541">
        <v>1.0</v>
      </c>
      <c r="L19" s="541">
        <v>0.0</v>
      </c>
      <c r="M19" s="541">
        <v>0.0</v>
      </c>
      <c r="N19" s="541">
        <v>0.0</v>
      </c>
      <c r="O19" s="53">
        <v>3.75</v>
      </c>
      <c r="P19" s="451">
        <v>5.0</v>
      </c>
      <c r="Q19" s="451">
        <v>50.0</v>
      </c>
      <c r="R19" s="451">
        <v>67.5</v>
      </c>
      <c r="S19" s="451">
        <v>1.63</v>
      </c>
      <c r="T19" s="57">
        <v>540.76</v>
      </c>
      <c r="U19" s="57">
        <v>550.3</v>
      </c>
      <c r="V19" s="57">
        <v>122.87</v>
      </c>
      <c r="W19" s="423">
        <v>9.0</v>
      </c>
      <c r="X19" s="423">
        <v>10.0</v>
      </c>
      <c r="Y19" s="423">
        <v>9.3</v>
      </c>
    </row>
    <row r="20">
      <c r="A20" s="482"/>
      <c r="B20" s="51">
        <v>20.0</v>
      </c>
      <c r="C20" s="59" t="s">
        <v>41</v>
      </c>
      <c r="D20" s="480">
        <v>0.0</v>
      </c>
      <c r="E20" s="481">
        <v>1.0</v>
      </c>
      <c r="F20" s="481">
        <v>1.0</v>
      </c>
      <c r="G20" s="53">
        <v>34.0</v>
      </c>
      <c r="H20" s="541">
        <v>1.0</v>
      </c>
      <c r="I20" s="541">
        <v>2.0</v>
      </c>
      <c r="J20" s="541">
        <v>0.0</v>
      </c>
      <c r="K20" s="541">
        <v>0.0</v>
      </c>
      <c r="L20" s="541">
        <v>0.0</v>
      </c>
      <c r="M20" s="541">
        <v>1.0</v>
      </c>
      <c r="N20" s="541">
        <v>0.0</v>
      </c>
      <c r="O20" s="53">
        <v>4.25</v>
      </c>
      <c r="P20" s="451">
        <v>6.0</v>
      </c>
      <c r="Q20" s="451">
        <v>50.0</v>
      </c>
      <c r="R20" s="451">
        <v>77.5</v>
      </c>
      <c r="S20" s="451">
        <v>1.0</v>
      </c>
      <c r="T20" s="57">
        <v>895.98</v>
      </c>
      <c r="U20" s="57">
        <v>376.81</v>
      </c>
      <c r="V20" s="57">
        <v>116.05</v>
      </c>
      <c r="W20" s="423">
        <v>9.0</v>
      </c>
      <c r="X20" s="423">
        <v>6.0</v>
      </c>
      <c r="Y20" s="423">
        <v>8.1</v>
      </c>
    </row>
    <row r="21">
      <c r="A21" s="482"/>
      <c r="B21" s="51">
        <v>21.0</v>
      </c>
      <c r="C21" s="59" t="s">
        <v>36</v>
      </c>
      <c r="D21" s="480">
        <v>0.0</v>
      </c>
      <c r="E21" s="481">
        <v>2.0</v>
      </c>
      <c r="F21" s="481">
        <v>1.0</v>
      </c>
      <c r="G21" s="53">
        <v>29.0</v>
      </c>
      <c r="H21" s="541">
        <v>2.0</v>
      </c>
      <c r="I21" s="541">
        <v>1.0</v>
      </c>
      <c r="J21" s="541">
        <v>0.0</v>
      </c>
      <c r="K21" s="541">
        <v>1.0</v>
      </c>
      <c r="L21" s="541">
        <v>0.0</v>
      </c>
      <c r="M21" s="541">
        <v>0.0</v>
      </c>
      <c r="N21" s="541">
        <v>0.0</v>
      </c>
      <c r="O21" s="53">
        <v>3.0</v>
      </c>
      <c r="P21" s="451">
        <v>6.0</v>
      </c>
      <c r="Q21" s="451">
        <v>41.67</v>
      </c>
      <c r="R21" s="451">
        <v>92.5</v>
      </c>
      <c r="S21" s="451">
        <v>1.25</v>
      </c>
      <c r="T21" s="57">
        <v>459.67</v>
      </c>
      <c r="U21" s="57">
        <v>341.18</v>
      </c>
      <c r="V21" s="57">
        <v>113.51</v>
      </c>
      <c r="W21" s="423">
        <v>9.0</v>
      </c>
      <c r="X21" s="423">
        <v>10.0</v>
      </c>
      <c r="Y21" s="423">
        <v>9.3</v>
      </c>
    </row>
    <row r="22">
      <c r="A22" s="483" t="s">
        <v>672</v>
      </c>
      <c r="B22" s="484">
        <v>1.0</v>
      </c>
      <c r="C22" s="485" t="s">
        <v>41</v>
      </c>
      <c r="D22" s="486">
        <v>0.0</v>
      </c>
      <c r="E22" s="487">
        <v>1.0</v>
      </c>
      <c r="F22" s="487">
        <v>1.0</v>
      </c>
      <c r="G22" s="542">
        <v>23.0</v>
      </c>
      <c r="H22" s="543">
        <v>1.0</v>
      </c>
      <c r="I22" s="543">
        <v>1.0</v>
      </c>
      <c r="J22" s="543">
        <v>0.0</v>
      </c>
      <c r="K22" s="543">
        <v>1.0</v>
      </c>
      <c r="L22" s="543">
        <v>0.0</v>
      </c>
      <c r="M22" s="543">
        <v>0.0</v>
      </c>
      <c r="N22" s="543">
        <v>0.0</v>
      </c>
      <c r="O22" s="542">
        <v>4.0</v>
      </c>
      <c r="P22" s="488">
        <v>3.0</v>
      </c>
      <c r="Q22" s="488">
        <v>41.67</v>
      </c>
      <c r="R22" s="488">
        <v>65.0</v>
      </c>
      <c r="S22" s="488">
        <v>-0.25</v>
      </c>
      <c r="T22" s="489">
        <v>379.87</v>
      </c>
      <c r="U22" s="489">
        <v>237.55</v>
      </c>
      <c r="V22" s="489">
        <v>72.81</v>
      </c>
      <c r="W22" s="490">
        <v>10.0</v>
      </c>
      <c r="X22" s="490">
        <v>10.0</v>
      </c>
      <c r="Y22" s="490">
        <v>10.0</v>
      </c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</row>
    <row r="23">
      <c r="A23" s="482"/>
      <c r="B23" s="71" t="s">
        <v>121</v>
      </c>
      <c r="C23" s="59" t="s">
        <v>36</v>
      </c>
      <c r="D23" s="480">
        <v>0.0</v>
      </c>
      <c r="E23" s="481">
        <v>2.0</v>
      </c>
      <c r="F23" s="481">
        <v>1.0</v>
      </c>
      <c r="G23" s="53">
        <v>24.0</v>
      </c>
      <c r="H23" s="541">
        <v>2.0</v>
      </c>
      <c r="I23" s="541">
        <v>1.0</v>
      </c>
      <c r="J23" s="541">
        <v>0.0</v>
      </c>
      <c r="K23" s="541">
        <v>0.0</v>
      </c>
      <c r="L23" s="541">
        <v>0.0</v>
      </c>
      <c r="M23" s="541">
        <v>1.0</v>
      </c>
      <c r="N23" s="541">
        <v>0.0</v>
      </c>
      <c r="O23" s="53">
        <v>4.75</v>
      </c>
      <c r="P23" s="451">
        <v>3.0</v>
      </c>
      <c r="Q23" s="451">
        <v>66.67</v>
      </c>
      <c r="R23" s="451">
        <v>52.5</v>
      </c>
      <c r="S23" s="451">
        <v>1.25</v>
      </c>
      <c r="T23" s="57">
        <v>1431.61</v>
      </c>
      <c r="U23" s="57">
        <v>564.82</v>
      </c>
      <c r="V23" s="57">
        <v>136.3</v>
      </c>
      <c r="W23" s="423">
        <v>8.0</v>
      </c>
      <c r="X23" s="423">
        <v>6.0</v>
      </c>
      <c r="Y23" s="423">
        <v>7.4</v>
      </c>
    </row>
    <row r="24">
      <c r="A24" s="482"/>
      <c r="B24" s="71" t="s">
        <v>122</v>
      </c>
      <c r="C24" s="59" t="s">
        <v>40</v>
      </c>
      <c r="D24" s="480">
        <v>0.0</v>
      </c>
      <c r="E24" s="481">
        <v>2.0</v>
      </c>
      <c r="F24" s="481">
        <v>0.0</v>
      </c>
      <c r="G24" s="53">
        <v>24.0</v>
      </c>
      <c r="H24" s="541">
        <v>2.0</v>
      </c>
      <c r="I24" s="541">
        <v>1.0</v>
      </c>
      <c r="J24" s="541">
        <v>0.0</v>
      </c>
      <c r="K24" s="541">
        <v>0.0</v>
      </c>
      <c r="L24" s="541">
        <v>0.0</v>
      </c>
      <c r="M24" s="541">
        <v>1.0</v>
      </c>
      <c r="N24" s="541">
        <v>0.0</v>
      </c>
      <c r="O24" s="53">
        <v>3.25</v>
      </c>
      <c r="P24" s="451">
        <v>6.0</v>
      </c>
      <c r="Q24" s="451">
        <v>41.67</v>
      </c>
      <c r="R24" s="451">
        <v>80.0</v>
      </c>
      <c r="S24" s="451">
        <v>-0.25</v>
      </c>
      <c r="T24" s="57">
        <v>641.35</v>
      </c>
      <c r="U24" s="57">
        <v>345.04</v>
      </c>
      <c r="V24" s="57">
        <v>62.32</v>
      </c>
      <c r="W24" s="423">
        <v>9.0</v>
      </c>
      <c r="X24" s="423">
        <v>6.0</v>
      </c>
      <c r="Y24" s="423">
        <v>8.1</v>
      </c>
    </row>
    <row r="25">
      <c r="A25" s="482"/>
      <c r="B25" s="71" t="s">
        <v>123</v>
      </c>
      <c r="C25" s="59" t="s">
        <v>41</v>
      </c>
      <c r="D25" s="480">
        <v>0.0</v>
      </c>
      <c r="E25" s="481">
        <v>1.0</v>
      </c>
      <c r="F25" s="481">
        <v>1.0</v>
      </c>
      <c r="G25" s="53">
        <v>27.0</v>
      </c>
      <c r="H25" s="541">
        <v>1.0</v>
      </c>
      <c r="I25" s="541">
        <v>1.0</v>
      </c>
      <c r="J25" s="541">
        <v>0.0</v>
      </c>
      <c r="K25" s="541">
        <v>0.0</v>
      </c>
      <c r="L25" s="541">
        <v>0.0</v>
      </c>
      <c r="M25" s="541">
        <v>1.0</v>
      </c>
      <c r="N25" s="541">
        <v>0.0</v>
      </c>
      <c r="O25" s="53">
        <v>4.75</v>
      </c>
      <c r="P25" s="451">
        <v>3.0</v>
      </c>
      <c r="Q25" s="451">
        <v>52.78</v>
      </c>
      <c r="R25" s="451">
        <v>70.0</v>
      </c>
      <c r="S25" s="451">
        <v>0.38</v>
      </c>
      <c r="T25" s="57">
        <v>1251.07</v>
      </c>
      <c r="U25" s="57">
        <v>428.82</v>
      </c>
      <c r="V25" s="57">
        <v>59.74</v>
      </c>
      <c r="W25" s="423">
        <v>7.0</v>
      </c>
      <c r="X25" s="423">
        <v>5.0</v>
      </c>
      <c r="Y25" s="423">
        <v>6.4</v>
      </c>
    </row>
    <row r="26">
      <c r="A26" s="482"/>
      <c r="B26" s="71" t="s">
        <v>124</v>
      </c>
      <c r="C26" s="59" t="s">
        <v>36</v>
      </c>
      <c r="D26" s="480">
        <v>0.0</v>
      </c>
      <c r="E26" s="481">
        <v>2.0</v>
      </c>
      <c r="F26" s="481">
        <v>1.0</v>
      </c>
      <c r="G26" s="53">
        <v>22.0</v>
      </c>
      <c r="H26" s="541">
        <v>2.0</v>
      </c>
      <c r="I26" s="541">
        <v>1.0</v>
      </c>
      <c r="J26" s="541">
        <v>0.0</v>
      </c>
      <c r="K26" s="541">
        <v>0.0</v>
      </c>
      <c r="L26" s="541">
        <v>1.0</v>
      </c>
      <c r="M26" s="541">
        <v>0.0</v>
      </c>
      <c r="N26" s="541">
        <v>0.0</v>
      </c>
      <c r="O26" s="53">
        <v>4.0</v>
      </c>
      <c r="P26" s="451">
        <v>5.0</v>
      </c>
      <c r="Q26" s="451">
        <v>30.56</v>
      </c>
      <c r="R26" s="451">
        <v>95.0</v>
      </c>
      <c r="S26" s="451">
        <v>2.63</v>
      </c>
      <c r="T26" s="57">
        <v>428.64</v>
      </c>
      <c r="U26" s="57">
        <v>217.52</v>
      </c>
      <c r="V26" s="57">
        <v>110.93</v>
      </c>
      <c r="W26" s="423">
        <v>10.0</v>
      </c>
      <c r="X26" s="423">
        <v>10.0</v>
      </c>
      <c r="Y26" s="423">
        <v>10.0</v>
      </c>
    </row>
    <row r="27">
      <c r="A27" s="482"/>
      <c r="B27" s="71" t="s">
        <v>125</v>
      </c>
      <c r="C27" s="59" t="s">
        <v>37</v>
      </c>
      <c r="D27" s="480">
        <v>0.0</v>
      </c>
      <c r="E27" s="481">
        <v>1.0</v>
      </c>
      <c r="F27" s="481">
        <v>0.0</v>
      </c>
      <c r="G27" s="53">
        <v>23.0</v>
      </c>
      <c r="H27" s="541">
        <v>1.0</v>
      </c>
      <c r="I27" s="541">
        <v>1.0</v>
      </c>
      <c r="J27" s="541">
        <v>0.0</v>
      </c>
      <c r="K27" s="541">
        <v>0.0</v>
      </c>
      <c r="L27" s="541">
        <v>0.0</v>
      </c>
      <c r="M27" s="541">
        <v>1.0</v>
      </c>
      <c r="N27" s="541">
        <v>0.0</v>
      </c>
      <c r="O27" s="53">
        <v>4.25</v>
      </c>
      <c r="P27" s="451">
        <v>3.0</v>
      </c>
      <c r="Q27" s="451">
        <v>58.33</v>
      </c>
      <c r="R27" s="451">
        <v>47.5</v>
      </c>
      <c r="S27" s="451">
        <v>0.0</v>
      </c>
      <c r="T27" s="57">
        <v>426.56</v>
      </c>
      <c r="U27" s="57">
        <v>242.82</v>
      </c>
      <c r="V27" s="57">
        <v>85.45</v>
      </c>
      <c r="W27" s="423">
        <v>6.0</v>
      </c>
      <c r="X27" s="423">
        <v>6.0</v>
      </c>
      <c r="Y27" s="423">
        <v>6.0</v>
      </c>
    </row>
    <row r="28">
      <c r="A28" s="482"/>
      <c r="B28" s="71" t="s">
        <v>126</v>
      </c>
      <c r="C28" s="59" t="s">
        <v>40</v>
      </c>
      <c r="D28" s="480">
        <v>0.0</v>
      </c>
      <c r="E28" s="481">
        <v>2.0</v>
      </c>
      <c r="F28" s="481">
        <v>0.0</v>
      </c>
      <c r="G28" s="53">
        <v>31.0</v>
      </c>
      <c r="H28" s="541">
        <v>2.0</v>
      </c>
      <c r="I28" s="541">
        <v>1.0</v>
      </c>
      <c r="J28" s="541">
        <v>0.0</v>
      </c>
      <c r="K28" s="541">
        <v>0.0</v>
      </c>
      <c r="L28" s="541">
        <v>0.0</v>
      </c>
      <c r="M28" s="541">
        <v>1.0</v>
      </c>
      <c r="N28" s="541">
        <v>0.0</v>
      </c>
      <c r="O28" s="53">
        <v>4.0</v>
      </c>
      <c r="P28" s="451">
        <v>7.0</v>
      </c>
      <c r="Q28" s="451">
        <v>16.67</v>
      </c>
      <c r="R28" s="451">
        <v>100.0</v>
      </c>
      <c r="S28" s="451">
        <v>1.88</v>
      </c>
      <c r="T28" s="57">
        <v>470.96</v>
      </c>
      <c r="U28" s="57">
        <v>477.24</v>
      </c>
      <c r="V28" s="57">
        <v>52.22</v>
      </c>
      <c r="W28" s="423">
        <v>9.0</v>
      </c>
      <c r="X28" s="423">
        <v>10.0</v>
      </c>
      <c r="Y28" s="423">
        <v>9.3</v>
      </c>
    </row>
    <row r="29">
      <c r="A29" s="482"/>
      <c r="B29" s="71" t="s">
        <v>127</v>
      </c>
      <c r="C29" s="59" t="s">
        <v>41</v>
      </c>
      <c r="D29" s="480">
        <v>0.0</v>
      </c>
      <c r="E29" s="481">
        <v>1.0</v>
      </c>
      <c r="F29" s="481">
        <v>1.0</v>
      </c>
      <c r="G29" s="53">
        <v>31.0</v>
      </c>
      <c r="H29" s="541">
        <v>1.0</v>
      </c>
      <c r="I29" s="541">
        <v>1.0</v>
      </c>
      <c r="J29" s="541">
        <v>0.0</v>
      </c>
      <c r="K29" s="541">
        <v>0.0</v>
      </c>
      <c r="L29" s="541">
        <v>1.0</v>
      </c>
      <c r="M29" s="541">
        <v>0.0</v>
      </c>
      <c r="N29" s="541">
        <v>0.0</v>
      </c>
      <c r="O29" s="53">
        <v>4.5</v>
      </c>
      <c r="P29" s="451">
        <v>4.0</v>
      </c>
      <c r="Q29" s="451">
        <v>47.22</v>
      </c>
      <c r="R29" s="451">
        <v>75.0</v>
      </c>
      <c r="S29" s="451">
        <v>-1.25</v>
      </c>
      <c r="T29" s="57">
        <v>752.95</v>
      </c>
      <c r="U29" s="57">
        <v>269.89</v>
      </c>
      <c r="V29" s="57">
        <v>93.9</v>
      </c>
      <c r="W29" s="423">
        <v>9.0</v>
      </c>
      <c r="X29" s="423">
        <v>10.0</v>
      </c>
      <c r="Y29" s="423">
        <v>9.3</v>
      </c>
    </row>
    <row r="30">
      <c r="A30" s="482"/>
      <c r="B30" s="51">
        <v>10.0</v>
      </c>
      <c r="C30" s="59" t="s">
        <v>36</v>
      </c>
      <c r="D30" s="480">
        <v>0.0</v>
      </c>
      <c r="E30" s="481">
        <v>2.0</v>
      </c>
      <c r="F30" s="481">
        <v>1.0</v>
      </c>
      <c r="G30" s="53">
        <v>31.0</v>
      </c>
      <c r="H30" s="541">
        <v>2.0</v>
      </c>
      <c r="I30" s="541">
        <v>1.0</v>
      </c>
      <c r="J30" s="541">
        <v>1.0</v>
      </c>
      <c r="K30" s="541">
        <v>0.0</v>
      </c>
      <c r="L30" s="541">
        <v>0.0</v>
      </c>
      <c r="M30" s="541">
        <v>0.0</v>
      </c>
      <c r="N30" s="541">
        <v>0.0</v>
      </c>
      <c r="O30" s="53">
        <v>4.0</v>
      </c>
      <c r="P30" s="451">
        <v>6.0</v>
      </c>
      <c r="Q30" s="451">
        <v>11.11</v>
      </c>
      <c r="R30" s="451">
        <v>90.0</v>
      </c>
      <c r="S30" s="451">
        <v>0.5</v>
      </c>
      <c r="T30" s="57">
        <v>443.71</v>
      </c>
      <c r="U30" s="57">
        <v>234.64</v>
      </c>
      <c r="V30" s="57">
        <v>118.35</v>
      </c>
      <c r="W30" s="423">
        <v>9.0</v>
      </c>
      <c r="X30" s="423">
        <v>10.0</v>
      </c>
      <c r="Y30" s="423">
        <v>9.3</v>
      </c>
    </row>
    <row r="31">
      <c r="A31" s="482"/>
      <c r="B31" s="51">
        <v>11.0</v>
      </c>
      <c r="C31" s="59" t="s">
        <v>37</v>
      </c>
      <c r="D31" s="480">
        <v>0.0</v>
      </c>
      <c r="E31" s="481">
        <v>1.0</v>
      </c>
      <c r="F31" s="481">
        <v>0.0</v>
      </c>
      <c r="G31" s="53">
        <v>24.0</v>
      </c>
      <c r="H31" s="541">
        <v>2.0</v>
      </c>
      <c r="I31" s="541">
        <v>1.0</v>
      </c>
      <c r="J31" s="541">
        <v>0.0</v>
      </c>
      <c r="K31" s="541">
        <v>1.0</v>
      </c>
      <c r="L31" s="541">
        <v>0.0</v>
      </c>
      <c r="M31" s="541">
        <v>0.0</v>
      </c>
      <c r="N31" s="541">
        <v>0.0</v>
      </c>
      <c r="O31" s="53">
        <v>4.0</v>
      </c>
      <c r="P31" s="451">
        <v>5.0</v>
      </c>
      <c r="Q31" s="451">
        <v>19.44</v>
      </c>
      <c r="R31" s="451">
        <v>92.5</v>
      </c>
      <c r="S31" s="451">
        <v>-0.25</v>
      </c>
      <c r="T31" s="57">
        <v>627.38</v>
      </c>
      <c r="U31" s="57">
        <v>218.79</v>
      </c>
      <c r="V31" s="57">
        <v>56.96</v>
      </c>
      <c r="W31" s="423">
        <v>8.0</v>
      </c>
      <c r="X31" s="423">
        <v>10.0</v>
      </c>
      <c r="Y31" s="423">
        <v>8.6</v>
      </c>
    </row>
    <row r="32">
      <c r="A32" s="482"/>
      <c r="B32" s="51">
        <v>12.0</v>
      </c>
      <c r="C32" s="59" t="s">
        <v>40</v>
      </c>
      <c r="D32" s="480">
        <v>0.0</v>
      </c>
      <c r="E32" s="481">
        <v>2.0</v>
      </c>
      <c r="F32" s="481">
        <v>0.0</v>
      </c>
      <c r="G32" s="53">
        <v>42.0</v>
      </c>
      <c r="H32" s="541">
        <v>1.0</v>
      </c>
      <c r="I32" s="541">
        <v>1.0</v>
      </c>
      <c r="J32" s="541">
        <v>0.0</v>
      </c>
      <c r="K32" s="541">
        <v>0.0</v>
      </c>
      <c r="L32" s="541">
        <v>1.0</v>
      </c>
      <c r="M32" s="541">
        <v>0.0</v>
      </c>
      <c r="N32" s="541">
        <v>0.0</v>
      </c>
      <c r="O32" s="53">
        <v>3.5</v>
      </c>
      <c r="P32" s="451">
        <v>5.0</v>
      </c>
      <c r="Q32" s="451">
        <v>22.22</v>
      </c>
      <c r="R32" s="451">
        <v>90.0</v>
      </c>
      <c r="S32" s="451">
        <v>1.25</v>
      </c>
      <c r="T32" s="57">
        <v>365.47</v>
      </c>
      <c r="U32" s="57">
        <v>185.08</v>
      </c>
      <c r="V32" s="57">
        <v>44.41</v>
      </c>
      <c r="W32" s="423">
        <v>10.0</v>
      </c>
      <c r="X32" s="423">
        <v>10.0</v>
      </c>
      <c r="Y32" s="423">
        <v>10.0</v>
      </c>
    </row>
    <row r="33">
      <c r="A33" s="482"/>
      <c r="B33" s="51">
        <v>13.0</v>
      </c>
      <c r="C33" s="59" t="s">
        <v>41</v>
      </c>
      <c r="D33" s="480">
        <v>0.0</v>
      </c>
      <c r="E33" s="481">
        <v>1.0</v>
      </c>
      <c r="F33" s="481">
        <v>1.0</v>
      </c>
      <c r="G33" s="53">
        <v>26.0</v>
      </c>
      <c r="H33" s="541">
        <v>1.0</v>
      </c>
      <c r="I33" s="541">
        <v>1.0</v>
      </c>
      <c r="J33" s="541">
        <v>0.0</v>
      </c>
      <c r="K33" s="541">
        <v>1.0</v>
      </c>
      <c r="L33" s="541">
        <v>0.0</v>
      </c>
      <c r="M33" s="541">
        <v>0.0</v>
      </c>
      <c r="N33" s="541">
        <v>0.0</v>
      </c>
      <c r="O33" s="53">
        <v>4.25</v>
      </c>
      <c r="P33" s="451">
        <v>4.0</v>
      </c>
      <c r="Q33" s="451">
        <v>38.89</v>
      </c>
      <c r="R33" s="451">
        <v>95.0</v>
      </c>
      <c r="S33" s="451">
        <v>2.25</v>
      </c>
      <c r="T33" s="57">
        <v>380.9</v>
      </c>
      <c r="U33" s="57">
        <v>224.16</v>
      </c>
      <c r="V33" s="57">
        <v>61.17</v>
      </c>
      <c r="W33" s="423">
        <v>10.0</v>
      </c>
      <c r="X33" s="423">
        <v>10.0</v>
      </c>
      <c r="Y33" s="423">
        <v>10.0</v>
      </c>
    </row>
    <row r="34">
      <c r="A34" s="482"/>
      <c r="B34" s="51">
        <v>14.0</v>
      </c>
      <c r="C34" s="59" t="s">
        <v>36</v>
      </c>
      <c r="D34" s="480">
        <v>0.0</v>
      </c>
      <c r="E34" s="481">
        <v>2.0</v>
      </c>
      <c r="F34" s="481">
        <v>1.0</v>
      </c>
      <c r="G34" s="53">
        <v>25.0</v>
      </c>
      <c r="H34" s="541">
        <v>1.0</v>
      </c>
      <c r="I34" s="541">
        <v>2.0</v>
      </c>
      <c r="J34" s="541">
        <v>0.0</v>
      </c>
      <c r="K34" s="541">
        <v>0.0</v>
      </c>
      <c r="L34" s="541">
        <v>1.0</v>
      </c>
      <c r="M34" s="541">
        <v>0.0</v>
      </c>
      <c r="N34" s="541">
        <v>0.0</v>
      </c>
      <c r="O34" s="53">
        <v>4.0</v>
      </c>
      <c r="P34" s="451">
        <v>4.0</v>
      </c>
      <c r="Q34" s="451">
        <v>52.78</v>
      </c>
      <c r="R34" s="451">
        <v>57.5</v>
      </c>
      <c r="S34" s="451">
        <v>1.0</v>
      </c>
      <c r="T34" s="57">
        <v>745.99</v>
      </c>
      <c r="U34" s="57">
        <v>233.99</v>
      </c>
      <c r="V34" s="57">
        <v>156.29</v>
      </c>
      <c r="W34" s="423">
        <v>6.0</v>
      </c>
      <c r="X34" s="423">
        <v>5.0</v>
      </c>
      <c r="Y34" s="423">
        <v>5.7</v>
      </c>
    </row>
    <row r="35">
      <c r="A35" s="482"/>
      <c r="B35" s="51">
        <v>15.0</v>
      </c>
      <c r="C35" s="59" t="s">
        <v>37</v>
      </c>
      <c r="D35" s="480">
        <v>0.0</v>
      </c>
      <c r="E35" s="481">
        <v>1.0</v>
      </c>
      <c r="F35" s="481">
        <v>0.0</v>
      </c>
      <c r="G35" s="53">
        <v>25.0</v>
      </c>
      <c r="H35" s="541">
        <v>1.0</v>
      </c>
      <c r="I35" s="541">
        <v>1.0</v>
      </c>
      <c r="J35" s="541">
        <v>0.0</v>
      </c>
      <c r="K35" s="541">
        <v>0.0</v>
      </c>
      <c r="L35" s="541">
        <v>0.0</v>
      </c>
      <c r="M35" s="541">
        <v>1.0</v>
      </c>
      <c r="N35" s="541">
        <v>0.0</v>
      </c>
      <c r="O35" s="53">
        <v>4.75</v>
      </c>
      <c r="P35" s="451">
        <v>7.0</v>
      </c>
      <c r="Q35" s="451">
        <v>22.22</v>
      </c>
      <c r="R35" s="451">
        <v>95.0</v>
      </c>
      <c r="S35" s="451">
        <v>1.63</v>
      </c>
      <c r="T35" s="57">
        <v>433.74</v>
      </c>
      <c r="U35" s="57">
        <v>464.33</v>
      </c>
      <c r="V35" s="57">
        <v>50.96</v>
      </c>
      <c r="W35" s="423">
        <v>8.0</v>
      </c>
      <c r="X35" s="423">
        <v>6.0</v>
      </c>
      <c r="Y35" s="423">
        <v>7.4</v>
      </c>
    </row>
    <row r="36">
      <c r="A36" s="482"/>
      <c r="B36" s="51">
        <v>16.0</v>
      </c>
      <c r="C36" s="59" t="s">
        <v>40</v>
      </c>
      <c r="D36" s="480">
        <v>0.0</v>
      </c>
      <c r="E36" s="481">
        <v>2.0</v>
      </c>
      <c r="F36" s="481">
        <v>0.0</v>
      </c>
      <c r="G36" s="53">
        <v>23.0</v>
      </c>
      <c r="H36" s="541">
        <v>1.0</v>
      </c>
      <c r="I36" s="541">
        <v>1.0</v>
      </c>
      <c r="J36" s="541">
        <v>0.0</v>
      </c>
      <c r="K36" s="541">
        <v>0.0</v>
      </c>
      <c r="L36" s="541">
        <v>0.0</v>
      </c>
      <c r="M36" s="541">
        <v>1.0</v>
      </c>
      <c r="N36" s="541">
        <v>0.0</v>
      </c>
      <c r="O36" s="53">
        <v>3.5</v>
      </c>
      <c r="P36" s="451">
        <v>6.0</v>
      </c>
      <c r="Q36" s="451">
        <v>25.0</v>
      </c>
      <c r="R36" s="451">
        <v>87.5</v>
      </c>
      <c r="S36" s="451">
        <v>0.75</v>
      </c>
      <c r="T36" s="57">
        <v>458.35</v>
      </c>
      <c r="U36" s="57">
        <v>381.25</v>
      </c>
      <c r="V36" s="57">
        <v>45.02</v>
      </c>
      <c r="W36" s="423">
        <v>9.0</v>
      </c>
      <c r="X36" s="423">
        <v>6.0</v>
      </c>
      <c r="Y36" s="423">
        <v>8.1</v>
      </c>
    </row>
    <row r="37">
      <c r="A37" s="482"/>
      <c r="B37" s="51">
        <v>17.0</v>
      </c>
      <c r="C37" s="59" t="s">
        <v>41</v>
      </c>
      <c r="D37" s="480">
        <v>0.0</v>
      </c>
      <c r="E37" s="481">
        <v>1.0</v>
      </c>
      <c r="F37" s="481">
        <v>1.0</v>
      </c>
      <c r="G37" s="53">
        <v>35.0</v>
      </c>
      <c r="H37" s="541">
        <v>1.0</v>
      </c>
      <c r="I37" s="541">
        <v>3.0</v>
      </c>
      <c r="J37" s="541">
        <v>0.0</v>
      </c>
      <c r="K37" s="541">
        <v>1.0</v>
      </c>
      <c r="L37" s="541">
        <v>1.0</v>
      </c>
      <c r="M37" s="541">
        <v>0.0</v>
      </c>
      <c r="N37" s="541">
        <v>0.0</v>
      </c>
      <c r="O37" s="53">
        <v>4.75</v>
      </c>
      <c r="P37" s="451">
        <v>5.0</v>
      </c>
      <c r="Q37" s="451">
        <v>50.0</v>
      </c>
      <c r="R37" s="451">
        <v>65.0</v>
      </c>
      <c r="S37" s="451">
        <v>-0.38</v>
      </c>
      <c r="T37" s="57">
        <v>473.43</v>
      </c>
      <c r="U37" s="57">
        <v>426.1</v>
      </c>
      <c r="V37" s="57">
        <v>106.8</v>
      </c>
      <c r="W37" s="423">
        <v>9.0</v>
      </c>
      <c r="X37" s="423">
        <v>10.0</v>
      </c>
      <c r="Y37" s="423">
        <v>9.3</v>
      </c>
    </row>
    <row r="38">
      <c r="A38" s="482"/>
      <c r="B38" s="51">
        <v>18.0</v>
      </c>
      <c r="C38" s="59" t="s">
        <v>36</v>
      </c>
      <c r="D38" s="480">
        <v>0.0</v>
      </c>
      <c r="E38" s="481">
        <v>2.0</v>
      </c>
      <c r="F38" s="481">
        <v>1.0</v>
      </c>
      <c r="G38" s="53">
        <v>24.0</v>
      </c>
      <c r="H38" s="541">
        <v>2.0</v>
      </c>
      <c r="I38" s="541">
        <v>2.0</v>
      </c>
      <c r="J38" s="541">
        <v>0.0</v>
      </c>
      <c r="K38" s="541">
        <v>0.0</v>
      </c>
      <c r="L38" s="541">
        <v>0.0</v>
      </c>
      <c r="M38" s="541">
        <v>1.0</v>
      </c>
      <c r="N38" s="541">
        <v>0.0</v>
      </c>
      <c r="O38" s="53">
        <v>3.5</v>
      </c>
      <c r="P38" s="451">
        <v>5.0</v>
      </c>
      <c r="Q38" s="451">
        <v>38.89</v>
      </c>
      <c r="R38" s="451">
        <v>60.0</v>
      </c>
      <c r="S38" s="451">
        <v>1.25</v>
      </c>
      <c r="T38" s="57">
        <v>703.47</v>
      </c>
      <c r="U38" s="57">
        <v>388.61</v>
      </c>
      <c r="V38" s="57">
        <v>109.76</v>
      </c>
      <c r="W38" s="423">
        <v>7.0</v>
      </c>
      <c r="X38" s="423">
        <v>6.0</v>
      </c>
      <c r="Y38" s="423">
        <v>6.7</v>
      </c>
    </row>
    <row r="39">
      <c r="A39" s="482"/>
      <c r="B39" s="51">
        <v>19.0</v>
      </c>
      <c r="C39" s="59" t="s">
        <v>37</v>
      </c>
      <c r="D39" s="480">
        <v>0.0</v>
      </c>
      <c r="E39" s="481">
        <v>1.0</v>
      </c>
      <c r="F39" s="481">
        <v>0.0</v>
      </c>
      <c r="G39" s="53">
        <v>26.0</v>
      </c>
      <c r="H39" s="541">
        <v>2.0</v>
      </c>
      <c r="I39" s="541">
        <v>1.0</v>
      </c>
      <c r="J39" s="541">
        <v>0.0</v>
      </c>
      <c r="K39" s="541">
        <v>1.0</v>
      </c>
      <c r="L39" s="541">
        <v>0.0</v>
      </c>
      <c r="M39" s="541">
        <v>0.0</v>
      </c>
      <c r="N39" s="541">
        <v>0.0</v>
      </c>
      <c r="O39" s="53">
        <v>3.75</v>
      </c>
      <c r="P39" s="451">
        <v>7.0</v>
      </c>
      <c r="Q39" s="451">
        <v>36.11</v>
      </c>
      <c r="R39" s="451">
        <v>77.5</v>
      </c>
      <c r="S39" s="451">
        <v>2.13</v>
      </c>
      <c r="T39" s="57">
        <v>335.99</v>
      </c>
      <c r="U39" s="57">
        <v>220.24</v>
      </c>
      <c r="V39" s="57">
        <v>52.75</v>
      </c>
      <c r="W39" s="423">
        <v>9.0</v>
      </c>
      <c r="X39" s="423">
        <v>6.0</v>
      </c>
      <c r="Y39" s="423">
        <v>8.1</v>
      </c>
    </row>
    <row r="40">
      <c r="A40" s="482"/>
      <c r="B40" s="51">
        <v>20.0</v>
      </c>
      <c r="C40" s="59" t="s">
        <v>40</v>
      </c>
      <c r="D40" s="480">
        <v>0.0</v>
      </c>
      <c r="E40" s="481">
        <v>2.0</v>
      </c>
      <c r="F40" s="481">
        <v>0.0</v>
      </c>
      <c r="G40" s="53">
        <v>34.0</v>
      </c>
      <c r="H40" s="541">
        <v>1.0</v>
      </c>
      <c r="I40" s="541">
        <v>2.0</v>
      </c>
      <c r="J40" s="541">
        <v>0.0</v>
      </c>
      <c r="K40" s="541">
        <v>0.0</v>
      </c>
      <c r="L40" s="541">
        <v>0.0</v>
      </c>
      <c r="M40" s="541">
        <v>1.0</v>
      </c>
      <c r="N40" s="541">
        <v>0.0</v>
      </c>
      <c r="O40" s="53">
        <v>4.25</v>
      </c>
      <c r="P40" s="451">
        <v>7.0</v>
      </c>
      <c r="Q40" s="451">
        <v>38.89</v>
      </c>
      <c r="R40" s="451">
        <v>87.5</v>
      </c>
      <c r="S40" s="451">
        <v>1.63</v>
      </c>
      <c r="T40" s="57">
        <v>695.96</v>
      </c>
      <c r="U40" s="57">
        <v>440.59</v>
      </c>
      <c r="V40" s="57">
        <v>78.83</v>
      </c>
      <c r="W40" s="423">
        <v>9.0</v>
      </c>
      <c r="X40" s="423">
        <v>6.0</v>
      </c>
      <c r="Y40" s="423">
        <v>8.1</v>
      </c>
    </row>
    <row r="41">
      <c r="A41" s="482"/>
      <c r="B41" s="51">
        <v>21.0</v>
      </c>
      <c r="C41" s="59" t="s">
        <v>37</v>
      </c>
      <c r="D41" s="480">
        <v>0.0</v>
      </c>
      <c r="E41" s="481">
        <v>1.0</v>
      </c>
      <c r="F41" s="481">
        <v>0.0</v>
      </c>
      <c r="G41" s="53">
        <v>29.0</v>
      </c>
      <c r="H41" s="541">
        <v>2.0</v>
      </c>
      <c r="I41" s="541">
        <v>1.0</v>
      </c>
      <c r="J41" s="541">
        <v>0.0</v>
      </c>
      <c r="K41" s="541">
        <v>1.0</v>
      </c>
      <c r="L41" s="541">
        <v>0.0</v>
      </c>
      <c r="M41" s="541">
        <v>0.0</v>
      </c>
      <c r="N41" s="541">
        <v>0.0</v>
      </c>
      <c r="O41" s="53">
        <v>3.0</v>
      </c>
      <c r="P41" s="451">
        <v>2.0</v>
      </c>
      <c r="Q41" s="451">
        <v>52.78</v>
      </c>
      <c r="R41" s="451">
        <v>37.5</v>
      </c>
      <c r="S41" s="451">
        <v>-1.0</v>
      </c>
      <c r="T41" s="57">
        <v>451.59</v>
      </c>
      <c r="U41" s="57">
        <v>220.59</v>
      </c>
      <c r="V41" s="57">
        <v>42.94</v>
      </c>
      <c r="W41" s="423">
        <v>10.0</v>
      </c>
      <c r="X41" s="423">
        <v>10.0</v>
      </c>
      <c r="Y41" s="423">
        <v>10.0</v>
      </c>
    </row>
    <row r="42">
      <c r="A42" s="491" t="s">
        <v>673</v>
      </c>
      <c r="B42" s="492">
        <v>22.0</v>
      </c>
      <c r="C42" s="493" t="s">
        <v>40</v>
      </c>
      <c r="D42" s="494" t="s">
        <v>484</v>
      </c>
      <c r="E42" s="496" t="s">
        <v>674</v>
      </c>
      <c r="F42" s="496" t="s">
        <v>675</v>
      </c>
      <c r="G42" s="544">
        <v>31.0</v>
      </c>
      <c r="H42" s="544">
        <v>1.0</v>
      </c>
      <c r="I42" s="544">
        <v>1.0</v>
      </c>
      <c r="J42" s="544">
        <v>1.0</v>
      </c>
      <c r="K42" s="544">
        <v>1.0</v>
      </c>
      <c r="L42" s="544">
        <v>0.0</v>
      </c>
      <c r="M42" s="544">
        <v>0.0</v>
      </c>
      <c r="N42" s="544">
        <v>0.0</v>
      </c>
      <c r="O42" s="545">
        <v>4.25</v>
      </c>
      <c r="P42" s="497">
        <v>6.0</v>
      </c>
      <c r="Q42" s="497">
        <v>36.11</v>
      </c>
      <c r="R42" s="497">
        <v>75.0</v>
      </c>
      <c r="S42" s="497">
        <v>1.0</v>
      </c>
      <c r="T42" s="498">
        <v>305.94</v>
      </c>
      <c r="U42" s="498">
        <v>305.44</v>
      </c>
      <c r="V42" s="498">
        <v>39.62</v>
      </c>
      <c r="W42" s="499">
        <v>8.0</v>
      </c>
      <c r="X42" s="499">
        <v>6.0</v>
      </c>
      <c r="Y42" s="499">
        <v>7.4</v>
      </c>
      <c r="Z42" s="500"/>
      <c r="AA42" s="500"/>
      <c r="AB42" s="500"/>
      <c r="AC42" s="500"/>
      <c r="AD42" s="500"/>
      <c r="AE42" s="500"/>
      <c r="AF42" s="500"/>
      <c r="AG42" s="500"/>
      <c r="AH42" s="500"/>
      <c r="AI42" s="500"/>
      <c r="AJ42" s="500"/>
      <c r="AK42" s="500"/>
      <c r="AL42" s="500"/>
      <c r="AM42" s="500"/>
      <c r="AN42" s="500"/>
    </row>
    <row r="43">
      <c r="A43" s="482"/>
      <c r="B43" s="323">
        <v>23.0</v>
      </c>
      <c r="C43" s="501" t="s">
        <v>36</v>
      </c>
      <c r="D43" s="502" t="s">
        <v>484</v>
      </c>
      <c r="E43" s="504" t="s">
        <v>674</v>
      </c>
      <c r="F43" s="504" t="s">
        <v>484</v>
      </c>
      <c r="G43" s="546">
        <v>26.0</v>
      </c>
      <c r="H43" s="546">
        <v>1.0</v>
      </c>
      <c r="I43" s="546">
        <v>2.0</v>
      </c>
      <c r="J43" s="546">
        <v>0.0</v>
      </c>
      <c r="K43" s="546">
        <v>0.0</v>
      </c>
      <c r="L43" s="546">
        <v>0.0</v>
      </c>
      <c r="M43" s="546">
        <v>1.0</v>
      </c>
      <c r="N43" s="546">
        <v>0.0</v>
      </c>
      <c r="O43" s="547">
        <v>3.5</v>
      </c>
      <c r="P43" s="451">
        <v>5.0</v>
      </c>
      <c r="Q43" s="451">
        <v>50.0</v>
      </c>
      <c r="R43" s="451">
        <v>77.5</v>
      </c>
      <c r="S43" s="451">
        <v>1.25</v>
      </c>
      <c r="T43" s="57">
        <v>667.86</v>
      </c>
      <c r="U43" s="57">
        <v>371.11</v>
      </c>
      <c r="V43" s="57">
        <v>109.77</v>
      </c>
      <c r="W43" s="423">
        <v>9.0</v>
      </c>
      <c r="X43" s="423">
        <v>10.0</v>
      </c>
      <c r="Y43" s="423">
        <v>9.3</v>
      </c>
    </row>
    <row r="44">
      <c r="A44" s="482"/>
      <c r="B44" s="323">
        <v>24.0</v>
      </c>
      <c r="C44" s="501" t="s">
        <v>40</v>
      </c>
      <c r="D44" s="502" t="s">
        <v>484</v>
      </c>
      <c r="E44" s="504" t="s">
        <v>674</v>
      </c>
      <c r="F44" s="504" t="s">
        <v>675</v>
      </c>
      <c r="G44" s="546">
        <v>27.0</v>
      </c>
      <c r="H44" s="546">
        <v>1.0</v>
      </c>
      <c r="I44" s="546">
        <v>1.0</v>
      </c>
      <c r="J44" s="546">
        <v>0.0</v>
      </c>
      <c r="K44" s="546">
        <v>0.0</v>
      </c>
      <c r="L44" s="546">
        <v>0.0</v>
      </c>
      <c r="M44" s="546">
        <v>1.0</v>
      </c>
      <c r="N44" s="546">
        <v>0.0</v>
      </c>
      <c r="O44" s="547">
        <v>4.0</v>
      </c>
      <c r="P44" s="451">
        <v>5.0</v>
      </c>
      <c r="Q44" s="451">
        <v>41.67</v>
      </c>
      <c r="R44" s="451">
        <v>75.0</v>
      </c>
      <c r="S44" s="451">
        <v>1.88</v>
      </c>
      <c r="T44" s="57">
        <v>511.56</v>
      </c>
      <c r="U44" s="57">
        <v>273.75</v>
      </c>
      <c r="V44" s="57">
        <v>45.63</v>
      </c>
      <c r="W44" s="423">
        <v>6.0</v>
      </c>
      <c r="X44" s="423">
        <v>6.0</v>
      </c>
      <c r="Y44" s="423">
        <v>6.0</v>
      </c>
    </row>
    <row r="45">
      <c r="A45" s="482"/>
      <c r="B45" s="323">
        <v>25.0</v>
      </c>
      <c r="C45" s="501" t="s">
        <v>36</v>
      </c>
      <c r="D45" s="502" t="s">
        <v>484</v>
      </c>
      <c r="E45" s="504" t="s">
        <v>674</v>
      </c>
      <c r="F45" s="504" t="s">
        <v>484</v>
      </c>
      <c r="G45" s="546">
        <v>27.0</v>
      </c>
      <c r="H45" s="546">
        <v>2.0</v>
      </c>
      <c r="I45" s="546">
        <v>3.0</v>
      </c>
      <c r="J45" s="546">
        <v>0.0</v>
      </c>
      <c r="K45" s="546">
        <v>1.0</v>
      </c>
      <c r="L45" s="546">
        <v>1.0</v>
      </c>
      <c r="M45" s="546">
        <v>0.0</v>
      </c>
      <c r="N45" s="546">
        <v>0.0</v>
      </c>
      <c r="O45" s="547">
        <v>4.25</v>
      </c>
      <c r="P45" s="451">
        <v>6.0</v>
      </c>
      <c r="Q45" s="451">
        <v>25.0</v>
      </c>
      <c r="R45" s="451">
        <v>92.5</v>
      </c>
      <c r="S45" s="451">
        <v>0.88</v>
      </c>
      <c r="T45" s="57">
        <v>261.69</v>
      </c>
      <c r="U45" s="57">
        <v>225.85</v>
      </c>
      <c r="V45" s="57">
        <v>109.75</v>
      </c>
      <c r="W45" s="423">
        <v>9.0</v>
      </c>
      <c r="X45" s="423">
        <v>10.0</v>
      </c>
      <c r="Y45" s="423">
        <v>9.3</v>
      </c>
    </row>
    <row r="46">
      <c r="A46" s="482"/>
      <c r="B46" s="323">
        <v>26.0</v>
      </c>
      <c r="C46" s="501" t="s">
        <v>40</v>
      </c>
      <c r="D46" s="502" t="s">
        <v>484</v>
      </c>
      <c r="E46" s="504" t="s">
        <v>674</v>
      </c>
      <c r="F46" s="504" t="s">
        <v>675</v>
      </c>
      <c r="G46" s="546">
        <v>27.0</v>
      </c>
      <c r="H46" s="546">
        <v>1.0</v>
      </c>
      <c r="I46" s="546">
        <v>1.0</v>
      </c>
      <c r="J46" s="546">
        <v>0.0</v>
      </c>
      <c r="K46" s="546">
        <v>0.0</v>
      </c>
      <c r="L46" s="546">
        <v>1.0</v>
      </c>
      <c r="M46" s="546">
        <v>0.0</v>
      </c>
      <c r="N46" s="546">
        <v>1.0</v>
      </c>
      <c r="O46" s="547">
        <v>4.75</v>
      </c>
      <c r="P46" s="451">
        <v>5.0</v>
      </c>
      <c r="Q46" s="451">
        <v>58.33</v>
      </c>
      <c r="R46" s="451">
        <v>67.5</v>
      </c>
      <c r="S46" s="451">
        <v>1.5</v>
      </c>
      <c r="T46" s="57">
        <v>583.02</v>
      </c>
      <c r="U46" s="57">
        <v>347.91</v>
      </c>
      <c r="V46" s="57">
        <v>60.64</v>
      </c>
      <c r="W46" s="423">
        <v>10.0</v>
      </c>
      <c r="X46" s="423">
        <v>10.0</v>
      </c>
      <c r="Y46" s="423">
        <v>10.0</v>
      </c>
    </row>
    <row r="47">
      <c r="A47" s="482"/>
      <c r="B47" s="323">
        <v>27.0</v>
      </c>
      <c r="C47" s="501" t="s">
        <v>36</v>
      </c>
      <c r="D47" s="502" t="s">
        <v>484</v>
      </c>
      <c r="E47" s="504" t="s">
        <v>674</v>
      </c>
      <c r="F47" s="504" t="s">
        <v>484</v>
      </c>
      <c r="G47" s="546">
        <v>25.0</v>
      </c>
      <c r="H47" s="546">
        <v>2.0</v>
      </c>
      <c r="I47" s="546">
        <v>1.0</v>
      </c>
      <c r="J47" s="546">
        <v>0.0</v>
      </c>
      <c r="K47" s="546">
        <v>0.0</v>
      </c>
      <c r="L47" s="546">
        <v>0.0</v>
      </c>
      <c r="M47" s="546">
        <v>1.0</v>
      </c>
      <c r="N47" s="546">
        <v>0.0</v>
      </c>
      <c r="O47" s="547">
        <v>5.0</v>
      </c>
      <c r="P47" s="451">
        <v>5.0</v>
      </c>
      <c r="Q47" s="451">
        <v>36.11</v>
      </c>
      <c r="R47" s="451">
        <v>80.0</v>
      </c>
      <c r="S47" s="451">
        <v>2.88</v>
      </c>
      <c r="T47" s="57">
        <v>938.68</v>
      </c>
      <c r="U47" s="57">
        <v>439.91</v>
      </c>
      <c r="V47" s="57">
        <v>141.62</v>
      </c>
      <c r="W47" s="423">
        <v>9.0</v>
      </c>
      <c r="X47" s="423">
        <v>10.0</v>
      </c>
      <c r="Y47" s="423">
        <v>9.3</v>
      </c>
    </row>
    <row r="48">
      <c r="A48" s="482"/>
      <c r="B48" s="323">
        <v>28.0</v>
      </c>
      <c r="C48" s="501" t="s">
        <v>40</v>
      </c>
      <c r="D48" s="502" t="s">
        <v>484</v>
      </c>
      <c r="E48" s="504" t="s">
        <v>674</v>
      </c>
      <c r="F48" s="504" t="s">
        <v>675</v>
      </c>
      <c r="G48" s="546">
        <v>33.0</v>
      </c>
      <c r="H48" s="546">
        <v>3.0</v>
      </c>
      <c r="I48" s="546">
        <v>1.0</v>
      </c>
      <c r="J48" s="546">
        <v>0.0</v>
      </c>
      <c r="K48" s="546">
        <v>0.0</v>
      </c>
      <c r="L48" s="546">
        <v>0.0</v>
      </c>
      <c r="M48" s="546">
        <v>1.0</v>
      </c>
      <c r="N48" s="546">
        <v>0.0</v>
      </c>
      <c r="O48" s="547">
        <v>5.0</v>
      </c>
      <c r="P48" s="451">
        <v>6.0</v>
      </c>
      <c r="Q48" s="451">
        <v>27.78</v>
      </c>
      <c r="R48" s="451">
        <v>85.0</v>
      </c>
      <c r="S48" s="451">
        <v>1.75</v>
      </c>
      <c r="T48" s="57">
        <v>324.07</v>
      </c>
      <c r="U48" s="57">
        <v>239.72</v>
      </c>
      <c r="V48" s="57">
        <v>64.31</v>
      </c>
      <c r="W48" s="423">
        <v>8.0</v>
      </c>
      <c r="X48" s="423">
        <v>10.0</v>
      </c>
      <c r="Y48" s="423">
        <v>8.6</v>
      </c>
    </row>
    <row r="49">
      <c r="A49" s="482"/>
      <c r="B49" s="323">
        <v>29.0</v>
      </c>
      <c r="C49" s="501" t="s">
        <v>36</v>
      </c>
      <c r="D49" s="502" t="s">
        <v>484</v>
      </c>
      <c r="E49" s="504" t="s">
        <v>674</v>
      </c>
      <c r="F49" s="504" t="s">
        <v>484</v>
      </c>
      <c r="G49" s="546">
        <v>33.0</v>
      </c>
      <c r="H49" s="546">
        <v>1.0</v>
      </c>
      <c r="I49" s="546">
        <v>2.0</v>
      </c>
      <c r="J49" s="546">
        <v>0.0</v>
      </c>
      <c r="K49" s="546">
        <v>0.0</v>
      </c>
      <c r="L49" s="546">
        <v>0.0</v>
      </c>
      <c r="M49" s="546">
        <v>1.0</v>
      </c>
      <c r="N49" s="546">
        <v>0.0</v>
      </c>
      <c r="O49" s="547">
        <v>4.25</v>
      </c>
      <c r="P49" s="451">
        <v>5.0</v>
      </c>
      <c r="Q49" s="451">
        <v>36.11</v>
      </c>
      <c r="R49" s="451">
        <v>85.0</v>
      </c>
      <c r="S49" s="451">
        <v>0.75</v>
      </c>
      <c r="T49" s="57">
        <v>382.16</v>
      </c>
      <c r="U49" s="57">
        <v>327.89</v>
      </c>
      <c r="V49" s="57">
        <v>146.25</v>
      </c>
      <c r="W49" s="423">
        <v>8.0</v>
      </c>
      <c r="X49" s="423">
        <v>6.0</v>
      </c>
      <c r="Y49" s="423">
        <v>7.4</v>
      </c>
    </row>
    <row r="50">
      <c r="A50" s="482"/>
      <c r="B50" s="323">
        <v>31.0</v>
      </c>
      <c r="C50" s="501" t="s">
        <v>36</v>
      </c>
      <c r="D50" s="502" t="s">
        <v>484</v>
      </c>
      <c r="E50" s="504" t="s">
        <v>674</v>
      </c>
      <c r="F50" s="504" t="s">
        <v>484</v>
      </c>
      <c r="G50" s="546">
        <v>27.0</v>
      </c>
      <c r="H50" s="546">
        <v>1.0</v>
      </c>
      <c r="I50" s="546">
        <v>1.0</v>
      </c>
      <c r="J50" s="546">
        <v>0.0</v>
      </c>
      <c r="K50" s="546">
        <v>1.0</v>
      </c>
      <c r="L50" s="546">
        <v>0.0</v>
      </c>
      <c r="M50" s="546">
        <v>0.0</v>
      </c>
      <c r="N50" s="546">
        <v>0.0</v>
      </c>
      <c r="O50" s="547">
        <v>5.0</v>
      </c>
      <c r="P50" s="451">
        <v>6.0</v>
      </c>
      <c r="Q50" s="451">
        <v>38.89</v>
      </c>
      <c r="R50" s="451">
        <v>85.0</v>
      </c>
      <c r="S50" s="451">
        <v>0.63</v>
      </c>
      <c r="T50" s="57">
        <v>479.95</v>
      </c>
      <c r="U50" s="57">
        <v>466.72</v>
      </c>
      <c r="V50" s="57">
        <v>205.63</v>
      </c>
      <c r="W50" s="423">
        <v>8.0</v>
      </c>
      <c r="X50" s="423">
        <v>6.0</v>
      </c>
      <c r="Y50" s="423">
        <v>7.4</v>
      </c>
    </row>
    <row r="51">
      <c r="A51" s="482"/>
      <c r="B51" s="323">
        <v>32.0</v>
      </c>
      <c r="C51" s="505" t="s">
        <v>40</v>
      </c>
      <c r="D51" s="502" t="s">
        <v>484</v>
      </c>
      <c r="E51" s="504" t="s">
        <v>674</v>
      </c>
      <c r="F51" s="504" t="s">
        <v>675</v>
      </c>
      <c r="G51" s="546">
        <v>39.0</v>
      </c>
      <c r="H51" s="546">
        <v>1.0</v>
      </c>
      <c r="I51" s="546">
        <v>1.0</v>
      </c>
      <c r="J51" s="546">
        <v>1.0</v>
      </c>
      <c r="K51" s="546">
        <v>1.0</v>
      </c>
      <c r="L51" s="546">
        <v>0.0</v>
      </c>
      <c r="M51" s="546">
        <v>0.0</v>
      </c>
      <c r="N51" s="546">
        <v>0.0</v>
      </c>
      <c r="O51" s="547">
        <v>4.25</v>
      </c>
      <c r="P51" s="451">
        <v>5.0</v>
      </c>
      <c r="Q51" s="451">
        <v>30.56</v>
      </c>
      <c r="R51" s="451">
        <v>82.5</v>
      </c>
      <c r="S51" s="451">
        <v>0.63</v>
      </c>
      <c r="T51" s="57">
        <v>562.03</v>
      </c>
      <c r="U51" s="57">
        <v>398.78</v>
      </c>
      <c r="V51" s="57">
        <v>49.15</v>
      </c>
      <c r="W51" s="423">
        <v>10.0</v>
      </c>
      <c r="X51" s="423">
        <v>10.0</v>
      </c>
      <c r="Y51" s="423">
        <v>10.0</v>
      </c>
    </row>
    <row r="52">
      <c r="A52" s="506" t="s">
        <v>676</v>
      </c>
      <c r="B52" s="507">
        <v>22.0</v>
      </c>
      <c r="C52" s="508" t="s">
        <v>36</v>
      </c>
      <c r="D52" s="509" t="s">
        <v>484</v>
      </c>
      <c r="E52" s="511" t="s">
        <v>674</v>
      </c>
      <c r="F52" s="511" t="s">
        <v>484</v>
      </c>
      <c r="G52" s="548">
        <v>31.0</v>
      </c>
      <c r="H52" s="548">
        <v>1.0</v>
      </c>
      <c r="I52" s="548">
        <v>1.0</v>
      </c>
      <c r="J52" s="548">
        <v>1.0</v>
      </c>
      <c r="K52" s="548">
        <v>1.0</v>
      </c>
      <c r="L52" s="548">
        <v>0.0</v>
      </c>
      <c r="M52" s="548">
        <v>0.0</v>
      </c>
      <c r="N52" s="548">
        <v>0.0</v>
      </c>
      <c r="O52" s="549">
        <v>4.25</v>
      </c>
      <c r="P52" s="488">
        <v>5.0</v>
      </c>
      <c r="Q52" s="488">
        <v>36.11</v>
      </c>
      <c r="R52" s="488">
        <v>82.5</v>
      </c>
      <c r="S52" s="488">
        <v>1.38</v>
      </c>
      <c r="T52" s="489">
        <v>433.38</v>
      </c>
      <c r="U52" s="489">
        <v>484.8</v>
      </c>
      <c r="V52" s="489">
        <v>70.79</v>
      </c>
      <c r="W52" s="490">
        <v>9.0</v>
      </c>
      <c r="X52" s="490">
        <v>10.0</v>
      </c>
      <c r="Y52" s="490">
        <v>9.3</v>
      </c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</row>
    <row r="53">
      <c r="A53" s="482"/>
      <c r="B53" s="323">
        <v>23.0</v>
      </c>
      <c r="C53" s="501" t="s">
        <v>40</v>
      </c>
      <c r="D53" s="502" t="s">
        <v>484</v>
      </c>
      <c r="E53" s="504" t="s">
        <v>674</v>
      </c>
      <c r="F53" s="504" t="s">
        <v>675</v>
      </c>
      <c r="G53" s="546">
        <v>26.0</v>
      </c>
      <c r="H53" s="546">
        <v>1.0</v>
      </c>
      <c r="I53" s="546">
        <v>2.0</v>
      </c>
      <c r="J53" s="546">
        <v>0.0</v>
      </c>
      <c r="K53" s="546">
        <v>0.0</v>
      </c>
      <c r="L53" s="546">
        <v>0.0</v>
      </c>
      <c r="M53" s="546">
        <v>1.0</v>
      </c>
      <c r="N53" s="546">
        <v>0.0</v>
      </c>
      <c r="O53" s="547">
        <v>3.5</v>
      </c>
      <c r="P53" s="451">
        <v>6.0</v>
      </c>
      <c r="Q53" s="451">
        <v>44.44</v>
      </c>
      <c r="R53" s="451">
        <v>85.0</v>
      </c>
      <c r="S53" s="451">
        <v>1.13</v>
      </c>
      <c r="T53" s="57">
        <v>469.6</v>
      </c>
      <c r="U53" s="57">
        <v>340.26</v>
      </c>
      <c r="V53" s="57">
        <v>53.14</v>
      </c>
      <c r="W53" s="423">
        <v>8.0</v>
      </c>
      <c r="X53" s="423">
        <v>10.0</v>
      </c>
      <c r="Y53" s="423">
        <v>8.6</v>
      </c>
    </row>
    <row r="54">
      <c r="A54" s="482"/>
      <c r="B54" s="323">
        <v>24.0</v>
      </c>
      <c r="C54" s="501" t="s">
        <v>36</v>
      </c>
      <c r="D54" s="502" t="s">
        <v>484</v>
      </c>
      <c r="E54" s="504" t="s">
        <v>674</v>
      </c>
      <c r="F54" s="504" t="s">
        <v>484</v>
      </c>
      <c r="G54" s="546">
        <v>27.0</v>
      </c>
      <c r="H54" s="546">
        <v>1.0</v>
      </c>
      <c r="I54" s="546">
        <v>1.0</v>
      </c>
      <c r="J54" s="546">
        <v>0.0</v>
      </c>
      <c r="K54" s="546">
        <v>0.0</v>
      </c>
      <c r="L54" s="546">
        <v>0.0</v>
      </c>
      <c r="M54" s="546">
        <v>1.0</v>
      </c>
      <c r="N54" s="546">
        <v>0.0</v>
      </c>
      <c r="O54" s="547">
        <v>4.0</v>
      </c>
      <c r="P54" s="451">
        <v>5.0</v>
      </c>
      <c r="Q54" s="451">
        <v>58.33</v>
      </c>
      <c r="R54" s="451">
        <v>62.5</v>
      </c>
      <c r="S54" s="451">
        <v>1.63</v>
      </c>
      <c r="T54" s="57">
        <v>526.11</v>
      </c>
      <c r="U54" s="57">
        <v>324.48</v>
      </c>
      <c r="V54" s="57">
        <v>198.49</v>
      </c>
      <c r="W54" s="423">
        <v>10.0</v>
      </c>
      <c r="X54" s="423">
        <v>10.0</v>
      </c>
      <c r="Y54" s="423">
        <v>10.0</v>
      </c>
    </row>
    <row r="55">
      <c r="A55" s="482"/>
      <c r="B55" s="323">
        <v>25.0</v>
      </c>
      <c r="C55" s="501" t="s">
        <v>40</v>
      </c>
      <c r="D55" s="502" t="s">
        <v>484</v>
      </c>
      <c r="E55" s="504" t="s">
        <v>674</v>
      </c>
      <c r="F55" s="504" t="s">
        <v>675</v>
      </c>
      <c r="G55" s="546">
        <v>27.0</v>
      </c>
      <c r="H55" s="546">
        <v>2.0</v>
      </c>
      <c r="I55" s="546">
        <v>3.0</v>
      </c>
      <c r="J55" s="546">
        <v>0.0</v>
      </c>
      <c r="K55" s="546">
        <v>1.0</v>
      </c>
      <c r="L55" s="546">
        <v>1.0</v>
      </c>
      <c r="M55" s="546">
        <v>0.0</v>
      </c>
      <c r="N55" s="546">
        <v>0.0</v>
      </c>
      <c r="O55" s="547">
        <v>4.25</v>
      </c>
      <c r="P55" s="451">
        <v>7.0</v>
      </c>
      <c r="Q55" s="451">
        <v>22.22</v>
      </c>
      <c r="R55" s="451">
        <v>85.0</v>
      </c>
      <c r="S55" s="451">
        <v>0.88</v>
      </c>
      <c r="T55" s="57">
        <v>339.45</v>
      </c>
      <c r="U55" s="57">
        <v>256.35</v>
      </c>
      <c r="V55" s="57">
        <v>61.03</v>
      </c>
      <c r="W55" s="423">
        <v>9.0</v>
      </c>
      <c r="X55" s="423">
        <v>10.0</v>
      </c>
      <c r="Y55" s="423">
        <v>9.3</v>
      </c>
    </row>
    <row r="56">
      <c r="A56" s="482"/>
      <c r="B56" s="323">
        <v>26.0</v>
      </c>
      <c r="C56" s="501" t="s">
        <v>36</v>
      </c>
      <c r="D56" s="502" t="s">
        <v>484</v>
      </c>
      <c r="E56" s="504" t="s">
        <v>674</v>
      </c>
      <c r="F56" s="504" t="s">
        <v>484</v>
      </c>
      <c r="G56" s="546">
        <v>27.0</v>
      </c>
      <c r="H56" s="546">
        <v>1.0</v>
      </c>
      <c r="I56" s="546">
        <v>1.0</v>
      </c>
      <c r="J56" s="546">
        <v>0.0</v>
      </c>
      <c r="K56" s="546">
        <v>0.0</v>
      </c>
      <c r="L56" s="546">
        <v>1.0</v>
      </c>
      <c r="M56" s="546">
        <v>0.0</v>
      </c>
      <c r="N56" s="546">
        <v>1.0</v>
      </c>
      <c r="O56" s="547">
        <v>4.75</v>
      </c>
      <c r="P56" s="451">
        <v>5.0</v>
      </c>
      <c r="Q56" s="451">
        <v>41.67</v>
      </c>
      <c r="R56" s="451">
        <v>80.0</v>
      </c>
      <c r="S56" s="451">
        <v>1.13</v>
      </c>
      <c r="T56" s="57">
        <v>683.88</v>
      </c>
      <c r="U56" s="57">
        <v>457.47</v>
      </c>
      <c r="V56" s="57">
        <v>181.22</v>
      </c>
      <c r="W56" s="423">
        <v>9.0</v>
      </c>
      <c r="X56" s="423">
        <v>10.0</v>
      </c>
      <c r="Y56" s="423">
        <v>9.3</v>
      </c>
    </row>
    <row r="57">
      <c r="A57" s="482"/>
      <c r="B57" s="323">
        <v>27.0</v>
      </c>
      <c r="C57" s="501" t="s">
        <v>40</v>
      </c>
      <c r="D57" s="502" t="s">
        <v>484</v>
      </c>
      <c r="E57" s="504" t="s">
        <v>674</v>
      </c>
      <c r="F57" s="504" t="s">
        <v>675</v>
      </c>
      <c r="G57" s="546">
        <v>25.0</v>
      </c>
      <c r="H57" s="546">
        <v>2.0</v>
      </c>
      <c r="I57" s="546">
        <v>1.0</v>
      </c>
      <c r="J57" s="546">
        <v>0.0</v>
      </c>
      <c r="K57" s="546">
        <v>0.0</v>
      </c>
      <c r="L57" s="546">
        <v>0.0</v>
      </c>
      <c r="M57" s="546">
        <v>1.0</v>
      </c>
      <c r="N57" s="546">
        <v>0.0</v>
      </c>
      <c r="O57" s="547">
        <v>5.0</v>
      </c>
      <c r="P57" s="451">
        <v>4.0</v>
      </c>
      <c r="Q57" s="451">
        <v>52.78</v>
      </c>
      <c r="R57" s="451">
        <v>67.5</v>
      </c>
      <c r="S57" s="451">
        <v>2.63</v>
      </c>
      <c r="T57" s="57">
        <v>816.6</v>
      </c>
      <c r="U57" s="57">
        <v>501.47</v>
      </c>
      <c r="V57" s="57">
        <v>44.42</v>
      </c>
      <c r="W57" s="423">
        <v>8.0</v>
      </c>
      <c r="X57" s="423">
        <v>10.0</v>
      </c>
      <c r="Y57" s="423">
        <v>8.6</v>
      </c>
    </row>
    <row r="58">
      <c r="A58" s="482"/>
      <c r="B58" s="323">
        <v>28.0</v>
      </c>
      <c r="C58" s="501" t="s">
        <v>36</v>
      </c>
      <c r="D58" s="502" t="s">
        <v>484</v>
      </c>
      <c r="E58" s="504" t="s">
        <v>674</v>
      </c>
      <c r="F58" s="504" t="s">
        <v>484</v>
      </c>
      <c r="G58" s="546">
        <v>33.0</v>
      </c>
      <c r="H58" s="546">
        <v>3.0</v>
      </c>
      <c r="I58" s="546">
        <v>1.0</v>
      </c>
      <c r="J58" s="546">
        <v>0.0</v>
      </c>
      <c r="K58" s="546">
        <v>0.0</v>
      </c>
      <c r="L58" s="546">
        <v>0.0</v>
      </c>
      <c r="M58" s="546">
        <v>1.0</v>
      </c>
      <c r="N58" s="546">
        <v>0.0</v>
      </c>
      <c r="O58" s="547">
        <v>5.0</v>
      </c>
      <c r="P58" s="451">
        <v>3.0</v>
      </c>
      <c r="Q58" s="451">
        <v>66.67</v>
      </c>
      <c r="R58" s="451">
        <v>77.5</v>
      </c>
      <c r="S58" s="451">
        <v>1.13</v>
      </c>
      <c r="T58" s="57">
        <v>677.46</v>
      </c>
      <c r="U58" s="57">
        <v>316.97</v>
      </c>
      <c r="V58" s="57">
        <v>75.36</v>
      </c>
      <c r="W58" s="423">
        <v>8.0</v>
      </c>
      <c r="X58" s="423">
        <v>6.0</v>
      </c>
      <c r="Y58" s="423">
        <v>7.4</v>
      </c>
    </row>
    <row r="59">
      <c r="A59" s="482"/>
      <c r="B59" s="323">
        <v>29.0</v>
      </c>
      <c r="C59" s="501" t="s">
        <v>40</v>
      </c>
      <c r="D59" s="502" t="s">
        <v>484</v>
      </c>
      <c r="E59" s="504" t="s">
        <v>674</v>
      </c>
      <c r="F59" s="504" t="s">
        <v>675</v>
      </c>
      <c r="G59" s="546">
        <v>33.0</v>
      </c>
      <c r="H59" s="546">
        <v>1.0</v>
      </c>
      <c r="I59" s="546">
        <v>2.0</v>
      </c>
      <c r="J59" s="546">
        <v>0.0</v>
      </c>
      <c r="K59" s="546">
        <v>0.0</v>
      </c>
      <c r="L59" s="546">
        <v>0.0</v>
      </c>
      <c r="M59" s="546">
        <v>1.0</v>
      </c>
      <c r="N59" s="546">
        <v>0.0</v>
      </c>
      <c r="O59" s="547">
        <v>4.25</v>
      </c>
      <c r="P59" s="451">
        <v>3.0</v>
      </c>
      <c r="Q59" s="451">
        <v>41.67</v>
      </c>
      <c r="R59" s="451">
        <v>77.5</v>
      </c>
      <c r="S59" s="451">
        <v>0.13</v>
      </c>
      <c r="T59" s="57">
        <v>510.56</v>
      </c>
      <c r="U59" s="57">
        <v>197.66</v>
      </c>
      <c r="V59" s="57">
        <v>57.83</v>
      </c>
      <c r="W59" s="423">
        <v>7.0</v>
      </c>
      <c r="X59" s="423">
        <v>10.0</v>
      </c>
      <c r="Y59" s="423">
        <v>7.9</v>
      </c>
    </row>
    <row r="60">
      <c r="A60" s="482"/>
      <c r="B60" s="323">
        <v>31.0</v>
      </c>
      <c r="C60" s="512" t="s">
        <v>40</v>
      </c>
      <c r="D60" s="502" t="s">
        <v>484</v>
      </c>
      <c r="E60" s="504" t="s">
        <v>674</v>
      </c>
      <c r="F60" s="514" t="s">
        <v>675</v>
      </c>
      <c r="G60" s="541">
        <v>27.0</v>
      </c>
      <c r="H60" s="541">
        <v>1.0</v>
      </c>
      <c r="I60" s="541">
        <v>1.0</v>
      </c>
      <c r="J60" s="541">
        <v>0.0</v>
      </c>
      <c r="K60" s="541">
        <v>1.0</v>
      </c>
      <c r="L60" s="541">
        <v>0.0</v>
      </c>
      <c r="M60" s="541">
        <v>0.0</v>
      </c>
      <c r="N60" s="541">
        <v>0.0</v>
      </c>
      <c r="O60" s="53">
        <v>5.0</v>
      </c>
      <c r="P60" s="451">
        <v>2.0</v>
      </c>
      <c r="Q60" s="451">
        <v>41.67</v>
      </c>
      <c r="R60" s="451">
        <v>40.0</v>
      </c>
      <c r="S60" s="451">
        <v>-1.25</v>
      </c>
      <c r="T60" s="57">
        <v>543.95</v>
      </c>
      <c r="U60" s="57">
        <v>390.81</v>
      </c>
      <c r="V60" s="57">
        <v>43.16</v>
      </c>
      <c r="W60" s="423">
        <v>9.0</v>
      </c>
      <c r="X60" s="423">
        <v>10.0</v>
      </c>
      <c r="Y60" s="423">
        <v>9.3</v>
      </c>
    </row>
    <row r="61">
      <c r="A61" s="482"/>
      <c r="B61" s="323">
        <v>32.0</v>
      </c>
      <c r="C61" s="512" t="s">
        <v>36</v>
      </c>
      <c r="D61" s="502" t="s">
        <v>484</v>
      </c>
      <c r="E61" s="504" t="s">
        <v>674</v>
      </c>
      <c r="F61" s="514" t="s">
        <v>484</v>
      </c>
      <c r="G61" s="541">
        <v>39.0</v>
      </c>
      <c r="H61" s="541">
        <v>1.0</v>
      </c>
      <c r="I61" s="541">
        <v>1.0</v>
      </c>
      <c r="J61" s="541">
        <v>1.0</v>
      </c>
      <c r="K61" s="541">
        <v>1.0</v>
      </c>
      <c r="L61" s="541">
        <v>0.0</v>
      </c>
      <c r="M61" s="541">
        <v>0.0</v>
      </c>
      <c r="N61" s="541">
        <v>0.0</v>
      </c>
      <c r="O61" s="53">
        <v>4.25</v>
      </c>
      <c r="P61" s="451">
        <v>5.0</v>
      </c>
      <c r="Q61" s="451">
        <v>25.0</v>
      </c>
      <c r="R61" s="451">
        <v>85.0</v>
      </c>
      <c r="S61" s="451">
        <v>1.38</v>
      </c>
      <c r="T61" s="57">
        <v>671.68</v>
      </c>
      <c r="U61" s="57">
        <v>340.23</v>
      </c>
      <c r="V61" s="57">
        <v>80.9</v>
      </c>
      <c r="W61" s="423">
        <v>9.0</v>
      </c>
      <c r="X61" s="423">
        <v>6.0</v>
      </c>
      <c r="Y61" s="423">
        <v>8.1</v>
      </c>
    </row>
    <row r="62">
      <c r="A62" s="80"/>
      <c r="B62" s="80"/>
      <c r="C62" s="106"/>
      <c r="D62" s="80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</row>
    <row r="63">
      <c r="A63" s="80"/>
      <c r="B63" s="80"/>
      <c r="C63" s="106"/>
      <c r="D63" s="80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</row>
    <row r="64">
      <c r="A64" s="80"/>
      <c r="B64" s="80"/>
      <c r="C64" s="106"/>
      <c r="D64" s="51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</row>
    <row r="65">
      <c r="A65" s="80"/>
      <c r="B65" s="80"/>
      <c r="C65" s="106"/>
      <c r="D65" s="51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>
      <c r="A66" s="80"/>
      <c r="B66" s="80"/>
      <c r="C66" s="106"/>
      <c r="D66" s="80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>
      <c r="A67" s="80"/>
      <c r="B67" s="80"/>
      <c r="C67" s="106"/>
      <c r="D67" s="80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>
      <c r="A68" s="80"/>
      <c r="B68" s="80"/>
      <c r="C68" s="106"/>
      <c r="D68" s="80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>
      <c r="A69" s="80"/>
      <c r="B69" s="80"/>
      <c r="C69" s="106"/>
      <c r="D69" s="80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>
      <c r="A70" s="80"/>
      <c r="B70" s="80"/>
      <c r="C70" s="106"/>
      <c r="D70" s="80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>
      <c r="A71" s="80"/>
      <c r="B71" s="80"/>
      <c r="C71" s="106"/>
      <c r="D71" s="80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>
      <c r="A72" s="80"/>
      <c r="B72" s="80"/>
      <c r="C72" s="106"/>
      <c r="D72" s="80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>
      <c r="A73" s="80"/>
      <c r="B73" s="80"/>
      <c r="C73" s="106"/>
      <c r="D73" s="80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>
      <c r="A74" s="80"/>
      <c r="B74" s="80"/>
      <c r="C74" s="106"/>
      <c r="D74" s="80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>
      <c r="A75" s="80"/>
      <c r="B75" s="80"/>
      <c r="C75" s="106"/>
      <c r="D75" s="80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>
      <c r="A76" s="80"/>
      <c r="B76" s="80"/>
      <c r="C76" s="106"/>
      <c r="D76" s="80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>
      <c r="A77" s="80"/>
      <c r="B77" s="80"/>
      <c r="C77" s="106"/>
      <c r="D77" s="80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>
      <c r="A78" s="80"/>
      <c r="B78" s="80"/>
      <c r="C78" s="106"/>
      <c r="D78" s="80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>
      <c r="A79" s="80"/>
      <c r="B79" s="80"/>
      <c r="C79" s="106"/>
      <c r="D79" s="80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>
      <c r="A80" s="80"/>
      <c r="B80" s="80"/>
      <c r="C80" s="106"/>
      <c r="D80" s="80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>
      <c r="A81" s="80"/>
      <c r="B81" s="80"/>
      <c r="C81" s="106"/>
      <c r="D81" s="80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</row>
    <row r="82">
      <c r="A82" s="80"/>
      <c r="B82" s="80"/>
      <c r="C82" s="106"/>
      <c r="D82" s="80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</row>
    <row r="83">
      <c r="A83" s="80"/>
      <c r="B83" s="80"/>
      <c r="C83" s="106"/>
      <c r="D83" s="80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</row>
    <row r="84">
      <c r="A84" s="80"/>
      <c r="B84" s="80"/>
      <c r="C84" s="106"/>
      <c r="D84" s="80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>
      <c r="A85" s="80"/>
      <c r="B85" s="80"/>
      <c r="C85" s="106"/>
      <c r="D85" s="80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>
      <c r="A86" s="80"/>
      <c r="B86" s="80"/>
      <c r="C86" s="106"/>
      <c r="D86" s="80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>
      <c r="A87" s="80"/>
      <c r="B87" s="80"/>
      <c r="C87" s="106"/>
      <c r="D87" s="8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>
      <c r="A88" s="80"/>
      <c r="B88" s="80"/>
      <c r="C88" s="106"/>
      <c r="D88" s="80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</row>
    <row r="89">
      <c r="A89" s="80"/>
      <c r="B89" s="80"/>
      <c r="C89" s="106"/>
      <c r="D89" s="80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</row>
    <row r="90">
      <c r="A90" s="80"/>
      <c r="B90" s="80"/>
      <c r="C90" s="106"/>
      <c r="D90" s="80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</row>
    <row r="91">
      <c r="A91" s="80"/>
      <c r="B91" s="80"/>
      <c r="C91" s="106"/>
      <c r="D91" s="80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>
      <c r="A92" s="80"/>
      <c r="B92" s="80"/>
      <c r="C92" s="106"/>
      <c r="D92" s="80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>
      <c r="A93" s="80"/>
      <c r="B93" s="80"/>
      <c r="C93" s="106"/>
      <c r="D93" s="80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</row>
    <row r="94">
      <c r="A94" s="80"/>
      <c r="B94" s="80"/>
      <c r="C94" s="106"/>
      <c r="D94" s="80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</row>
    <row r="95">
      <c r="A95" s="80"/>
      <c r="B95" s="80"/>
      <c r="C95" s="106"/>
      <c r="D95" s="80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</row>
    <row r="96">
      <c r="A96" s="80"/>
      <c r="B96" s="80"/>
      <c r="C96" s="106"/>
      <c r="D96" s="80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</row>
    <row r="97">
      <c r="A97" s="80"/>
      <c r="B97" s="80"/>
      <c r="C97" s="106"/>
      <c r="D97" s="80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</row>
    <row r="98">
      <c r="A98" s="80"/>
      <c r="B98" s="80"/>
      <c r="C98" s="106"/>
      <c r="D98" s="80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</row>
    <row r="99">
      <c r="A99" s="80"/>
      <c r="B99" s="80"/>
      <c r="C99" s="106"/>
      <c r="D99" s="80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</row>
    <row r="100">
      <c r="A100" s="80"/>
      <c r="B100" s="80"/>
      <c r="C100" s="106"/>
      <c r="D100" s="80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</row>
    <row r="101">
      <c r="A101" s="80"/>
      <c r="B101" s="80"/>
      <c r="C101" s="106"/>
      <c r="D101" s="80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</row>
    <row r="102">
      <c r="A102" s="80"/>
      <c r="B102" s="80"/>
      <c r="C102" s="106"/>
      <c r="D102" s="80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</row>
    <row r="103">
      <c r="A103" s="80"/>
      <c r="B103" s="80"/>
      <c r="C103" s="106"/>
      <c r="D103" s="80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</row>
    <row r="104">
      <c r="A104" s="80"/>
      <c r="B104" s="80"/>
      <c r="C104" s="106"/>
      <c r="D104" s="80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</row>
    <row r="105">
      <c r="A105" s="80"/>
      <c r="B105" s="80"/>
      <c r="C105" s="106"/>
      <c r="D105" s="80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</row>
    <row r="106">
      <c r="A106" s="80"/>
      <c r="B106" s="80"/>
      <c r="C106" s="106"/>
      <c r="D106" s="80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>
      <c r="A107" s="80"/>
      <c r="B107" s="80"/>
      <c r="C107" s="106"/>
      <c r="D107" s="80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</row>
    <row r="108">
      <c r="A108" s="80"/>
      <c r="B108" s="80"/>
      <c r="C108" s="106"/>
      <c r="D108" s="80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</row>
    <row r="109">
      <c r="A109" s="80"/>
      <c r="B109" s="80"/>
      <c r="C109" s="106"/>
      <c r="D109" s="80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</row>
    <row r="110">
      <c r="A110" s="80"/>
      <c r="B110" s="80"/>
      <c r="C110" s="106"/>
      <c r="D110" s="80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</row>
    <row r="111">
      <c r="A111" s="80"/>
      <c r="B111" s="80"/>
      <c r="C111" s="106"/>
      <c r="D111" s="80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</row>
    <row r="112">
      <c r="A112" s="80"/>
      <c r="B112" s="80"/>
      <c r="C112" s="106"/>
      <c r="D112" s="80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</row>
    <row r="113">
      <c r="A113" s="80"/>
      <c r="B113" s="80"/>
      <c r="C113" s="106"/>
      <c r="D113" s="80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</row>
    <row r="114">
      <c r="A114" s="80"/>
      <c r="B114" s="80"/>
      <c r="C114" s="106"/>
      <c r="D114" s="80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</row>
    <row r="115">
      <c r="A115" s="80"/>
      <c r="B115" s="80"/>
      <c r="C115" s="106"/>
      <c r="D115" s="80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</row>
    <row r="116">
      <c r="A116" s="80"/>
      <c r="B116" s="80"/>
      <c r="C116" s="106"/>
      <c r="D116" s="80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</row>
    <row r="117">
      <c r="A117" s="80"/>
      <c r="B117" s="80"/>
      <c r="C117" s="106"/>
      <c r="D117" s="80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</row>
    <row r="118">
      <c r="A118" s="80"/>
      <c r="B118" s="80"/>
      <c r="C118" s="106"/>
      <c r="D118" s="80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</row>
    <row r="119">
      <c r="A119" s="80"/>
      <c r="B119" s="80"/>
      <c r="C119" s="106"/>
      <c r="D119" s="80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</row>
    <row r="120">
      <c r="A120" s="80"/>
      <c r="B120" s="80"/>
      <c r="C120" s="106"/>
      <c r="D120" s="80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</row>
    <row r="121">
      <c r="A121" s="80"/>
      <c r="B121" s="80"/>
      <c r="C121" s="106"/>
      <c r="D121" s="80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</row>
    <row r="122">
      <c r="A122" s="80"/>
      <c r="B122" s="80"/>
      <c r="C122" s="106"/>
      <c r="D122" s="80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</row>
    <row r="123">
      <c r="A123" s="80"/>
      <c r="B123" s="80"/>
      <c r="C123" s="106"/>
      <c r="D123" s="80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</row>
    <row r="124">
      <c r="A124" s="80"/>
      <c r="B124" s="80"/>
      <c r="C124" s="106"/>
      <c r="D124" s="80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</row>
    <row r="125">
      <c r="A125" s="80"/>
      <c r="B125" s="80"/>
      <c r="C125" s="106"/>
      <c r="D125" s="80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</row>
    <row r="126">
      <c r="A126" s="80"/>
      <c r="B126" s="80"/>
      <c r="C126" s="106"/>
      <c r="D126" s="80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</row>
    <row r="127">
      <c r="A127" s="80"/>
      <c r="B127" s="80"/>
      <c r="C127" s="106"/>
      <c r="D127" s="80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</row>
    <row r="128">
      <c r="A128" s="80"/>
      <c r="B128" s="80"/>
      <c r="C128" s="106"/>
      <c r="D128" s="80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</row>
    <row r="129">
      <c r="A129" s="80"/>
      <c r="B129" s="80"/>
      <c r="C129" s="106"/>
      <c r="D129" s="80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</row>
    <row r="130">
      <c r="A130" s="80"/>
      <c r="B130" s="80"/>
      <c r="C130" s="106"/>
      <c r="D130" s="80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</row>
    <row r="131">
      <c r="A131" s="80"/>
      <c r="B131" s="80"/>
      <c r="C131" s="106"/>
      <c r="D131" s="80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</row>
    <row r="132">
      <c r="A132" s="80"/>
      <c r="B132" s="80"/>
      <c r="C132" s="106"/>
      <c r="D132" s="80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</row>
    <row r="133">
      <c r="A133" s="80"/>
      <c r="B133" s="80"/>
      <c r="C133" s="106"/>
      <c r="D133" s="80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</row>
    <row r="134">
      <c r="A134" s="80"/>
      <c r="B134" s="80"/>
      <c r="C134" s="106"/>
      <c r="D134" s="80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</row>
    <row r="135">
      <c r="A135" s="80"/>
      <c r="B135" s="80"/>
      <c r="C135" s="106"/>
      <c r="D135" s="80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</row>
    <row r="136">
      <c r="A136" s="80"/>
      <c r="B136" s="80"/>
      <c r="C136" s="106"/>
      <c r="D136" s="80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</row>
    <row r="137">
      <c r="A137" s="80"/>
      <c r="B137" s="80"/>
      <c r="C137" s="106"/>
      <c r="D137" s="80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</row>
    <row r="138">
      <c r="A138" s="80"/>
      <c r="B138" s="80"/>
      <c r="C138" s="106"/>
      <c r="D138" s="80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</row>
    <row r="139">
      <c r="A139" s="80"/>
      <c r="B139" s="80"/>
      <c r="C139" s="106"/>
      <c r="D139" s="80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</row>
    <row r="140">
      <c r="A140" s="80"/>
      <c r="B140" s="80"/>
      <c r="C140" s="106"/>
      <c r="D140" s="80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</row>
    <row r="141">
      <c r="A141" s="80"/>
      <c r="B141" s="80"/>
      <c r="C141" s="106"/>
      <c r="D141" s="80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</row>
    <row r="142">
      <c r="A142" s="80"/>
      <c r="B142" s="80"/>
      <c r="C142" s="106"/>
      <c r="D142" s="80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>
      <c r="A143" s="80"/>
      <c r="B143" s="80"/>
      <c r="C143" s="106"/>
      <c r="D143" s="80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</row>
    <row r="144">
      <c r="A144" s="80"/>
      <c r="B144" s="80"/>
      <c r="C144" s="106"/>
      <c r="D144" s="80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</row>
    <row r="145">
      <c r="A145" s="80"/>
      <c r="B145" s="80"/>
      <c r="C145" s="106"/>
      <c r="D145" s="80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</row>
    <row r="146">
      <c r="A146" s="80"/>
      <c r="B146" s="80"/>
      <c r="C146" s="106"/>
      <c r="D146" s="80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</row>
    <row r="147">
      <c r="A147" s="80"/>
      <c r="B147" s="80"/>
      <c r="C147" s="106"/>
      <c r="D147" s="80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</row>
    <row r="148">
      <c r="A148" s="80"/>
      <c r="B148" s="80"/>
      <c r="C148" s="106"/>
      <c r="D148" s="80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</row>
    <row r="149">
      <c r="A149" s="80"/>
      <c r="B149" s="80"/>
      <c r="C149" s="106"/>
      <c r="D149" s="80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</row>
    <row r="150">
      <c r="A150" s="80"/>
      <c r="B150" s="80"/>
      <c r="C150" s="106"/>
      <c r="D150" s="80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</row>
    <row r="151">
      <c r="A151" s="80"/>
      <c r="B151" s="80"/>
      <c r="C151" s="106"/>
      <c r="D151" s="80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</row>
    <row r="152">
      <c r="A152" s="80"/>
      <c r="B152" s="80"/>
      <c r="C152" s="106"/>
      <c r="D152" s="80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</row>
    <row r="153">
      <c r="A153" s="80"/>
      <c r="B153" s="80"/>
      <c r="C153" s="106"/>
      <c r="D153" s="80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</row>
    <row r="154">
      <c r="A154" s="80"/>
      <c r="B154" s="80"/>
      <c r="C154" s="106"/>
      <c r="D154" s="80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</row>
    <row r="155">
      <c r="A155" s="80"/>
      <c r="B155" s="80"/>
      <c r="C155" s="106"/>
      <c r="D155" s="80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</row>
    <row r="156">
      <c r="A156" s="80"/>
      <c r="B156" s="80"/>
      <c r="C156" s="106"/>
      <c r="D156" s="80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</row>
    <row r="157">
      <c r="A157" s="80"/>
      <c r="B157" s="80"/>
      <c r="C157" s="106"/>
      <c r="D157" s="80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</row>
    <row r="158">
      <c r="A158" s="80"/>
      <c r="B158" s="80"/>
      <c r="C158" s="106"/>
      <c r="D158" s="80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</row>
    <row r="159">
      <c r="A159" s="80"/>
      <c r="B159" s="80"/>
      <c r="C159" s="106"/>
      <c r="D159" s="80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</row>
    <row r="160">
      <c r="A160" s="80"/>
      <c r="B160" s="80"/>
      <c r="C160" s="106"/>
      <c r="D160" s="80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</row>
    <row r="161">
      <c r="A161" s="80"/>
      <c r="B161" s="80"/>
      <c r="C161" s="106"/>
      <c r="D161" s="80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</row>
    <row r="162">
      <c r="A162" s="80"/>
      <c r="B162" s="80"/>
      <c r="C162" s="106"/>
      <c r="D162" s="80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</row>
    <row r="163">
      <c r="A163" s="80"/>
      <c r="B163" s="80"/>
      <c r="C163" s="106"/>
      <c r="D163" s="80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</row>
    <row r="164">
      <c r="A164" s="80"/>
      <c r="B164" s="80"/>
      <c r="C164" s="106"/>
      <c r="D164" s="80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</row>
    <row r="165">
      <c r="A165" s="80"/>
      <c r="B165" s="80"/>
      <c r="C165" s="106"/>
      <c r="D165" s="80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</row>
    <row r="166">
      <c r="A166" s="80"/>
      <c r="B166" s="80"/>
      <c r="C166" s="106"/>
      <c r="D166" s="80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</row>
    <row r="167">
      <c r="A167" s="80"/>
      <c r="B167" s="80"/>
      <c r="C167" s="106"/>
      <c r="D167" s="80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</row>
    <row r="168">
      <c r="A168" s="80"/>
      <c r="B168" s="80"/>
      <c r="C168" s="106"/>
      <c r="D168" s="80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</row>
    <row r="169">
      <c r="A169" s="80"/>
      <c r="B169" s="80"/>
      <c r="C169" s="106"/>
      <c r="D169" s="80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</row>
    <row r="170">
      <c r="A170" s="80"/>
      <c r="B170" s="80"/>
      <c r="C170" s="106"/>
      <c r="D170" s="80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</row>
    <row r="171">
      <c r="A171" s="80"/>
      <c r="B171" s="80"/>
      <c r="C171" s="106"/>
      <c r="D171" s="80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</row>
    <row r="172">
      <c r="A172" s="80"/>
      <c r="B172" s="80"/>
      <c r="C172" s="106"/>
      <c r="D172" s="80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</row>
    <row r="173">
      <c r="A173" s="80"/>
      <c r="B173" s="80"/>
      <c r="C173" s="106"/>
      <c r="D173" s="80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>
      <c r="A174" s="80"/>
      <c r="B174" s="80"/>
      <c r="C174" s="106"/>
      <c r="D174" s="80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</row>
    <row r="175">
      <c r="A175" s="80"/>
      <c r="B175" s="80"/>
      <c r="C175" s="106"/>
      <c r="D175" s="80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>
      <c r="A176" s="80"/>
      <c r="B176" s="80"/>
      <c r="C176" s="106"/>
      <c r="D176" s="80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>
      <c r="A177" s="80"/>
      <c r="B177" s="80"/>
      <c r="C177" s="106"/>
      <c r="D177" s="80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  <row r="178">
      <c r="A178" s="80"/>
      <c r="B178" s="80"/>
      <c r="C178" s="106"/>
      <c r="D178" s="80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</row>
    <row r="179">
      <c r="A179" s="80"/>
      <c r="B179" s="80"/>
      <c r="C179" s="106"/>
      <c r="D179" s="80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</row>
    <row r="180">
      <c r="A180" s="80"/>
      <c r="B180" s="80"/>
      <c r="C180" s="106"/>
      <c r="D180" s="80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</row>
    <row r="181">
      <c r="A181" s="80"/>
      <c r="B181" s="80"/>
      <c r="C181" s="106"/>
      <c r="D181" s="80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</row>
    <row r="182">
      <c r="A182" s="80"/>
      <c r="B182" s="80"/>
      <c r="C182" s="106"/>
      <c r="D182" s="80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</row>
    <row r="183">
      <c r="A183" s="80"/>
      <c r="B183" s="80"/>
      <c r="C183" s="106"/>
      <c r="D183" s="80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</row>
    <row r="184">
      <c r="A184" s="80"/>
      <c r="B184" s="80"/>
      <c r="C184" s="106"/>
      <c r="D184" s="80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</row>
    <row r="185">
      <c r="A185" s="80"/>
      <c r="B185" s="80"/>
      <c r="C185" s="106"/>
      <c r="D185" s="80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</row>
    <row r="186">
      <c r="A186" s="80"/>
      <c r="B186" s="80"/>
      <c r="C186" s="106"/>
      <c r="D186" s="80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</row>
    <row r="187">
      <c r="A187" s="80"/>
      <c r="B187" s="80"/>
      <c r="C187" s="106"/>
      <c r="D187" s="80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</row>
    <row r="188">
      <c r="A188" s="80"/>
      <c r="B188" s="80"/>
      <c r="C188" s="106"/>
      <c r="D188" s="80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</row>
    <row r="189">
      <c r="A189" s="80"/>
      <c r="B189" s="80"/>
      <c r="C189" s="106"/>
      <c r="D189" s="80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</row>
    <row r="190">
      <c r="A190" s="80"/>
      <c r="B190" s="80"/>
      <c r="C190" s="106"/>
      <c r="D190" s="80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</row>
    <row r="191">
      <c r="A191" s="80"/>
      <c r="B191" s="80"/>
      <c r="C191" s="106"/>
      <c r="D191" s="80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</row>
    <row r="192">
      <c r="A192" s="80"/>
      <c r="B192" s="80"/>
      <c r="C192" s="106"/>
      <c r="D192" s="80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</row>
    <row r="193">
      <c r="A193" s="80"/>
      <c r="B193" s="80"/>
      <c r="C193" s="106"/>
      <c r="D193" s="80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</row>
    <row r="194">
      <c r="A194" s="80"/>
      <c r="B194" s="80"/>
      <c r="C194" s="106"/>
      <c r="D194" s="80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</row>
    <row r="195">
      <c r="A195" s="80"/>
      <c r="B195" s="80"/>
      <c r="C195" s="106"/>
      <c r="D195" s="80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</row>
    <row r="196">
      <c r="A196" s="80"/>
      <c r="B196" s="80"/>
      <c r="C196" s="106"/>
      <c r="D196" s="80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</row>
    <row r="197">
      <c r="A197" s="80"/>
      <c r="B197" s="80"/>
      <c r="C197" s="106"/>
      <c r="D197" s="80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>
      <c r="A198" s="80"/>
      <c r="B198" s="80"/>
      <c r="C198" s="106"/>
      <c r="D198" s="80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>
      <c r="A199" s="80"/>
      <c r="B199" s="80"/>
      <c r="C199" s="106"/>
      <c r="D199" s="80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</row>
    <row r="200">
      <c r="A200" s="80"/>
      <c r="B200" s="80"/>
      <c r="C200" s="106"/>
      <c r="D200" s="80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</row>
    <row r="201">
      <c r="A201" s="80"/>
      <c r="B201" s="80"/>
      <c r="C201" s="106"/>
      <c r="D201" s="80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</row>
    <row r="202">
      <c r="A202" s="80"/>
      <c r="B202" s="80"/>
      <c r="C202" s="106"/>
      <c r="D202" s="80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</row>
    <row r="203">
      <c r="A203" s="80"/>
      <c r="B203" s="80"/>
      <c r="C203" s="106"/>
      <c r="D203" s="80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</row>
    <row r="204">
      <c r="A204" s="80"/>
      <c r="B204" s="80"/>
      <c r="C204" s="106"/>
      <c r="D204" s="80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</row>
    <row r="205">
      <c r="A205" s="80"/>
      <c r="B205" s="80"/>
      <c r="C205" s="106"/>
      <c r="D205" s="80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</row>
    <row r="206">
      <c r="A206" s="80"/>
      <c r="B206" s="80"/>
      <c r="C206" s="106"/>
      <c r="D206" s="80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</row>
    <row r="207">
      <c r="A207" s="80"/>
      <c r="B207" s="80"/>
      <c r="C207" s="106"/>
      <c r="D207" s="80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</row>
    <row r="208">
      <c r="A208" s="80"/>
      <c r="B208" s="80"/>
      <c r="C208" s="106"/>
      <c r="D208" s="80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</row>
    <row r="209">
      <c r="A209" s="80"/>
      <c r="B209" s="80"/>
      <c r="C209" s="106"/>
      <c r="D209" s="80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>
      <c r="A210" s="80"/>
      <c r="B210" s="80"/>
      <c r="C210" s="106"/>
      <c r="D210" s="80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>
      <c r="A211" s="80"/>
      <c r="B211" s="80"/>
      <c r="C211" s="106"/>
      <c r="D211" s="80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>
      <c r="A212" s="80"/>
      <c r="B212" s="80"/>
      <c r="C212" s="106"/>
      <c r="D212" s="80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>
      <c r="A213" s="80"/>
      <c r="B213" s="80"/>
      <c r="C213" s="106"/>
      <c r="D213" s="80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</row>
    <row r="214">
      <c r="A214" s="80"/>
      <c r="B214" s="80"/>
      <c r="C214" s="106"/>
      <c r="D214" s="80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</row>
    <row r="215">
      <c r="A215" s="80"/>
      <c r="B215" s="80"/>
      <c r="C215" s="106"/>
      <c r="D215" s="80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</row>
    <row r="216">
      <c r="A216" s="80"/>
      <c r="B216" s="80"/>
      <c r="C216" s="106"/>
      <c r="D216" s="80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</row>
    <row r="217">
      <c r="A217" s="80"/>
      <c r="B217" s="80"/>
      <c r="C217" s="106"/>
      <c r="D217" s="80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</row>
    <row r="218">
      <c r="A218" s="80"/>
      <c r="B218" s="80"/>
      <c r="C218" s="106"/>
      <c r="D218" s="80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</row>
    <row r="219">
      <c r="A219" s="80"/>
      <c r="B219" s="80"/>
      <c r="C219" s="106"/>
      <c r="D219" s="80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</row>
    <row r="220">
      <c r="A220" s="80"/>
      <c r="B220" s="80"/>
      <c r="C220" s="106"/>
      <c r="D220" s="80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</row>
    <row r="221">
      <c r="A221" s="80"/>
      <c r="B221" s="80"/>
      <c r="C221" s="106"/>
      <c r="D221" s="80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</row>
    <row r="222">
      <c r="A222" s="80"/>
      <c r="B222" s="80"/>
      <c r="C222" s="106"/>
      <c r="D222" s="80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</row>
    <row r="223">
      <c r="A223" s="80"/>
      <c r="B223" s="80"/>
      <c r="C223" s="106"/>
      <c r="D223" s="80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</row>
    <row r="224">
      <c r="A224" s="80"/>
      <c r="B224" s="80"/>
      <c r="C224" s="106"/>
      <c r="D224" s="80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</row>
    <row r="225">
      <c r="A225" s="80"/>
      <c r="B225" s="80"/>
      <c r="C225" s="106"/>
      <c r="D225" s="80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</row>
    <row r="226">
      <c r="A226" s="80"/>
      <c r="B226" s="80"/>
      <c r="C226" s="106"/>
      <c r="D226" s="80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</row>
    <row r="227">
      <c r="A227" s="80"/>
      <c r="B227" s="80"/>
      <c r="C227" s="106"/>
      <c r="D227" s="80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</row>
    <row r="228">
      <c r="A228" s="80"/>
      <c r="B228" s="80"/>
      <c r="C228" s="106"/>
      <c r="D228" s="80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</row>
    <row r="229">
      <c r="A229" s="80"/>
      <c r="B229" s="80"/>
      <c r="C229" s="106"/>
      <c r="D229" s="80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</row>
    <row r="230">
      <c r="A230" s="80"/>
      <c r="B230" s="80"/>
      <c r="C230" s="106"/>
      <c r="D230" s="80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</row>
    <row r="231">
      <c r="A231" s="80"/>
      <c r="B231" s="80"/>
      <c r="C231" s="106"/>
      <c r="D231" s="80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</row>
    <row r="232">
      <c r="A232" s="80"/>
      <c r="B232" s="80"/>
      <c r="C232" s="106"/>
      <c r="D232" s="80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</row>
    <row r="233">
      <c r="A233" s="80"/>
      <c r="B233" s="80"/>
      <c r="C233" s="106"/>
      <c r="D233" s="80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</row>
    <row r="234">
      <c r="A234" s="80"/>
      <c r="B234" s="80"/>
      <c r="C234" s="106"/>
      <c r="D234" s="80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</row>
    <row r="235">
      <c r="A235" s="80"/>
      <c r="B235" s="80"/>
      <c r="C235" s="106"/>
      <c r="D235" s="80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</row>
    <row r="236">
      <c r="A236" s="80"/>
      <c r="B236" s="80"/>
      <c r="C236" s="106"/>
      <c r="D236" s="80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</row>
    <row r="237">
      <c r="A237" s="80"/>
      <c r="B237" s="80"/>
      <c r="C237" s="106"/>
      <c r="D237" s="80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</row>
    <row r="238">
      <c r="A238" s="80"/>
      <c r="B238" s="80"/>
      <c r="C238" s="106"/>
      <c r="D238" s="80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</row>
    <row r="239">
      <c r="A239" s="80"/>
      <c r="B239" s="80"/>
      <c r="C239" s="106"/>
      <c r="D239" s="80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</row>
    <row r="240">
      <c r="A240" s="80"/>
      <c r="B240" s="80"/>
      <c r="C240" s="106"/>
      <c r="D240" s="80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</row>
    <row r="241">
      <c r="A241" s="80"/>
      <c r="B241" s="80"/>
      <c r="C241" s="106"/>
      <c r="D241" s="80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</row>
    <row r="242">
      <c r="A242" s="80"/>
      <c r="B242" s="80"/>
      <c r="C242" s="106"/>
      <c r="D242" s="80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</row>
    <row r="243">
      <c r="A243" s="80"/>
      <c r="B243" s="80"/>
      <c r="C243" s="106"/>
      <c r="D243" s="80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</row>
    <row r="244">
      <c r="A244" s="80"/>
      <c r="B244" s="80"/>
      <c r="C244" s="106"/>
      <c r="D244" s="80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</row>
    <row r="245">
      <c r="A245" s="80"/>
      <c r="B245" s="80"/>
      <c r="C245" s="106"/>
      <c r="D245" s="80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</row>
    <row r="246">
      <c r="A246" s="80"/>
      <c r="B246" s="80"/>
      <c r="C246" s="106"/>
      <c r="D246" s="80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</row>
    <row r="247">
      <c r="A247" s="80"/>
      <c r="B247" s="80"/>
      <c r="C247" s="106"/>
      <c r="D247" s="80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</row>
    <row r="248">
      <c r="A248" s="80"/>
      <c r="B248" s="80"/>
      <c r="C248" s="106"/>
      <c r="D248" s="80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</row>
    <row r="249">
      <c r="A249" s="80"/>
      <c r="B249" s="80"/>
      <c r="C249" s="106"/>
      <c r="D249" s="80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</row>
    <row r="250">
      <c r="A250" s="80"/>
      <c r="B250" s="80"/>
      <c r="C250" s="106"/>
      <c r="D250" s="80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</row>
    <row r="251">
      <c r="A251" s="80"/>
      <c r="B251" s="80"/>
      <c r="C251" s="106"/>
      <c r="D251" s="80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</row>
    <row r="252">
      <c r="A252" s="80"/>
      <c r="B252" s="80"/>
      <c r="C252" s="106"/>
      <c r="D252" s="80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</row>
    <row r="253">
      <c r="A253" s="80"/>
      <c r="B253" s="80"/>
      <c r="C253" s="106"/>
      <c r="D253" s="80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</row>
    <row r="254">
      <c r="A254" s="80"/>
      <c r="B254" s="80"/>
      <c r="C254" s="106"/>
      <c r="D254" s="80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</row>
    <row r="255">
      <c r="A255" s="80"/>
      <c r="B255" s="80"/>
      <c r="C255" s="106"/>
      <c r="D255" s="80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</row>
    <row r="256">
      <c r="A256" s="80"/>
      <c r="B256" s="80"/>
      <c r="C256" s="106"/>
      <c r="D256" s="80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</row>
    <row r="257">
      <c r="A257" s="80"/>
      <c r="B257" s="80"/>
      <c r="C257" s="106"/>
      <c r="D257" s="80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</row>
    <row r="258">
      <c r="A258" s="80"/>
      <c r="B258" s="80"/>
      <c r="C258" s="106"/>
      <c r="D258" s="80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</row>
    <row r="259">
      <c r="A259" s="80"/>
      <c r="B259" s="80"/>
      <c r="C259" s="106"/>
      <c r="D259" s="80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</row>
    <row r="260">
      <c r="A260" s="80"/>
      <c r="B260" s="80"/>
      <c r="C260" s="106"/>
      <c r="D260" s="80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</row>
    <row r="261">
      <c r="A261" s="80"/>
      <c r="B261" s="80"/>
      <c r="C261" s="106"/>
      <c r="D261" s="80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</row>
    <row r="262">
      <c r="A262" s="80"/>
      <c r="B262" s="80"/>
      <c r="C262" s="106"/>
      <c r="D262" s="80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</row>
    <row r="263">
      <c r="A263" s="80"/>
      <c r="B263" s="80"/>
      <c r="C263" s="106"/>
      <c r="D263" s="80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</row>
    <row r="264">
      <c r="A264" s="80"/>
      <c r="B264" s="80"/>
      <c r="C264" s="106"/>
      <c r="D264" s="80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</row>
    <row r="265">
      <c r="A265" s="80"/>
      <c r="B265" s="80"/>
      <c r="C265" s="106"/>
      <c r="D265" s="80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</row>
    <row r="266">
      <c r="A266" s="80"/>
      <c r="B266" s="80"/>
      <c r="C266" s="106"/>
      <c r="D266" s="80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</row>
    <row r="267">
      <c r="A267" s="80"/>
      <c r="B267" s="80"/>
      <c r="C267" s="106"/>
      <c r="D267" s="80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</row>
    <row r="268">
      <c r="A268" s="80"/>
      <c r="B268" s="80"/>
      <c r="C268" s="106"/>
      <c r="D268" s="80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</row>
    <row r="269">
      <c r="A269" s="80"/>
      <c r="B269" s="80"/>
      <c r="C269" s="106"/>
      <c r="D269" s="80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</row>
    <row r="270">
      <c r="A270" s="80"/>
      <c r="B270" s="80"/>
      <c r="C270" s="106"/>
      <c r="D270" s="80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</row>
    <row r="271">
      <c r="A271" s="80"/>
      <c r="B271" s="80"/>
      <c r="C271" s="106"/>
      <c r="D271" s="80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</row>
    <row r="272">
      <c r="A272" s="80"/>
      <c r="B272" s="80"/>
      <c r="C272" s="106"/>
      <c r="D272" s="80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</row>
    <row r="273">
      <c r="A273" s="80"/>
      <c r="B273" s="80"/>
      <c r="C273" s="106"/>
      <c r="D273" s="80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</row>
    <row r="274">
      <c r="A274" s="80"/>
      <c r="B274" s="80"/>
      <c r="C274" s="106"/>
      <c r="D274" s="80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</row>
    <row r="275">
      <c r="A275" s="80"/>
      <c r="B275" s="80"/>
      <c r="C275" s="106"/>
      <c r="D275" s="80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</row>
    <row r="276">
      <c r="A276" s="80"/>
      <c r="B276" s="80"/>
      <c r="C276" s="106"/>
      <c r="D276" s="80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</row>
    <row r="277">
      <c r="A277" s="80"/>
      <c r="B277" s="80"/>
      <c r="C277" s="106"/>
      <c r="D277" s="80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</row>
    <row r="278">
      <c r="A278" s="80"/>
      <c r="B278" s="80"/>
      <c r="C278" s="106"/>
      <c r="D278" s="80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</row>
    <row r="279">
      <c r="A279" s="80"/>
      <c r="B279" s="80"/>
      <c r="C279" s="106"/>
      <c r="D279" s="80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</row>
    <row r="280">
      <c r="A280" s="80"/>
      <c r="B280" s="80"/>
      <c r="C280" s="106"/>
      <c r="D280" s="80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</row>
    <row r="281">
      <c r="A281" s="80"/>
      <c r="B281" s="80"/>
      <c r="C281" s="106"/>
      <c r="D281" s="80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</row>
    <row r="282">
      <c r="A282" s="80"/>
      <c r="B282" s="80"/>
      <c r="C282" s="106"/>
      <c r="D282" s="80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</row>
    <row r="283">
      <c r="A283" s="80"/>
      <c r="B283" s="80"/>
      <c r="C283" s="106"/>
      <c r="D283" s="80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</row>
    <row r="284">
      <c r="A284" s="80"/>
      <c r="B284" s="80"/>
      <c r="C284" s="106"/>
      <c r="D284" s="80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</row>
    <row r="285">
      <c r="A285" s="80"/>
      <c r="B285" s="80"/>
      <c r="C285" s="106"/>
      <c r="D285" s="80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</row>
    <row r="286">
      <c r="A286" s="80"/>
      <c r="B286" s="80"/>
      <c r="C286" s="106"/>
      <c r="D286" s="80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</row>
    <row r="287">
      <c r="A287" s="80"/>
      <c r="B287" s="80"/>
      <c r="C287" s="106"/>
      <c r="D287" s="80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</row>
    <row r="288">
      <c r="A288" s="80"/>
      <c r="B288" s="80"/>
      <c r="C288" s="106"/>
      <c r="D288" s="80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</row>
    <row r="289">
      <c r="A289" s="80"/>
      <c r="B289" s="80"/>
      <c r="C289" s="106"/>
      <c r="D289" s="80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</row>
    <row r="290">
      <c r="A290" s="80"/>
      <c r="B290" s="80"/>
      <c r="C290" s="106"/>
      <c r="D290" s="80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</row>
    <row r="291">
      <c r="A291" s="80"/>
      <c r="B291" s="80"/>
      <c r="C291" s="106"/>
      <c r="D291" s="80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</row>
    <row r="292">
      <c r="A292" s="80"/>
      <c r="B292" s="80"/>
      <c r="C292" s="106"/>
      <c r="D292" s="80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</row>
    <row r="293">
      <c r="A293" s="80"/>
      <c r="B293" s="80"/>
      <c r="C293" s="106"/>
      <c r="D293" s="80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</row>
    <row r="294">
      <c r="A294" s="80"/>
      <c r="B294" s="80"/>
      <c r="C294" s="106"/>
      <c r="D294" s="80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</row>
    <row r="295">
      <c r="A295" s="80"/>
      <c r="B295" s="80"/>
      <c r="C295" s="106"/>
      <c r="D295" s="80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</row>
    <row r="296">
      <c r="A296" s="80"/>
      <c r="B296" s="80"/>
      <c r="C296" s="106"/>
      <c r="D296" s="80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</row>
    <row r="297">
      <c r="A297" s="80"/>
      <c r="B297" s="80"/>
      <c r="C297" s="106"/>
      <c r="D297" s="80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</row>
    <row r="298">
      <c r="A298" s="80"/>
      <c r="B298" s="80"/>
      <c r="C298" s="106"/>
      <c r="D298" s="80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</row>
    <row r="299">
      <c r="A299" s="80"/>
      <c r="B299" s="80"/>
      <c r="C299" s="106"/>
      <c r="D299" s="80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</row>
    <row r="300">
      <c r="A300" s="80"/>
      <c r="B300" s="80"/>
      <c r="C300" s="106"/>
      <c r="D300" s="80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</row>
    <row r="301">
      <c r="A301" s="80"/>
      <c r="B301" s="80"/>
      <c r="C301" s="106"/>
      <c r="D301" s="80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</row>
    <row r="302">
      <c r="A302" s="80"/>
      <c r="B302" s="80"/>
      <c r="C302" s="106"/>
      <c r="D302" s="80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</row>
    <row r="303">
      <c r="A303" s="80"/>
      <c r="B303" s="80"/>
      <c r="C303" s="106"/>
      <c r="D303" s="80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</row>
    <row r="304">
      <c r="A304" s="80"/>
      <c r="B304" s="80"/>
      <c r="C304" s="106"/>
      <c r="D304" s="80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</row>
    <row r="305">
      <c r="A305" s="80"/>
      <c r="B305" s="80"/>
      <c r="C305" s="106"/>
      <c r="D305" s="80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</row>
    <row r="306">
      <c r="A306" s="80"/>
      <c r="B306" s="80"/>
      <c r="C306" s="106"/>
      <c r="D306" s="80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</row>
    <row r="307">
      <c r="A307" s="80"/>
      <c r="B307" s="80"/>
      <c r="C307" s="106"/>
      <c r="D307" s="80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</row>
    <row r="308">
      <c r="A308" s="80"/>
      <c r="B308" s="80"/>
      <c r="C308" s="106"/>
      <c r="D308" s="80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</row>
    <row r="309">
      <c r="A309" s="80"/>
      <c r="B309" s="80"/>
      <c r="C309" s="106"/>
      <c r="D309" s="80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</row>
    <row r="310">
      <c r="A310" s="80"/>
      <c r="B310" s="80"/>
      <c r="C310" s="106"/>
      <c r="D310" s="80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</row>
    <row r="311">
      <c r="A311" s="80"/>
      <c r="B311" s="80"/>
      <c r="C311" s="106"/>
      <c r="D311" s="80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</row>
    <row r="312">
      <c r="A312" s="80"/>
      <c r="B312" s="80"/>
      <c r="C312" s="106"/>
      <c r="D312" s="80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</row>
    <row r="313">
      <c r="A313" s="80"/>
      <c r="B313" s="80"/>
      <c r="C313" s="106"/>
      <c r="D313" s="80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</row>
    <row r="314">
      <c r="A314" s="80"/>
      <c r="B314" s="80"/>
      <c r="C314" s="106"/>
      <c r="D314" s="80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</row>
    <row r="315">
      <c r="A315" s="80"/>
      <c r="B315" s="80"/>
      <c r="C315" s="106"/>
      <c r="D315" s="80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</row>
    <row r="316">
      <c r="A316" s="80"/>
      <c r="B316" s="80"/>
      <c r="C316" s="106"/>
      <c r="D316" s="80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</row>
    <row r="317">
      <c r="A317" s="80"/>
      <c r="B317" s="80"/>
      <c r="C317" s="106"/>
      <c r="D317" s="80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</row>
    <row r="318">
      <c r="A318" s="80"/>
      <c r="B318" s="80"/>
      <c r="C318" s="106"/>
      <c r="D318" s="80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</row>
    <row r="319">
      <c r="A319" s="80"/>
      <c r="B319" s="80"/>
      <c r="C319" s="106"/>
      <c r="D319" s="80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</row>
    <row r="320">
      <c r="A320" s="80"/>
      <c r="B320" s="80"/>
      <c r="C320" s="106"/>
      <c r="D320" s="80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</row>
    <row r="321">
      <c r="A321" s="80"/>
      <c r="B321" s="80"/>
      <c r="C321" s="106"/>
      <c r="D321" s="80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</row>
    <row r="322">
      <c r="A322" s="80"/>
      <c r="B322" s="80"/>
      <c r="C322" s="106"/>
      <c r="D322" s="80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</row>
    <row r="323">
      <c r="A323" s="80"/>
      <c r="B323" s="80"/>
      <c r="C323" s="106"/>
      <c r="D323" s="80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</row>
    <row r="324">
      <c r="A324" s="80"/>
      <c r="B324" s="80"/>
      <c r="C324" s="106"/>
      <c r="D324" s="80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</row>
    <row r="325">
      <c r="A325" s="80"/>
      <c r="B325" s="80"/>
      <c r="C325" s="106"/>
      <c r="D325" s="80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</row>
    <row r="326">
      <c r="A326" s="80"/>
      <c r="B326" s="80"/>
      <c r="C326" s="106"/>
      <c r="D326" s="80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</row>
    <row r="327">
      <c r="A327" s="80"/>
      <c r="B327" s="80"/>
      <c r="C327" s="106"/>
      <c r="D327" s="80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</row>
    <row r="328">
      <c r="A328" s="80"/>
      <c r="B328" s="80"/>
      <c r="C328" s="106"/>
      <c r="D328" s="80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</row>
    <row r="329">
      <c r="A329" s="80"/>
      <c r="B329" s="80"/>
      <c r="C329" s="106"/>
      <c r="D329" s="80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</row>
    <row r="330">
      <c r="A330" s="80"/>
      <c r="B330" s="80"/>
      <c r="C330" s="106"/>
      <c r="D330" s="80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</row>
    <row r="331">
      <c r="A331" s="80"/>
      <c r="B331" s="80"/>
      <c r="C331" s="106"/>
      <c r="D331" s="80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</row>
    <row r="332">
      <c r="A332" s="80"/>
      <c r="B332" s="80"/>
      <c r="C332" s="106"/>
      <c r="D332" s="80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</row>
    <row r="333">
      <c r="A333" s="80"/>
      <c r="B333" s="80"/>
      <c r="C333" s="106"/>
      <c r="D333" s="80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</row>
    <row r="334">
      <c r="A334" s="80"/>
      <c r="B334" s="80"/>
      <c r="C334" s="106"/>
      <c r="D334" s="80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</row>
    <row r="335">
      <c r="A335" s="80"/>
      <c r="B335" s="80"/>
      <c r="C335" s="106"/>
      <c r="D335" s="80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</row>
    <row r="336">
      <c r="A336" s="80"/>
      <c r="B336" s="80"/>
      <c r="C336" s="106"/>
      <c r="D336" s="80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</row>
    <row r="337">
      <c r="A337" s="80"/>
      <c r="B337" s="80"/>
      <c r="C337" s="106"/>
      <c r="D337" s="80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</row>
    <row r="338">
      <c r="A338" s="80"/>
      <c r="B338" s="80"/>
      <c r="C338" s="106"/>
      <c r="D338" s="80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</row>
    <row r="339">
      <c r="A339" s="80"/>
      <c r="B339" s="80"/>
      <c r="C339" s="106"/>
      <c r="D339" s="80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</row>
    <row r="340">
      <c r="A340" s="80"/>
      <c r="B340" s="80"/>
      <c r="C340" s="106"/>
      <c r="D340" s="80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</row>
    <row r="341">
      <c r="A341" s="80"/>
      <c r="B341" s="80"/>
      <c r="C341" s="106"/>
      <c r="D341" s="80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</row>
    <row r="342">
      <c r="A342" s="80"/>
      <c r="B342" s="80"/>
      <c r="C342" s="106"/>
      <c r="D342" s="80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</row>
    <row r="343">
      <c r="A343" s="80"/>
      <c r="B343" s="80"/>
      <c r="C343" s="106"/>
      <c r="D343" s="80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</row>
    <row r="344">
      <c r="A344" s="80"/>
      <c r="B344" s="80"/>
      <c r="C344" s="106"/>
      <c r="D344" s="80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</row>
    <row r="345">
      <c r="A345" s="80"/>
      <c r="B345" s="80"/>
      <c r="C345" s="106"/>
      <c r="D345" s="80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</row>
    <row r="346">
      <c r="A346" s="80"/>
      <c r="B346" s="80"/>
      <c r="C346" s="106"/>
      <c r="D346" s="80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</row>
    <row r="347">
      <c r="A347" s="80"/>
      <c r="B347" s="80"/>
      <c r="C347" s="106"/>
      <c r="D347" s="80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</row>
    <row r="348">
      <c r="A348" s="80"/>
      <c r="B348" s="80"/>
      <c r="C348" s="106"/>
      <c r="D348" s="80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</row>
    <row r="349">
      <c r="A349" s="80"/>
      <c r="B349" s="80"/>
      <c r="C349" s="106"/>
      <c r="D349" s="80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</row>
    <row r="350">
      <c r="A350" s="80"/>
      <c r="B350" s="80"/>
      <c r="C350" s="106"/>
      <c r="D350" s="80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</row>
    <row r="351">
      <c r="A351" s="80"/>
      <c r="B351" s="80"/>
      <c r="C351" s="106"/>
      <c r="D351" s="80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</row>
    <row r="352">
      <c r="A352" s="80"/>
      <c r="B352" s="80"/>
      <c r="C352" s="106"/>
      <c r="D352" s="80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</row>
    <row r="353">
      <c r="A353" s="80"/>
      <c r="B353" s="80"/>
      <c r="C353" s="106"/>
      <c r="D353" s="80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</row>
    <row r="354">
      <c r="A354" s="80"/>
      <c r="B354" s="80"/>
      <c r="C354" s="106"/>
      <c r="D354" s="80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</row>
    <row r="355">
      <c r="A355" s="80"/>
      <c r="B355" s="80"/>
      <c r="C355" s="106"/>
      <c r="D355" s="80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</row>
    <row r="356">
      <c r="A356" s="80"/>
      <c r="B356" s="80"/>
      <c r="C356" s="106"/>
      <c r="D356" s="80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</row>
    <row r="357">
      <c r="A357" s="80"/>
      <c r="B357" s="80"/>
      <c r="C357" s="106"/>
      <c r="D357" s="80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</row>
    <row r="358">
      <c r="A358" s="80"/>
      <c r="B358" s="80"/>
      <c r="C358" s="106"/>
      <c r="D358" s="80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</row>
    <row r="359">
      <c r="A359" s="80"/>
      <c r="B359" s="80"/>
      <c r="C359" s="106"/>
      <c r="D359" s="80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</row>
    <row r="360">
      <c r="A360" s="80"/>
      <c r="B360" s="80"/>
      <c r="C360" s="106"/>
      <c r="D360" s="80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</row>
    <row r="361">
      <c r="A361" s="80"/>
      <c r="B361" s="80"/>
      <c r="C361" s="106"/>
      <c r="D361" s="80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</row>
    <row r="362">
      <c r="A362" s="80"/>
      <c r="B362" s="80"/>
      <c r="C362" s="106"/>
      <c r="D362" s="80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</row>
    <row r="363">
      <c r="A363" s="80"/>
      <c r="B363" s="80"/>
      <c r="C363" s="106"/>
      <c r="D363" s="80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</row>
    <row r="364">
      <c r="A364" s="80"/>
      <c r="B364" s="80"/>
      <c r="C364" s="106"/>
      <c r="D364" s="80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</row>
    <row r="365">
      <c r="A365" s="80"/>
      <c r="B365" s="80"/>
      <c r="C365" s="106"/>
      <c r="D365" s="80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</row>
    <row r="366">
      <c r="A366" s="80"/>
      <c r="B366" s="80"/>
      <c r="C366" s="106"/>
      <c r="D366" s="80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</row>
    <row r="367">
      <c r="A367" s="80"/>
      <c r="B367" s="80"/>
      <c r="C367" s="106"/>
      <c r="D367" s="80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</row>
    <row r="368">
      <c r="A368" s="80"/>
      <c r="B368" s="80"/>
      <c r="C368" s="106"/>
      <c r="D368" s="80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</row>
    <row r="369">
      <c r="A369" s="80"/>
      <c r="B369" s="80"/>
      <c r="C369" s="106"/>
      <c r="D369" s="80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</row>
    <row r="370">
      <c r="A370" s="80"/>
      <c r="B370" s="80"/>
      <c r="C370" s="106"/>
      <c r="D370" s="80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</row>
    <row r="371">
      <c r="A371" s="80"/>
      <c r="B371" s="80"/>
      <c r="C371" s="106"/>
      <c r="D371" s="80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</row>
    <row r="372">
      <c r="A372" s="80"/>
      <c r="B372" s="80"/>
      <c r="C372" s="106"/>
      <c r="D372" s="80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</row>
    <row r="373">
      <c r="A373" s="80"/>
      <c r="B373" s="80"/>
      <c r="C373" s="106"/>
      <c r="D373" s="80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</row>
    <row r="374">
      <c r="A374" s="80"/>
      <c r="B374" s="80"/>
      <c r="C374" s="106"/>
      <c r="D374" s="80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</row>
    <row r="375">
      <c r="A375" s="80"/>
      <c r="B375" s="80"/>
      <c r="C375" s="106"/>
      <c r="D375" s="80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</row>
    <row r="376">
      <c r="A376" s="80"/>
      <c r="B376" s="80"/>
      <c r="C376" s="106"/>
      <c r="D376" s="80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</row>
    <row r="377">
      <c r="A377" s="80"/>
      <c r="B377" s="80"/>
      <c r="C377" s="106"/>
      <c r="D377" s="80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</row>
    <row r="378">
      <c r="A378" s="80"/>
      <c r="B378" s="80"/>
      <c r="C378" s="106"/>
      <c r="D378" s="80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</row>
    <row r="379">
      <c r="A379" s="80"/>
      <c r="B379" s="80"/>
      <c r="C379" s="106"/>
      <c r="D379" s="80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</row>
    <row r="380">
      <c r="A380" s="80"/>
      <c r="B380" s="80"/>
      <c r="C380" s="106"/>
      <c r="D380" s="80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</row>
    <row r="381">
      <c r="A381" s="80"/>
      <c r="B381" s="80"/>
      <c r="C381" s="106"/>
      <c r="D381" s="80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</row>
    <row r="382">
      <c r="A382" s="80"/>
      <c r="B382" s="80"/>
      <c r="C382" s="106"/>
      <c r="D382" s="80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</row>
    <row r="383">
      <c r="A383" s="80"/>
      <c r="B383" s="80"/>
      <c r="C383" s="106"/>
      <c r="D383" s="80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</row>
    <row r="384">
      <c r="A384" s="80"/>
      <c r="B384" s="80"/>
      <c r="C384" s="106"/>
      <c r="D384" s="80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</row>
    <row r="385">
      <c r="A385" s="80"/>
      <c r="B385" s="80"/>
      <c r="C385" s="106"/>
      <c r="D385" s="80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</row>
    <row r="386">
      <c r="A386" s="80"/>
      <c r="B386" s="80"/>
      <c r="C386" s="106"/>
      <c r="D386" s="80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</row>
    <row r="387">
      <c r="A387" s="80"/>
      <c r="B387" s="80"/>
      <c r="C387" s="106"/>
      <c r="D387" s="80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</row>
    <row r="388">
      <c r="A388" s="80"/>
      <c r="B388" s="80"/>
      <c r="C388" s="106"/>
      <c r="D388" s="80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</row>
    <row r="389">
      <c r="A389" s="80"/>
      <c r="B389" s="80"/>
      <c r="C389" s="106"/>
      <c r="D389" s="80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</row>
    <row r="390">
      <c r="A390" s="80"/>
      <c r="B390" s="80"/>
      <c r="C390" s="106"/>
      <c r="D390" s="80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</row>
    <row r="391">
      <c r="A391" s="80"/>
      <c r="B391" s="80"/>
      <c r="C391" s="106"/>
      <c r="D391" s="80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</row>
    <row r="392">
      <c r="A392" s="80"/>
      <c r="B392" s="80"/>
      <c r="C392" s="106"/>
      <c r="D392" s="80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</row>
    <row r="393">
      <c r="A393" s="80"/>
      <c r="B393" s="80"/>
      <c r="C393" s="106"/>
      <c r="D393" s="80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</row>
    <row r="394">
      <c r="A394" s="80"/>
      <c r="B394" s="80"/>
      <c r="C394" s="106"/>
      <c r="D394" s="80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</row>
    <row r="395">
      <c r="A395" s="80"/>
      <c r="B395" s="80"/>
      <c r="C395" s="106"/>
      <c r="D395" s="80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</row>
    <row r="396">
      <c r="A396" s="80"/>
      <c r="B396" s="80"/>
      <c r="C396" s="106"/>
      <c r="D396" s="80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</row>
    <row r="397">
      <c r="A397" s="80"/>
      <c r="B397" s="80"/>
      <c r="C397" s="106"/>
      <c r="D397" s="80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</row>
    <row r="398">
      <c r="A398" s="80"/>
      <c r="B398" s="80"/>
      <c r="C398" s="106"/>
      <c r="D398" s="80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</row>
    <row r="399">
      <c r="A399" s="80"/>
      <c r="B399" s="80"/>
      <c r="C399" s="106"/>
      <c r="D399" s="80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</row>
    <row r="400">
      <c r="A400" s="80"/>
      <c r="B400" s="80"/>
      <c r="C400" s="106"/>
      <c r="D400" s="80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</row>
    <row r="401">
      <c r="A401" s="80"/>
      <c r="B401" s="80"/>
      <c r="C401" s="106"/>
      <c r="D401" s="80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</row>
    <row r="402">
      <c r="A402" s="80"/>
      <c r="B402" s="80"/>
      <c r="C402" s="106"/>
      <c r="D402" s="80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</row>
    <row r="403">
      <c r="A403" s="80"/>
      <c r="B403" s="80"/>
      <c r="C403" s="106"/>
      <c r="D403" s="80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</row>
    <row r="404">
      <c r="A404" s="80"/>
      <c r="B404" s="80"/>
      <c r="C404" s="106"/>
      <c r="D404" s="80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</row>
    <row r="405">
      <c r="A405" s="80"/>
      <c r="B405" s="80"/>
      <c r="C405" s="106"/>
      <c r="D405" s="80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</row>
    <row r="406">
      <c r="A406" s="80"/>
      <c r="B406" s="80"/>
      <c r="C406" s="106"/>
      <c r="D406" s="80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</row>
    <row r="407">
      <c r="A407" s="80"/>
      <c r="B407" s="80"/>
      <c r="C407" s="106"/>
      <c r="D407" s="80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</row>
    <row r="408">
      <c r="A408" s="80"/>
      <c r="B408" s="80"/>
      <c r="C408" s="106"/>
      <c r="D408" s="80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</row>
    <row r="409">
      <c r="A409" s="80"/>
      <c r="B409" s="80"/>
      <c r="C409" s="106"/>
      <c r="D409" s="80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</row>
    <row r="410">
      <c r="A410" s="80"/>
      <c r="B410" s="80"/>
      <c r="C410" s="106"/>
      <c r="D410" s="80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</row>
    <row r="411">
      <c r="A411" s="80"/>
      <c r="B411" s="80"/>
      <c r="C411" s="106"/>
      <c r="D411" s="80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</row>
    <row r="412">
      <c r="A412" s="80"/>
      <c r="B412" s="80"/>
      <c r="C412" s="106"/>
      <c r="D412" s="80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</row>
    <row r="413">
      <c r="A413" s="80"/>
      <c r="B413" s="80"/>
      <c r="C413" s="106"/>
      <c r="D413" s="80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</row>
    <row r="414">
      <c r="A414" s="80"/>
      <c r="B414" s="80"/>
      <c r="C414" s="106"/>
      <c r="D414" s="80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</row>
    <row r="415">
      <c r="A415" s="80"/>
      <c r="B415" s="80"/>
      <c r="C415" s="106"/>
      <c r="D415" s="80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</row>
    <row r="416">
      <c r="A416" s="80"/>
      <c r="B416" s="80"/>
      <c r="C416" s="106"/>
      <c r="D416" s="80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</row>
    <row r="417">
      <c r="A417" s="80"/>
      <c r="B417" s="80"/>
      <c r="C417" s="106"/>
      <c r="D417" s="80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</row>
    <row r="418">
      <c r="A418" s="80"/>
      <c r="B418" s="80"/>
      <c r="C418" s="106"/>
      <c r="D418" s="80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</row>
    <row r="419">
      <c r="A419" s="80"/>
      <c r="B419" s="80"/>
      <c r="C419" s="106"/>
      <c r="D419" s="80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</row>
    <row r="420">
      <c r="A420" s="80"/>
      <c r="B420" s="80"/>
      <c r="C420" s="106"/>
      <c r="D420" s="80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</row>
    <row r="421">
      <c r="A421" s="80"/>
      <c r="B421" s="80"/>
      <c r="C421" s="106"/>
      <c r="D421" s="80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</row>
    <row r="422">
      <c r="A422" s="80"/>
      <c r="B422" s="80"/>
      <c r="C422" s="106"/>
      <c r="D422" s="80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</row>
    <row r="423">
      <c r="A423" s="80"/>
      <c r="B423" s="80"/>
      <c r="C423" s="106"/>
      <c r="D423" s="80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</row>
    <row r="424">
      <c r="A424" s="80"/>
      <c r="B424" s="80"/>
      <c r="C424" s="106"/>
      <c r="D424" s="80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</row>
    <row r="425">
      <c r="A425" s="80"/>
      <c r="B425" s="80"/>
      <c r="C425" s="106"/>
      <c r="D425" s="80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</row>
    <row r="426">
      <c r="A426" s="80"/>
      <c r="B426" s="80"/>
      <c r="C426" s="106"/>
      <c r="D426" s="80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</row>
    <row r="427">
      <c r="A427" s="80"/>
      <c r="B427" s="80"/>
      <c r="C427" s="106"/>
      <c r="D427" s="80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</row>
    <row r="428">
      <c r="A428" s="80"/>
      <c r="B428" s="80"/>
      <c r="C428" s="106"/>
      <c r="D428" s="80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</row>
    <row r="429">
      <c r="A429" s="80"/>
      <c r="B429" s="80"/>
      <c r="C429" s="106"/>
      <c r="D429" s="80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</row>
    <row r="430">
      <c r="A430" s="80"/>
      <c r="B430" s="80"/>
      <c r="C430" s="106"/>
      <c r="D430" s="80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</row>
    <row r="431">
      <c r="A431" s="80"/>
      <c r="B431" s="80"/>
      <c r="C431" s="106"/>
      <c r="D431" s="80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</row>
    <row r="432">
      <c r="A432" s="80"/>
      <c r="B432" s="80"/>
      <c r="C432" s="106"/>
      <c r="D432" s="80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</row>
    <row r="433">
      <c r="A433" s="80"/>
      <c r="B433" s="80"/>
      <c r="C433" s="106"/>
      <c r="D433" s="80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</row>
    <row r="434">
      <c r="A434" s="80"/>
      <c r="B434" s="80"/>
      <c r="C434" s="106"/>
      <c r="D434" s="80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</row>
    <row r="435">
      <c r="A435" s="80"/>
      <c r="B435" s="80"/>
      <c r="C435" s="106"/>
      <c r="D435" s="80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</row>
    <row r="436">
      <c r="A436" s="80"/>
      <c r="B436" s="80"/>
      <c r="C436" s="106"/>
      <c r="D436" s="80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</row>
    <row r="437">
      <c r="A437" s="80"/>
      <c r="B437" s="80"/>
      <c r="C437" s="106"/>
      <c r="D437" s="80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</row>
    <row r="438">
      <c r="A438" s="80"/>
      <c r="B438" s="80"/>
      <c r="C438" s="106"/>
      <c r="D438" s="80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</row>
    <row r="439">
      <c r="A439" s="80"/>
      <c r="B439" s="80"/>
      <c r="C439" s="106"/>
      <c r="D439" s="80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</row>
    <row r="440">
      <c r="A440" s="80"/>
      <c r="B440" s="80"/>
      <c r="C440" s="106"/>
      <c r="D440" s="80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</row>
    <row r="441">
      <c r="A441" s="80"/>
      <c r="B441" s="80"/>
      <c r="C441" s="106"/>
      <c r="D441" s="80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</row>
    <row r="442">
      <c r="A442" s="80"/>
      <c r="B442" s="80"/>
      <c r="C442" s="106"/>
      <c r="D442" s="80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</row>
    <row r="443">
      <c r="A443" s="80"/>
      <c r="B443" s="80"/>
      <c r="C443" s="106"/>
      <c r="D443" s="80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</row>
    <row r="444">
      <c r="A444" s="80"/>
      <c r="B444" s="80"/>
      <c r="C444" s="106"/>
      <c r="D444" s="80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</row>
    <row r="445">
      <c r="A445" s="80"/>
      <c r="B445" s="80"/>
      <c r="C445" s="106"/>
      <c r="D445" s="80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</row>
    <row r="446">
      <c r="A446" s="80"/>
      <c r="B446" s="80"/>
      <c r="C446" s="106"/>
      <c r="D446" s="80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</row>
    <row r="447">
      <c r="A447" s="80"/>
      <c r="B447" s="80"/>
      <c r="C447" s="106"/>
      <c r="D447" s="80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</row>
    <row r="448">
      <c r="A448" s="80"/>
      <c r="B448" s="80"/>
      <c r="C448" s="106"/>
      <c r="D448" s="80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</row>
    <row r="449">
      <c r="A449" s="80"/>
      <c r="B449" s="80"/>
      <c r="C449" s="106"/>
      <c r="D449" s="80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</row>
    <row r="450">
      <c r="A450" s="80"/>
      <c r="B450" s="80"/>
      <c r="C450" s="106"/>
      <c r="D450" s="80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</row>
    <row r="451">
      <c r="A451" s="80"/>
      <c r="B451" s="80"/>
      <c r="C451" s="106"/>
      <c r="D451" s="80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</row>
    <row r="452">
      <c r="A452" s="80"/>
      <c r="B452" s="80"/>
      <c r="C452" s="106"/>
      <c r="D452" s="80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</row>
    <row r="453">
      <c r="A453" s="80"/>
      <c r="B453" s="80"/>
      <c r="C453" s="106"/>
      <c r="D453" s="80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</row>
    <row r="454">
      <c r="A454" s="80"/>
      <c r="B454" s="80"/>
      <c r="C454" s="106"/>
      <c r="D454" s="80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</row>
    <row r="455">
      <c r="A455" s="80"/>
      <c r="B455" s="80"/>
      <c r="C455" s="106"/>
      <c r="D455" s="80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</row>
    <row r="456">
      <c r="A456" s="80"/>
      <c r="B456" s="80"/>
      <c r="C456" s="106"/>
      <c r="D456" s="80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</row>
    <row r="457">
      <c r="A457" s="80"/>
      <c r="B457" s="80"/>
      <c r="C457" s="106"/>
      <c r="D457" s="80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</row>
    <row r="458">
      <c r="A458" s="80"/>
      <c r="B458" s="80"/>
      <c r="C458" s="106"/>
      <c r="D458" s="80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</row>
    <row r="459">
      <c r="A459" s="80"/>
      <c r="B459" s="80"/>
      <c r="C459" s="106"/>
      <c r="D459" s="80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</row>
    <row r="460">
      <c r="A460" s="80"/>
      <c r="B460" s="80"/>
      <c r="C460" s="106"/>
      <c r="D460" s="80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</row>
    <row r="461">
      <c r="A461" s="80"/>
      <c r="B461" s="80"/>
      <c r="C461" s="106"/>
      <c r="D461" s="80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</row>
    <row r="462">
      <c r="A462" s="80"/>
      <c r="B462" s="80"/>
      <c r="C462" s="106"/>
      <c r="D462" s="80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</row>
    <row r="463">
      <c r="A463" s="80"/>
      <c r="B463" s="80"/>
      <c r="C463" s="106"/>
      <c r="D463" s="80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</row>
    <row r="464">
      <c r="A464" s="80"/>
      <c r="B464" s="80"/>
      <c r="C464" s="106"/>
      <c r="D464" s="80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</row>
    <row r="465">
      <c r="A465" s="80"/>
      <c r="B465" s="80"/>
      <c r="C465" s="106"/>
      <c r="D465" s="80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</row>
    <row r="466">
      <c r="A466" s="80"/>
      <c r="B466" s="80"/>
      <c r="C466" s="106"/>
      <c r="D466" s="80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</row>
    <row r="467">
      <c r="A467" s="80"/>
      <c r="B467" s="80"/>
      <c r="C467" s="106"/>
      <c r="D467" s="80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</row>
    <row r="468">
      <c r="A468" s="80"/>
      <c r="B468" s="80"/>
      <c r="C468" s="106"/>
      <c r="D468" s="80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</row>
    <row r="469">
      <c r="A469" s="80"/>
      <c r="B469" s="80"/>
      <c r="C469" s="106"/>
      <c r="D469" s="80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</row>
    <row r="470">
      <c r="A470" s="80"/>
      <c r="B470" s="80"/>
      <c r="C470" s="106"/>
      <c r="D470" s="80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</row>
    <row r="471">
      <c r="A471" s="80"/>
      <c r="B471" s="80"/>
      <c r="C471" s="106"/>
      <c r="D471" s="80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</row>
    <row r="472">
      <c r="A472" s="80"/>
      <c r="B472" s="80"/>
      <c r="C472" s="106"/>
      <c r="D472" s="80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</row>
    <row r="473">
      <c r="A473" s="80"/>
      <c r="B473" s="80"/>
      <c r="C473" s="106"/>
      <c r="D473" s="80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</row>
    <row r="474">
      <c r="A474" s="80"/>
      <c r="B474" s="80"/>
      <c r="C474" s="106"/>
      <c r="D474" s="80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</row>
    <row r="475">
      <c r="A475" s="80"/>
      <c r="B475" s="80"/>
      <c r="C475" s="106"/>
      <c r="D475" s="80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</row>
    <row r="476">
      <c r="A476" s="80"/>
      <c r="B476" s="80"/>
      <c r="C476" s="106"/>
      <c r="D476" s="80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</row>
    <row r="477">
      <c r="A477" s="80"/>
      <c r="B477" s="80"/>
      <c r="C477" s="106"/>
      <c r="D477" s="80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</row>
    <row r="478">
      <c r="A478" s="80"/>
      <c r="B478" s="80"/>
      <c r="C478" s="106"/>
      <c r="D478" s="80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</row>
    <row r="479">
      <c r="A479" s="80"/>
      <c r="B479" s="80"/>
      <c r="C479" s="106"/>
      <c r="D479" s="80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</row>
    <row r="480">
      <c r="A480" s="80"/>
      <c r="B480" s="80"/>
      <c r="C480" s="106"/>
      <c r="D480" s="80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</row>
    <row r="481">
      <c r="A481" s="80"/>
      <c r="B481" s="80"/>
      <c r="C481" s="106"/>
      <c r="D481" s="80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</row>
    <row r="482">
      <c r="A482" s="80"/>
      <c r="B482" s="80"/>
      <c r="C482" s="106"/>
      <c r="D482" s="80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</row>
    <row r="483">
      <c r="A483" s="80"/>
      <c r="B483" s="80"/>
      <c r="C483" s="106"/>
      <c r="D483" s="80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</row>
    <row r="484">
      <c r="A484" s="80"/>
      <c r="B484" s="80"/>
      <c r="C484" s="106"/>
      <c r="D484" s="80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</row>
    <row r="485">
      <c r="A485" s="80"/>
      <c r="B485" s="80"/>
      <c r="C485" s="106"/>
      <c r="D485" s="80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</row>
    <row r="486">
      <c r="A486" s="80"/>
      <c r="B486" s="80"/>
      <c r="C486" s="106"/>
      <c r="D486" s="80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</row>
    <row r="487">
      <c r="A487" s="80"/>
      <c r="B487" s="80"/>
      <c r="C487" s="106"/>
      <c r="D487" s="80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</row>
    <row r="488">
      <c r="A488" s="80"/>
      <c r="B488" s="80"/>
      <c r="C488" s="106"/>
      <c r="D488" s="80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</row>
    <row r="489">
      <c r="A489" s="80"/>
      <c r="B489" s="80"/>
      <c r="C489" s="106"/>
      <c r="D489" s="80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</row>
    <row r="490">
      <c r="A490" s="80"/>
      <c r="B490" s="80"/>
      <c r="C490" s="106"/>
      <c r="D490" s="80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</row>
    <row r="491">
      <c r="A491" s="80"/>
      <c r="B491" s="80"/>
      <c r="C491" s="106"/>
      <c r="D491" s="80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</row>
    <row r="492">
      <c r="A492" s="80"/>
      <c r="B492" s="80"/>
      <c r="C492" s="106"/>
      <c r="D492" s="80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</row>
    <row r="493">
      <c r="A493" s="80"/>
      <c r="B493" s="80"/>
      <c r="C493" s="106"/>
      <c r="D493" s="80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</row>
    <row r="494">
      <c r="A494" s="80"/>
      <c r="B494" s="80"/>
      <c r="C494" s="106"/>
      <c r="D494" s="80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</row>
    <row r="495">
      <c r="A495" s="80"/>
      <c r="B495" s="80"/>
      <c r="C495" s="106"/>
      <c r="D495" s="80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</row>
    <row r="496">
      <c r="A496" s="80"/>
      <c r="B496" s="80"/>
      <c r="C496" s="106"/>
      <c r="D496" s="80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</row>
    <row r="497">
      <c r="A497" s="80"/>
      <c r="B497" s="80"/>
      <c r="C497" s="106"/>
      <c r="D497" s="80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</row>
    <row r="498">
      <c r="A498" s="80"/>
      <c r="B498" s="80"/>
      <c r="C498" s="106"/>
      <c r="D498" s="80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</row>
    <row r="499">
      <c r="A499" s="80"/>
      <c r="B499" s="80"/>
      <c r="C499" s="106"/>
      <c r="D499" s="80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</row>
    <row r="500">
      <c r="A500" s="80"/>
      <c r="B500" s="80"/>
      <c r="C500" s="106"/>
      <c r="D500" s="80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</row>
    <row r="501">
      <c r="A501" s="80"/>
      <c r="B501" s="80"/>
      <c r="C501" s="106"/>
      <c r="D501" s="80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</row>
    <row r="502">
      <c r="A502" s="80"/>
      <c r="B502" s="80"/>
      <c r="C502" s="106"/>
      <c r="D502" s="80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</row>
    <row r="503">
      <c r="A503" s="80"/>
      <c r="B503" s="80"/>
      <c r="C503" s="106"/>
      <c r="D503" s="80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</row>
    <row r="504">
      <c r="A504" s="80"/>
      <c r="B504" s="80"/>
      <c r="C504" s="106"/>
      <c r="D504" s="80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</row>
    <row r="505">
      <c r="A505" s="80"/>
      <c r="B505" s="80"/>
      <c r="C505" s="106"/>
      <c r="D505" s="80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</row>
    <row r="506">
      <c r="A506" s="80"/>
      <c r="B506" s="80"/>
      <c r="C506" s="106"/>
      <c r="D506" s="80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</row>
    <row r="507">
      <c r="A507" s="80"/>
      <c r="B507" s="80"/>
      <c r="C507" s="106"/>
      <c r="D507" s="80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</row>
    <row r="508">
      <c r="A508" s="80"/>
      <c r="B508" s="80"/>
      <c r="C508" s="106"/>
      <c r="D508" s="80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</row>
    <row r="509">
      <c r="A509" s="80"/>
      <c r="B509" s="80"/>
      <c r="C509" s="106"/>
      <c r="D509" s="80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</row>
    <row r="510">
      <c r="A510" s="80"/>
      <c r="B510" s="80"/>
      <c r="C510" s="106"/>
      <c r="D510" s="80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</row>
    <row r="511">
      <c r="A511" s="80"/>
      <c r="B511" s="80"/>
      <c r="C511" s="106"/>
      <c r="D511" s="80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</row>
    <row r="512">
      <c r="A512" s="80"/>
      <c r="B512" s="80"/>
      <c r="C512" s="106"/>
      <c r="D512" s="80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</row>
    <row r="513">
      <c r="A513" s="80"/>
      <c r="B513" s="80"/>
      <c r="C513" s="106"/>
      <c r="D513" s="80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</row>
    <row r="514">
      <c r="A514" s="80"/>
      <c r="B514" s="80"/>
      <c r="C514" s="106"/>
      <c r="D514" s="80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</row>
    <row r="515">
      <c r="A515" s="80"/>
      <c r="B515" s="80"/>
      <c r="C515" s="106"/>
      <c r="D515" s="80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</row>
    <row r="516">
      <c r="A516" s="80"/>
      <c r="B516" s="80"/>
      <c r="C516" s="106"/>
      <c r="D516" s="80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</row>
    <row r="517">
      <c r="A517" s="80"/>
      <c r="B517" s="80"/>
      <c r="C517" s="106"/>
      <c r="D517" s="80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</row>
    <row r="518">
      <c r="A518" s="80"/>
      <c r="B518" s="80"/>
      <c r="C518" s="106"/>
      <c r="D518" s="80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</row>
    <row r="519">
      <c r="A519" s="80"/>
      <c r="B519" s="80"/>
      <c r="C519" s="106"/>
      <c r="D519" s="80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</row>
    <row r="520">
      <c r="A520" s="80"/>
      <c r="B520" s="80"/>
      <c r="C520" s="106"/>
      <c r="D520" s="80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</row>
    <row r="521">
      <c r="A521" s="80"/>
      <c r="B521" s="80"/>
      <c r="C521" s="106"/>
      <c r="D521" s="80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</row>
    <row r="522">
      <c r="A522" s="80"/>
      <c r="B522" s="80"/>
      <c r="C522" s="106"/>
      <c r="D522" s="80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</row>
    <row r="523">
      <c r="A523" s="80"/>
      <c r="B523" s="80"/>
      <c r="C523" s="106"/>
      <c r="D523" s="80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</row>
    <row r="524">
      <c r="A524" s="80"/>
      <c r="B524" s="80"/>
      <c r="C524" s="106"/>
      <c r="D524" s="80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</row>
    <row r="525">
      <c r="A525" s="80"/>
      <c r="B525" s="80"/>
      <c r="C525" s="106"/>
      <c r="D525" s="80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</row>
    <row r="526">
      <c r="A526" s="80"/>
      <c r="B526" s="80"/>
      <c r="C526" s="106"/>
      <c r="D526" s="80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</row>
    <row r="527">
      <c r="A527" s="80"/>
      <c r="B527" s="80"/>
      <c r="C527" s="106"/>
      <c r="D527" s="80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</row>
    <row r="528">
      <c r="A528" s="80"/>
      <c r="B528" s="80"/>
      <c r="C528" s="106"/>
      <c r="D528" s="80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</row>
    <row r="529">
      <c r="A529" s="80"/>
      <c r="B529" s="80"/>
      <c r="C529" s="106"/>
      <c r="D529" s="80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</row>
    <row r="530">
      <c r="A530" s="80"/>
      <c r="B530" s="80"/>
      <c r="C530" s="106"/>
      <c r="D530" s="80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</row>
    <row r="531">
      <c r="A531" s="80"/>
      <c r="B531" s="80"/>
      <c r="C531" s="106"/>
      <c r="D531" s="80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</row>
    <row r="532">
      <c r="A532" s="80"/>
      <c r="B532" s="80"/>
      <c r="C532" s="106"/>
      <c r="D532" s="80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</row>
    <row r="533">
      <c r="A533" s="80"/>
      <c r="B533" s="80"/>
      <c r="C533" s="106"/>
      <c r="D533" s="80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</row>
    <row r="534">
      <c r="A534" s="80"/>
      <c r="B534" s="80"/>
      <c r="C534" s="106"/>
      <c r="D534" s="80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</row>
    <row r="535">
      <c r="A535" s="80"/>
      <c r="B535" s="80"/>
      <c r="C535" s="106"/>
      <c r="D535" s="80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</row>
    <row r="536">
      <c r="A536" s="80"/>
      <c r="B536" s="80"/>
      <c r="C536" s="106"/>
      <c r="D536" s="80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</row>
    <row r="537">
      <c r="A537" s="80"/>
      <c r="B537" s="80"/>
      <c r="C537" s="106"/>
      <c r="D537" s="80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</row>
    <row r="538">
      <c r="A538" s="80"/>
      <c r="B538" s="80"/>
      <c r="C538" s="106"/>
      <c r="D538" s="80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</row>
    <row r="539">
      <c r="A539" s="80"/>
      <c r="B539" s="80"/>
      <c r="C539" s="106"/>
      <c r="D539" s="80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</row>
    <row r="540">
      <c r="A540" s="80"/>
      <c r="B540" s="80"/>
      <c r="C540" s="106"/>
      <c r="D540" s="80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</row>
    <row r="541">
      <c r="A541" s="80"/>
      <c r="B541" s="80"/>
      <c r="C541" s="106"/>
      <c r="D541" s="80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</row>
    <row r="542">
      <c r="A542" s="80"/>
      <c r="B542" s="80"/>
      <c r="C542" s="106"/>
      <c r="D542" s="80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</row>
    <row r="543">
      <c r="A543" s="80"/>
      <c r="B543" s="80"/>
      <c r="C543" s="106"/>
      <c r="D543" s="80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</row>
    <row r="544">
      <c r="A544" s="80"/>
      <c r="B544" s="80"/>
      <c r="C544" s="106"/>
      <c r="D544" s="80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</row>
    <row r="545">
      <c r="A545" s="80"/>
      <c r="B545" s="80"/>
      <c r="C545" s="106"/>
      <c r="D545" s="80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</row>
    <row r="546">
      <c r="A546" s="80"/>
      <c r="B546" s="80"/>
      <c r="C546" s="106"/>
      <c r="D546" s="80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</row>
    <row r="547">
      <c r="A547" s="80"/>
      <c r="B547" s="80"/>
      <c r="C547" s="106"/>
      <c r="D547" s="80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</row>
    <row r="548">
      <c r="A548" s="80"/>
      <c r="B548" s="80"/>
      <c r="C548" s="106"/>
      <c r="D548" s="80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>
      <c r="A549" s="80"/>
      <c r="B549" s="80"/>
      <c r="C549" s="106"/>
      <c r="D549" s="80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</row>
    <row r="550">
      <c r="A550" s="80"/>
      <c r="B550" s="80"/>
      <c r="C550" s="106"/>
      <c r="D550" s="80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</row>
    <row r="551">
      <c r="A551" s="80"/>
      <c r="B551" s="80"/>
      <c r="C551" s="106"/>
      <c r="D551" s="80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>
      <c r="A552" s="80"/>
      <c r="B552" s="80"/>
      <c r="C552" s="106"/>
      <c r="D552" s="80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</row>
    <row r="553">
      <c r="A553" s="80"/>
      <c r="B553" s="80"/>
      <c r="C553" s="106"/>
      <c r="D553" s="80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</row>
    <row r="554">
      <c r="A554" s="80"/>
      <c r="B554" s="80"/>
      <c r="C554" s="106"/>
      <c r="D554" s="80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</row>
    <row r="555">
      <c r="A555" s="80"/>
      <c r="B555" s="80"/>
      <c r="C555" s="106"/>
      <c r="D555" s="80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</row>
    <row r="556">
      <c r="A556" s="80"/>
      <c r="B556" s="80"/>
      <c r="C556" s="106"/>
      <c r="D556" s="80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</row>
    <row r="557">
      <c r="A557" s="80"/>
      <c r="B557" s="80"/>
      <c r="C557" s="106"/>
      <c r="D557" s="80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</row>
    <row r="558">
      <c r="A558" s="80"/>
      <c r="B558" s="80"/>
      <c r="C558" s="106"/>
      <c r="D558" s="80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</row>
    <row r="559">
      <c r="A559" s="80"/>
      <c r="B559" s="80"/>
      <c r="C559" s="106"/>
      <c r="D559" s="80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</row>
    <row r="560">
      <c r="A560" s="80"/>
      <c r="B560" s="80"/>
      <c r="C560" s="106"/>
      <c r="D560" s="80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</row>
    <row r="561">
      <c r="A561" s="80"/>
      <c r="B561" s="80"/>
      <c r="C561" s="106"/>
      <c r="D561" s="80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</row>
    <row r="562">
      <c r="A562" s="80"/>
      <c r="B562" s="80"/>
      <c r="C562" s="106"/>
      <c r="D562" s="80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</row>
    <row r="563">
      <c r="A563" s="80"/>
      <c r="B563" s="80"/>
      <c r="C563" s="106"/>
      <c r="D563" s="80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</row>
    <row r="564">
      <c r="A564" s="80"/>
      <c r="B564" s="80"/>
      <c r="C564" s="106"/>
      <c r="D564" s="80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</row>
    <row r="565">
      <c r="A565" s="80"/>
      <c r="B565" s="80"/>
      <c r="C565" s="106"/>
      <c r="D565" s="80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</row>
    <row r="566">
      <c r="A566" s="80"/>
      <c r="B566" s="80"/>
      <c r="C566" s="106"/>
      <c r="D566" s="80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</row>
    <row r="567">
      <c r="A567" s="80"/>
      <c r="B567" s="80"/>
      <c r="C567" s="106"/>
      <c r="D567" s="80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</row>
    <row r="568">
      <c r="A568" s="80"/>
      <c r="B568" s="80"/>
      <c r="C568" s="106"/>
      <c r="D568" s="80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</row>
    <row r="569">
      <c r="A569" s="80"/>
      <c r="B569" s="80"/>
      <c r="C569" s="106"/>
      <c r="D569" s="80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</row>
    <row r="570">
      <c r="A570" s="80"/>
      <c r="B570" s="80"/>
      <c r="C570" s="106"/>
      <c r="D570" s="80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</row>
    <row r="571">
      <c r="A571" s="80"/>
      <c r="B571" s="80"/>
      <c r="C571" s="106"/>
      <c r="D571" s="80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</row>
    <row r="572">
      <c r="A572" s="80"/>
      <c r="B572" s="80"/>
      <c r="C572" s="106"/>
      <c r="D572" s="80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</row>
    <row r="573">
      <c r="A573" s="80"/>
      <c r="B573" s="80"/>
      <c r="C573" s="106"/>
      <c r="D573" s="80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</row>
    <row r="574">
      <c r="A574" s="80"/>
      <c r="B574" s="80"/>
      <c r="C574" s="106"/>
      <c r="D574" s="80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</row>
    <row r="575">
      <c r="A575" s="80"/>
      <c r="B575" s="80"/>
      <c r="C575" s="106"/>
      <c r="D575" s="80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</row>
    <row r="576">
      <c r="A576" s="80"/>
      <c r="B576" s="80"/>
      <c r="C576" s="106"/>
      <c r="D576" s="80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</row>
    <row r="577">
      <c r="A577" s="80"/>
      <c r="B577" s="80"/>
      <c r="C577" s="106"/>
      <c r="D577" s="80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</row>
    <row r="578">
      <c r="A578" s="80"/>
      <c r="B578" s="80"/>
      <c r="C578" s="106"/>
      <c r="D578" s="80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</row>
    <row r="579">
      <c r="A579" s="80"/>
      <c r="B579" s="80"/>
      <c r="C579" s="106"/>
      <c r="D579" s="80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</row>
    <row r="580">
      <c r="A580" s="80"/>
      <c r="B580" s="80"/>
      <c r="C580" s="106"/>
      <c r="D580" s="80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</row>
    <row r="581">
      <c r="A581" s="80"/>
      <c r="B581" s="80"/>
      <c r="C581" s="106"/>
      <c r="D581" s="80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</row>
    <row r="582">
      <c r="A582" s="80"/>
      <c r="B582" s="80"/>
      <c r="C582" s="106"/>
      <c r="D582" s="80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</row>
    <row r="583">
      <c r="A583" s="80"/>
      <c r="B583" s="80"/>
      <c r="C583" s="106"/>
      <c r="D583" s="80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</row>
    <row r="584">
      <c r="A584" s="80"/>
      <c r="B584" s="80"/>
      <c r="C584" s="106"/>
      <c r="D584" s="80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</row>
    <row r="585">
      <c r="A585" s="80"/>
      <c r="B585" s="80"/>
      <c r="C585" s="106"/>
      <c r="D585" s="80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</row>
    <row r="586">
      <c r="A586" s="80"/>
      <c r="B586" s="80"/>
      <c r="C586" s="106"/>
      <c r="D586" s="80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</row>
    <row r="587">
      <c r="A587" s="80"/>
      <c r="B587" s="80"/>
      <c r="C587" s="106"/>
      <c r="D587" s="80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</row>
    <row r="588">
      <c r="A588" s="80"/>
      <c r="B588" s="80"/>
      <c r="C588" s="106"/>
      <c r="D588" s="80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</row>
    <row r="589">
      <c r="A589" s="80"/>
      <c r="B589" s="80"/>
      <c r="C589" s="106"/>
      <c r="D589" s="80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</row>
    <row r="590">
      <c r="A590" s="80"/>
      <c r="B590" s="80"/>
      <c r="C590" s="106"/>
      <c r="D590" s="80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</row>
    <row r="591">
      <c r="A591" s="80"/>
      <c r="B591" s="80"/>
      <c r="C591" s="106"/>
      <c r="D591" s="80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</row>
    <row r="592">
      <c r="A592" s="80"/>
      <c r="B592" s="80"/>
      <c r="C592" s="106"/>
      <c r="D592" s="80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</row>
    <row r="593">
      <c r="A593" s="80"/>
      <c r="B593" s="80"/>
      <c r="C593" s="106"/>
      <c r="D593" s="80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</row>
    <row r="594">
      <c r="A594" s="80"/>
      <c r="B594" s="80"/>
      <c r="C594" s="106"/>
      <c r="D594" s="80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</row>
    <row r="595">
      <c r="A595" s="80"/>
      <c r="B595" s="80"/>
      <c r="C595" s="106"/>
      <c r="D595" s="80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</row>
    <row r="596">
      <c r="A596" s="80"/>
      <c r="B596" s="80"/>
      <c r="C596" s="106"/>
      <c r="D596" s="80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</row>
    <row r="597">
      <c r="A597" s="80"/>
      <c r="B597" s="80"/>
      <c r="C597" s="106"/>
      <c r="D597" s="80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</row>
    <row r="598">
      <c r="A598" s="80"/>
      <c r="B598" s="80"/>
      <c r="C598" s="106"/>
      <c r="D598" s="80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</row>
    <row r="599">
      <c r="A599" s="80"/>
      <c r="B599" s="80"/>
      <c r="C599" s="106"/>
      <c r="D599" s="80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</row>
    <row r="600">
      <c r="A600" s="80"/>
      <c r="B600" s="80"/>
      <c r="C600" s="106"/>
      <c r="D600" s="80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</row>
    <row r="601">
      <c r="A601" s="80"/>
      <c r="B601" s="80"/>
      <c r="C601" s="106"/>
      <c r="D601" s="80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</row>
    <row r="602">
      <c r="A602" s="80"/>
      <c r="B602" s="80"/>
      <c r="C602" s="106"/>
      <c r="D602" s="80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</row>
    <row r="603">
      <c r="A603" s="80"/>
      <c r="B603" s="80"/>
      <c r="C603" s="106"/>
      <c r="D603" s="80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</row>
    <row r="604">
      <c r="A604" s="80"/>
      <c r="B604" s="80"/>
      <c r="C604" s="106"/>
      <c r="D604" s="80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</row>
    <row r="605">
      <c r="A605" s="80"/>
      <c r="B605" s="80"/>
      <c r="C605" s="106"/>
      <c r="D605" s="80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</row>
    <row r="606">
      <c r="A606" s="80"/>
      <c r="B606" s="80"/>
      <c r="C606" s="106"/>
      <c r="D606" s="80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</row>
    <row r="607">
      <c r="A607" s="80"/>
      <c r="B607" s="80"/>
      <c r="C607" s="106"/>
      <c r="D607" s="80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</row>
    <row r="608">
      <c r="A608" s="80"/>
      <c r="B608" s="80"/>
      <c r="C608" s="106"/>
      <c r="D608" s="80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</row>
    <row r="609">
      <c r="A609" s="80"/>
      <c r="B609" s="80"/>
      <c r="C609" s="106"/>
      <c r="D609" s="80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</row>
    <row r="610">
      <c r="A610" s="80"/>
      <c r="B610" s="80"/>
      <c r="C610" s="106"/>
      <c r="D610" s="80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</row>
    <row r="611">
      <c r="A611" s="80"/>
      <c r="B611" s="80"/>
      <c r="C611" s="106"/>
      <c r="D611" s="80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</row>
    <row r="612">
      <c r="A612" s="80"/>
      <c r="B612" s="80"/>
      <c r="C612" s="106"/>
      <c r="D612" s="80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</row>
    <row r="613">
      <c r="A613" s="80"/>
      <c r="B613" s="80"/>
      <c r="C613" s="106"/>
      <c r="D613" s="80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</row>
    <row r="614">
      <c r="A614" s="80"/>
      <c r="B614" s="80"/>
      <c r="C614" s="106"/>
      <c r="D614" s="80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</row>
    <row r="615">
      <c r="A615" s="80"/>
      <c r="B615" s="80"/>
      <c r="C615" s="106"/>
      <c r="D615" s="80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</row>
    <row r="616">
      <c r="A616" s="80"/>
      <c r="B616" s="80"/>
      <c r="C616" s="106"/>
      <c r="D616" s="80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</row>
    <row r="617">
      <c r="A617" s="80"/>
      <c r="B617" s="80"/>
      <c r="C617" s="106"/>
      <c r="D617" s="80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</row>
    <row r="618">
      <c r="A618" s="80"/>
      <c r="B618" s="80"/>
      <c r="C618" s="106"/>
      <c r="D618" s="80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</row>
    <row r="619">
      <c r="A619" s="80"/>
      <c r="B619" s="80"/>
      <c r="C619" s="106"/>
      <c r="D619" s="80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</row>
    <row r="620">
      <c r="A620" s="80"/>
      <c r="B620" s="80"/>
      <c r="C620" s="106"/>
      <c r="D620" s="80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</row>
    <row r="621">
      <c r="A621" s="80"/>
      <c r="B621" s="80"/>
      <c r="C621" s="106"/>
      <c r="D621" s="80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</row>
    <row r="622">
      <c r="A622" s="80"/>
      <c r="B622" s="80"/>
      <c r="C622" s="106"/>
      <c r="D622" s="80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</row>
    <row r="623">
      <c r="A623" s="80"/>
      <c r="B623" s="80"/>
      <c r="C623" s="106"/>
      <c r="D623" s="80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</row>
    <row r="624">
      <c r="A624" s="80"/>
      <c r="B624" s="80"/>
      <c r="C624" s="106"/>
      <c r="D624" s="80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</row>
    <row r="625">
      <c r="A625" s="80"/>
      <c r="B625" s="80"/>
      <c r="C625" s="106"/>
      <c r="D625" s="80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</row>
    <row r="626">
      <c r="A626" s="80"/>
      <c r="B626" s="80"/>
      <c r="C626" s="106"/>
      <c r="D626" s="80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</row>
    <row r="627">
      <c r="A627" s="80"/>
      <c r="B627" s="80"/>
      <c r="C627" s="106"/>
      <c r="D627" s="80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</row>
    <row r="628">
      <c r="A628" s="80"/>
      <c r="B628" s="80"/>
      <c r="C628" s="106"/>
      <c r="D628" s="80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</row>
    <row r="629">
      <c r="A629" s="80"/>
      <c r="B629" s="80"/>
      <c r="C629" s="106"/>
      <c r="D629" s="80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</row>
    <row r="630">
      <c r="A630" s="80"/>
      <c r="B630" s="80"/>
      <c r="C630" s="106"/>
      <c r="D630" s="80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</row>
    <row r="631">
      <c r="A631" s="80"/>
      <c r="B631" s="80"/>
      <c r="C631" s="106"/>
      <c r="D631" s="80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</row>
    <row r="632">
      <c r="A632" s="80"/>
      <c r="B632" s="80"/>
      <c r="C632" s="106"/>
      <c r="D632" s="80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</row>
    <row r="633">
      <c r="A633" s="80"/>
      <c r="B633" s="80"/>
      <c r="C633" s="106"/>
      <c r="D633" s="80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</row>
    <row r="634">
      <c r="A634" s="80"/>
      <c r="B634" s="80"/>
      <c r="C634" s="106"/>
      <c r="D634" s="80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</row>
    <row r="635">
      <c r="A635" s="80"/>
      <c r="B635" s="80"/>
      <c r="C635" s="106"/>
      <c r="D635" s="80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</row>
    <row r="636">
      <c r="A636" s="80"/>
      <c r="B636" s="80"/>
      <c r="C636" s="106"/>
      <c r="D636" s="80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</row>
    <row r="637">
      <c r="A637" s="80"/>
      <c r="B637" s="80"/>
      <c r="C637" s="106"/>
      <c r="D637" s="80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</row>
    <row r="638">
      <c r="A638" s="80"/>
      <c r="B638" s="80"/>
      <c r="C638" s="106"/>
      <c r="D638" s="80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</row>
    <row r="639">
      <c r="A639" s="80"/>
      <c r="B639" s="80"/>
      <c r="C639" s="106"/>
      <c r="D639" s="80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</row>
    <row r="640">
      <c r="A640" s="80"/>
      <c r="B640" s="80"/>
      <c r="C640" s="106"/>
      <c r="D640" s="80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</row>
    <row r="641">
      <c r="A641" s="80"/>
      <c r="B641" s="80"/>
      <c r="C641" s="106"/>
      <c r="D641" s="80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</row>
    <row r="642">
      <c r="A642" s="80"/>
      <c r="B642" s="80"/>
      <c r="C642" s="106"/>
      <c r="D642" s="80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</row>
    <row r="643">
      <c r="A643" s="80"/>
      <c r="B643" s="80"/>
      <c r="C643" s="106"/>
      <c r="D643" s="80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</row>
    <row r="644">
      <c r="A644" s="80"/>
      <c r="B644" s="80"/>
      <c r="C644" s="106"/>
      <c r="D644" s="80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</row>
    <row r="645">
      <c r="A645" s="80"/>
      <c r="B645" s="80"/>
      <c r="C645" s="106"/>
      <c r="D645" s="80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</row>
    <row r="646">
      <c r="A646" s="80"/>
      <c r="B646" s="80"/>
      <c r="C646" s="106"/>
      <c r="D646" s="80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</row>
    <row r="647">
      <c r="A647" s="80"/>
      <c r="B647" s="80"/>
      <c r="C647" s="106"/>
      <c r="D647" s="80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</row>
    <row r="648">
      <c r="A648" s="80"/>
      <c r="B648" s="80"/>
      <c r="C648" s="106"/>
      <c r="D648" s="80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</row>
    <row r="649">
      <c r="A649" s="80"/>
      <c r="B649" s="80"/>
      <c r="C649" s="106"/>
      <c r="D649" s="80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</row>
    <row r="650">
      <c r="A650" s="80"/>
      <c r="B650" s="80"/>
      <c r="C650" s="106"/>
      <c r="D650" s="80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</row>
    <row r="651">
      <c r="A651" s="80"/>
      <c r="B651" s="80"/>
      <c r="C651" s="106"/>
      <c r="D651" s="80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</row>
    <row r="652">
      <c r="A652" s="80"/>
      <c r="B652" s="80"/>
      <c r="C652" s="106"/>
      <c r="D652" s="80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</row>
    <row r="653">
      <c r="A653" s="80"/>
      <c r="B653" s="80"/>
      <c r="C653" s="106"/>
      <c r="D653" s="80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</row>
    <row r="654">
      <c r="A654" s="80"/>
      <c r="B654" s="80"/>
      <c r="C654" s="106"/>
      <c r="D654" s="80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</row>
    <row r="655">
      <c r="A655" s="80"/>
      <c r="B655" s="80"/>
      <c r="C655" s="106"/>
      <c r="D655" s="80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</row>
    <row r="656">
      <c r="A656" s="80"/>
      <c r="B656" s="80"/>
      <c r="C656" s="106"/>
      <c r="D656" s="80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</row>
    <row r="657">
      <c r="A657" s="80"/>
      <c r="B657" s="80"/>
      <c r="C657" s="106"/>
      <c r="D657" s="80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</row>
    <row r="658">
      <c r="A658" s="80"/>
      <c r="B658" s="80"/>
      <c r="C658" s="106"/>
      <c r="D658" s="80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</row>
    <row r="659">
      <c r="A659" s="80"/>
      <c r="B659" s="80"/>
      <c r="C659" s="106"/>
      <c r="D659" s="80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</row>
    <row r="660">
      <c r="A660" s="80"/>
      <c r="B660" s="80"/>
      <c r="C660" s="106"/>
      <c r="D660" s="80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</row>
    <row r="661">
      <c r="A661" s="80"/>
      <c r="B661" s="80"/>
      <c r="C661" s="106"/>
      <c r="D661" s="80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</row>
    <row r="662">
      <c r="A662" s="80"/>
      <c r="B662" s="80"/>
      <c r="C662" s="106"/>
      <c r="D662" s="80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</row>
    <row r="663">
      <c r="A663" s="80"/>
      <c r="B663" s="80"/>
      <c r="C663" s="106"/>
      <c r="D663" s="80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</row>
    <row r="664">
      <c r="A664" s="80"/>
      <c r="B664" s="80"/>
      <c r="C664" s="106"/>
      <c r="D664" s="80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</row>
    <row r="665">
      <c r="A665" s="80"/>
      <c r="B665" s="80"/>
      <c r="C665" s="106"/>
      <c r="D665" s="80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</row>
    <row r="666">
      <c r="A666" s="80"/>
      <c r="B666" s="80"/>
      <c r="C666" s="106"/>
      <c r="D666" s="80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</row>
    <row r="667">
      <c r="A667" s="80"/>
      <c r="B667" s="80"/>
      <c r="C667" s="106"/>
      <c r="D667" s="80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</row>
    <row r="668">
      <c r="A668" s="80"/>
      <c r="B668" s="80"/>
      <c r="C668" s="106"/>
      <c r="D668" s="80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</row>
    <row r="669">
      <c r="A669" s="80"/>
      <c r="B669" s="80"/>
      <c r="C669" s="106"/>
      <c r="D669" s="80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</row>
    <row r="670">
      <c r="A670" s="80"/>
      <c r="B670" s="80"/>
      <c r="C670" s="106"/>
      <c r="D670" s="80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</row>
    <row r="671">
      <c r="A671" s="80"/>
      <c r="B671" s="80"/>
      <c r="C671" s="106"/>
      <c r="D671" s="80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</row>
    <row r="672">
      <c r="A672" s="80"/>
      <c r="B672" s="80"/>
      <c r="C672" s="106"/>
      <c r="D672" s="80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</row>
    <row r="673">
      <c r="A673" s="80"/>
      <c r="B673" s="80"/>
      <c r="C673" s="106"/>
      <c r="D673" s="80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</row>
    <row r="674">
      <c r="A674" s="80"/>
      <c r="B674" s="80"/>
      <c r="C674" s="106"/>
      <c r="D674" s="80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</row>
    <row r="675">
      <c r="A675" s="80"/>
      <c r="B675" s="80"/>
      <c r="C675" s="106"/>
      <c r="D675" s="80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</row>
    <row r="676">
      <c r="A676" s="80"/>
      <c r="B676" s="80"/>
      <c r="C676" s="106"/>
      <c r="D676" s="80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</row>
    <row r="677">
      <c r="A677" s="80"/>
      <c r="B677" s="80"/>
      <c r="C677" s="106"/>
      <c r="D677" s="80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</row>
    <row r="678">
      <c r="A678" s="80"/>
      <c r="B678" s="80"/>
      <c r="C678" s="106"/>
      <c r="D678" s="80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</row>
    <row r="679">
      <c r="A679" s="80"/>
      <c r="B679" s="80"/>
      <c r="C679" s="106"/>
      <c r="D679" s="80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</row>
    <row r="680">
      <c r="A680" s="80"/>
      <c r="B680" s="80"/>
      <c r="C680" s="106"/>
      <c r="D680" s="80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</row>
    <row r="681">
      <c r="A681" s="80"/>
      <c r="B681" s="80"/>
      <c r="C681" s="106"/>
      <c r="D681" s="80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</row>
    <row r="682">
      <c r="A682" s="80"/>
      <c r="B682" s="80"/>
      <c r="C682" s="106"/>
      <c r="D682" s="80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</row>
    <row r="683">
      <c r="A683" s="80"/>
      <c r="B683" s="80"/>
      <c r="C683" s="106"/>
      <c r="D683" s="80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</row>
    <row r="684">
      <c r="A684" s="80"/>
      <c r="B684" s="80"/>
      <c r="C684" s="106"/>
      <c r="D684" s="80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</row>
    <row r="685">
      <c r="A685" s="80"/>
      <c r="B685" s="80"/>
      <c r="C685" s="106"/>
      <c r="D685" s="80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</row>
    <row r="686">
      <c r="A686" s="80"/>
      <c r="B686" s="80"/>
      <c r="C686" s="106"/>
      <c r="D686" s="80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</row>
    <row r="687">
      <c r="A687" s="80"/>
      <c r="B687" s="80"/>
      <c r="C687" s="106"/>
      <c r="D687" s="80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</row>
    <row r="688">
      <c r="A688" s="80"/>
      <c r="B688" s="80"/>
      <c r="C688" s="106"/>
      <c r="D688" s="80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</row>
    <row r="689">
      <c r="A689" s="80"/>
      <c r="B689" s="80"/>
      <c r="C689" s="106"/>
      <c r="D689" s="80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</row>
    <row r="690">
      <c r="A690" s="80"/>
      <c r="B690" s="80"/>
      <c r="C690" s="106"/>
      <c r="D690" s="80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</row>
    <row r="691">
      <c r="A691" s="80"/>
      <c r="B691" s="80"/>
      <c r="C691" s="106"/>
      <c r="D691" s="80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</row>
    <row r="692">
      <c r="A692" s="80"/>
      <c r="B692" s="80"/>
      <c r="C692" s="106"/>
      <c r="D692" s="80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</row>
    <row r="693">
      <c r="A693" s="80"/>
      <c r="B693" s="80"/>
      <c r="C693" s="106"/>
      <c r="D693" s="80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</row>
    <row r="694">
      <c r="A694" s="80"/>
      <c r="B694" s="80"/>
      <c r="C694" s="106"/>
      <c r="D694" s="80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</row>
    <row r="695">
      <c r="A695" s="80"/>
      <c r="B695" s="80"/>
      <c r="C695" s="106"/>
      <c r="D695" s="80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</row>
    <row r="696">
      <c r="A696" s="80"/>
      <c r="B696" s="80"/>
      <c r="C696" s="106"/>
      <c r="D696" s="80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</row>
    <row r="697">
      <c r="A697" s="80"/>
      <c r="B697" s="80"/>
      <c r="C697" s="106"/>
      <c r="D697" s="80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</row>
    <row r="698">
      <c r="A698" s="80"/>
      <c r="B698" s="80"/>
      <c r="C698" s="106"/>
      <c r="D698" s="80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</row>
    <row r="699">
      <c r="A699" s="80"/>
      <c r="B699" s="80"/>
      <c r="C699" s="106"/>
      <c r="D699" s="80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</row>
    <row r="700">
      <c r="A700" s="80"/>
      <c r="B700" s="80"/>
      <c r="C700" s="106"/>
      <c r="D700" s="80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</row>
    <row r="701">
      <c r="A701" s="80"/>
      <c r="B701" s="80"/>
      <c r="C701" s="106"/>
      <c r="D701" s="80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</row>
    <row r="702">
      <c r="A702" s="80"/>
      <c r="B702" s="80"/>
      <c r="C702" s="106"/>
      <c r="D702" s="80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</row>
    <row r="703">
      <c r="A703" s="80"/>
      <c r="B703" s="80"/>
      <c r="C703" s="106"/>
      <c r="D703" s="80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</row>
    <row r="704">
      <c r="A704" s="80"/>
      <c r="B704" s="80"/>
      <c r="C704" s="106"/>
      <c r="D704" s="80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</row>
    <row r="705">
      <c r="A705" s="80"/>
      <c r="B705" s="80"/>
      <c r="C705" s="106"/>
      <c r="D705" s="80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</row>
    <row r="706">
      <c r="A706" s="80"/>
      <c r="B706" s="80"/>
      <c r="C706" s="106"/>
      <c r="D706" s="80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</row>
    <row r="707">
      <c r="A707" s="80"/>
      <c r="B707" s="80"/>
      <c r="C707" s="106"/>
      <c r="D707" s="80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</row>
    <row r="708">
      <c r="A708" s="80"/>
      <c r="B708" s="80"/>
      <c r="C708" s="106"/>
      <c r="D708" s="80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</row>
    <row r="709">
      <c r="A709" s="80"/>
      <c r="B709" s="80"/>
      <c r="C709" s="106"/>
      <c r="D709" s="80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</row>
    <row r="710">
      <c r="A710" s="80"/>
      <c r="B710" s="80"/>
      <c r="C710" s="106"/>
      <c r="D710" s="80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</row>
    <row r="711">
      <c r="A711" s="80"/>
      <c r="B711" s="80"/>
      <c r="C711" s="106"/>
      <c r="D711" s="80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</row>
    <row r="712">
      <c r="A712" s="80"/>
      <c r="B712" s="80"/>
      <c r="C712" s="106"/>
      <c r="D712" s="80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</row>
    <row r="713">
      <c r="A713" s="80"/>
      <c r="B713" s="80"/>
      <c r="C713" s="106"/>
      <c r="D713" s="80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</row>
    <row r="714">
      <c r="A714" s="80"/>
      <c r="B714" s="80"/>
      <c r="C714" s="106"/>
      <c r="D714" s="80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</row>
    <row r="715">
      <c r="A715" s="80"/>
      <c r="B715" s="80"/>
      <c r="C715" s="106"/>
      <c r="D715" s="80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</row>
    <row r="716">
      <c r="A716" s="80"/>
      <c r="B716" s="80"/>
      <c r="C716" s="106"/>
      <c r="D716" s="80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</row>
    <row r="717">
      <c r="A717" s="80"/>
      <c r="B717" s="80"/>
      <c r="C717" s="106"/>
      <c r="D717" s="80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</row>
    <row r="718">
      <c r="A718" s="80"/>
      <c r="B718" s="80"/>
      <c r="C718" s="106"/>
      <c r="D718" s="80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</row>
    <row r="719">
      <c r="A719" s="80"/>
      <c r="B719" s="80"/>
      <c r="C719" s="106"/>
      <c r="D719" s="80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</row>
    <row r="720">
      <c r="A720" s="80"/>
      <c r="B720" s="80"/>
      <c r="C720" s="106"/>
      <c r="D720" s="80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</row>
    <row r="721">
      <c r="A721" s="80"/>
      <c r="B721" s="80"/>
      <c r="C721" s="106"/>
      <c r="D721" s="80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</row>
    <row r="722">
      <c r="A722" s="80"/>
      <c r="B722" s="80"/>
      <c r="C722" s="106"/>
      <c r="D722" s="80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</row>
    <row r="723">
      <c r="A723" s="80"/>
      <c r="B723" s="80"/>
      <c r="C723" s="106"/>
      <c r="D723" s="80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</row>
    <row r="724">
      <c r="A724" s="80"/>
      <c r="B724" s="80"/>
      <c r="C724" s="106"/>
      <c r="D724" s="80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</row>
    <row r="725">
      <c r="A725" s="80"/>
      <c r="B725" s="80"/>
      <c r="C725" s="106"/>
      <c r="D725" s="80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</row>
    <row r="726">
      <c r="A726" s="80"/>
      <c r="B726" s="80"/>
      <c r="C726" s="106"/>
      <c r="D726" s="80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</row>
    <row r="727">
      <c r="A727" s="80"/>
      <c r="B727" s="80"/>
      <c r="C727" s="106"/>
      <c r="D727" s="80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</row>
    <row r="728">
      <c r="A728" s="80"/>
      <c r="B728" s="80"/>
      <c r="C728" s="106"/>
      <c r="D728" s="80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</row>
    <row r="729">
      <c r="A729" s="80"/>
      <c r="B729" s="80"/>
      <c r="C729" s="106"/>
      <c r="D729" s="80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</row>
    <row r="730">
      <c r="A730" s="80"/>
      <c r="B730" s="80"/>
      <c r="C730" s="106"/>
      <c r="D730" s="80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</row>
    <row r="731">
      <c r="A731" s="80"/>
      <c r="B731" s="80"/>
      <c r="C731" s="106"/>
      <c r="D731" s="80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</row>
    <row r="732">
      <c r="A732" s="80"/>
      <c r="B732" s="80"/>
      <c r="C732" s="106"/>
      <c r="D732" s="80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</row>
    <row r="733">
      <c r="A733" s="80"/>
      <c r="B733" s="80"/>
      <c r="C733" s="106"/>
      <c r="D733" s="80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</row>
    <row r="734">
      <c r="A734" s="80"/>
      <c r="B734" s="80"/>
      <c r="C734" s="106"/>
      <c r="D734" s="80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</row>
    <row r="735">
      <c r="A735" s="80"/>
      <c r="B735" s="80"/>
      <c r="C735" s="106"/>
      <c r="D735" s="80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</row>
    <row r="736">
      <c r="A736" s="80"/>
      <c r="B736" s="80"/>
      <c r="C736" s="106"/>
      <c r="D736" s="80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</row>
    <row r="737">
      <c r="A737" s="80"/>
      <c r="B737" s="80"/>
      <c r="C737" s="106"/>
      <c r="D737" s="80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</row>
    <row r="738">
      <c r="A738" s="80"/>
      <c r="B738" s="80"/>
      <c r="C738" s="106"/>
      <c r="D738" s="80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</row>
    <row r="739">
      <c r="A739" s="80"/>
      <c r="B739" s="80"/>
      <c r="C739" s="106"/>
      <c r="D739" s="80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</row>
    <row r="740">
      <c r="A740" s="80"/>
      <c r="B740" s="80"/>
      <c r="C740" s="106"/>
      <c r="D740" s="80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</row>
    <row r="741">
      <c r="A741" s="80"/>
      <c r="B741" s="80"/>
      <c r="C741" s="106"/>
      <c r="D741" s="80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</row>
    <row r="742">
      <c r="A742" s="80"/>
      <c r="B742" s="80"/>
      <c r="C742" s="106"/>
      <c r="D742" s="80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</row>
    <row r="743">
      <c r="A743" s="80"/>
      <c r="B743" s="80"/>
      <c r="C743" s="106"/>
      <c r="D743" s="80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</row>
    <row r="744">
      <c r="A744" s="80"/>
      <c r="B744" s="80"/>
      <c r="C744" s="106"/>
      <c r="D744" s="80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</row>
    <row r="745">
      <c r="A745" s="80"/>
      <c r="B745" s="80"/>
      <c r="C745" s="106"/>
      <c r="D745" s="80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</row>
    <row r="746">
      <c r="A746" s="80"/>
      <c r="B746" s="80"/>
      <c r="C746" s="106"/>
      <c r="D746" s="80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</row>
    <row r="747">
      <c r="A747" s="80"/>
      <c r="B747" s="80"/>
      <c r="C747" s="106"/>
      <c r="D747" s="80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</row>
    <row r="748">
      <c r="A748" s="80"/>
      <c r="B748" s="80"/>
      <c r="C748" s="106"/>
      <c r="D748" s="80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</row>
    <row r="749">
      <c r="A749" s="80"/>
      <c r="B749" s="80"/>
      <c r="C749" s="106"/>
      <c r="D749" s="80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</row>
    <row r="750">
      <c r="A750" s="80"/>
      <c r="B750" s="80"/>
      <c r="C750" s="106"/>
      <c r="D750" s="80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</row>
    <row r="751">
      <c r="A751" s="80"/>
      <c r="B751" s="80"/>
      <c r="C751" s="106"/>
      <c r="D751" s="80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</row>
    <row r="752">
      <c r="A752" s="80"/>
      <c r="B752" s="80"/>
      <c r="C752" s="106"/>
      <c r="D752" s="80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</row>
    <row r="753">
      <c r="A753" s="80"/>
      <c r="B753" s="80"/>
      <c r="C753" s="106"/>
      <c r="D753" s="80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</row>
    <row r="754">
      <c r="A754" s="80"/>
      <c r="B754" s="80"/>
      <c r="C754" s="106"/>
      <c r="D754" s="80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</row>
    <row r="755">
      <c r="A755" s="80"/>
      <c r="B755" s="80"/>
      <c r="C755" s="106"/>
      <c r="D755" s="80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</row>
    <row r="756">
      <c r="A756" s="80"/>
      <c r="B756" s="80"/>
      <c r="C756" s="106"/>
      <c r="D756" s="80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</row>
    <row r="757">
      <c r="A757" s="80"/>
      <c r="B757" s="80"/>
      <c r="C757" s="106"/>
      <c r="D757" s="80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</row>
    <row r="758">
      <c r="A758" s="80"/>
      <c r="B758" s="80"/>
      <c r="C758" s="106"/>
      <c r="D758" s="80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</row>
    <row r="759">
      <c r="A759" s="80"/>
      <c r="B759" s="80"/>
      <c r="C759" s="106"/>
      <c r="D759" s="80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</row>
    <row r="760">
      <c r="A760" s="80"/>
      <c r="B760" s="80"/>
      <c r="C760" s="106"/>
      <c r="D760" s="80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</row>
    <row r="761">
      <c r="A761" s="80"/>
      <c r="B761" s="80"/>
      <c r="C761" s="106"/>
      <c r="D761" s="80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</row>
    <row r="762">
      <c r="A762" s="80"/>
      <c r="B762" s="80"/>
      <c r="C762" s="106"/>
      <c r="D762" s="80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</row>
    <row r="763">
      <c r="A763" s="80"/>
      <c r="B763" s="80"/>
      <c r="C763" s="106"/>
      <c r="D763" s="80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</row>
    <row r="764">
      <c r="A764" s="80"/>
      <c r="B764" s="80"/>
      <c r="C764" s="106"/>
      <c r="D764" s="80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</row>
    <row r="765">
      <c r="A765" s="80"/>
      <c r="B765" s="80"/>
      <c r="C765" s="106"/>
      <c r="D765" s="80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</row>
    <row r="766">
      <c r="A766" s="80"/>
      <c r="B766" s="80"/>
      <c r="C766" s="106"/>
      <c r="D766" s="80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</row>
    <row r="767">
      <c r="A767" s="80"/>
      <c r="B767" s="80"/>
      <c r="C767" s="106"/>
      <c r="D767" s="80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</row>
    <row r="768">
      <c r="A768" s="80"/>
      <c r="B768" s="80"/>
      <c r="C768" s="106"/>
      <c r="D768" s="80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</row>
    <row r="769">
      <c r="A769" s="80"/>
      <c r="B769" s="80"/>
      <c r="C769" s="106"/>
      <c r="D769" s="80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</row>
    <row r="770">
      <c r="A770" s="80"/>
      <c r="B770" s="80"/>
      <c r="C770" s="106"/>
      <c r="D770" s="80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</row>
    <row r="771">
      <c r="A771" s="80"/>
      <c r="B771" s="80"/>
      <c r="C771" s="106"/>
      <c r="D771" s="80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</row>
    <row r="772">
      <c r="A772" s="80"/>
      <c r="B772" s="80"/>
      <c r="C772" s="106"/>
      <c r="D772" s="80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</row>
    <row r="773">
      <c r="A773" s="80"/>
      <c r="B773" s="80"/>
      <c r="C773" s="106"/>
      <c r="D773" s="80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</row>
    <row r="774">
      <c r="A774" s="80"/>
      <c r="B774" s="80"/>
      <c r="C774" s="106"/>
      <c r="D774" s="80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</row>
    <row r="775">
      <c r="A775" s="80"/>
      <c r="B775" s="80"/>
      <c r="C775" s="106"/>
      <c r="D775" s="80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</row>
    <row r="776">
      <c r="A776" s="80"/>
      <c r="B776" s="80"/>
      <c r="C776" s="106"/>
      <c r="D776" s="80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</row>
    <row r="777">
      <c r="A777" s="80"/>
      <c r="B777" s="80"/>
      <c r="C777" s="106"/>
      <c r="D777" s="80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</row>
    <row r="778">
      <c r="A778" s="80"/>
      <c r="B778" s="80"/>
      <c r="C778" s="106"/>
      <c r="D778" s="80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</row>
    <row r="779">
      <c r="A779" s="80"/>
      <c r="B779" s="80"/>
      <c r="C779" s="106"/>
      <c r="D779" s="80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</row>
    <row r="780">
      <c r="A780" s="80"/>
      <c r="B780" s="80"/>
      <c r="C780" s="106"/>
      <c r="D780" s="80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</row>
    <row r="781">
      <c r="A781" s="80"/>
      <c r="B781" s="80"/>
      <c r="C781" s="106"/>
      <c r="D781" s="80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</row>
    <row r="782">
      <c r="A782" s="80"/>
      <c r="B782" s="80"/>
      <c r="C782" s="106"/>
      <c r="D782" s="80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</row>
    <row r="783">
      <c r="A783" s="80"/>
      <c r="B783" s="80"/>
      <c r="C783" s="106"/>
      <c r="D783" s="80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</row>
    <row r="784">
      <c r="A784" s="80"/>
      <c r="B784" s="80"/>
      <c r="C784" s="106"/>
      <c r="D784" s="80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</row>
    <row r="785">
      <c r="A785" s="80"/>
      <c r="B785" s="80"/>
      <c r="C785" s="106"/>
      <c r="D785" s="80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</row>
    <row r="786">
      <c r="A786" s="80"/>
      <c r="B786" s="80"/>
      <c r="C786" s="106"/>
      <c r="D786" s="80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</row>
    <row r="787">
      <c r="A787" s="80"/>
      <c r="B787" s="80"/>
      <c r="C787" s="106"/>
      <c r="D787" s="80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</row>
    <row r="788">
      <c r="A788" s="80"/>
      <c r="B788" s="80"/>
      <c r="C788" s="106"/>
      <c r="D788" s="80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</row>
    <row r="789">
      <c r="A789" s="80"/>
      <c r="B789" s="80"/>
      <c r="C789" s="106"/>
      <c r="D789" s="80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</row>
    <row r="790">
      <c r="A790" s="80"/>
      <c r="B790" s="80"/>
      <c r="C790" s="106"/>
      <c r="D790" s="80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</row>
    <row r="791">
      <c r="A791" s="80"/>
      <c r="B791" s="80"/>
      <c r="C791" s="106"/>
      <c r="D791" s="80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</row>
    <row r="792">
      <c r="A792" s="80"/>
      <c r="B792" s="80"/>
      <c r="C792" s="106"/>
      <c r="D792" s="80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</row>
    <row r="793">
      <c r="A793" s="80"/>
      <c r="B793" s="80"/>
      <c r="C793" s="106"/>
      <c r="D793" s="80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</row>
    <row r="794">
      <c r="A794" s="80"/>
      <c r="B794" s="80"/>
      <c r="C794" s="106"/>
      <c r="D794" s="80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</row>
    <row r="795">
      <c r="A795" s="80"/>
      <c r="B795" s="80"/>
      <c r="C795" s="106"/>
      <c r="D795" s="80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</row>
    <row r="796">
      <c r="A796" s="80"/>
      <c r="B796" s="80"/>
      <c r="C796" s="106"/>
      <c r="D796" s="80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</row>
    <row r="797">
      <c r="A797" s="80"/>
      <c r="B797" s="80"/>
      <c r="C797" s="106"/>
      <c r="D797" s="80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</row>
    <row r="798">
      <c r="A798" s="80"/>
      <c r="B798" s="80"/>
      <c r="C798" s="106"/>
      <c r="D798" s="80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</row>
    <row r="799">
      <c r="A799" s="80"/>
      <c r="B799" s="80"/>
      <c r="C799" s="106"/>
      <c r="D799" s="80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</row>
    <row r="800">
      <c r="A800" s="80"/>
      <c r="B800" s="80"/>
      <c r="C800" s="106"/>
      <c r="D800" s="80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</row>
    <row r="801">
      <c r="A801" s="80"/>
      <c r="B801" s="80"/>
      <c r="C801" s="106"/>
      <c r="D801" s="80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</row>
    <row r="802">
      <c r="A802" s="80"/>
      <c r="B802" s="80"/>
      <c r="C802" s="106"/>
      <c r="D802" s="80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</row>
    <row r="803">
      <c r="A803" s="80"/>
      <c r="B803" s="80"/>
      <c r="C803" s="106"/>
      <c r="D803" s="80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</row>
    <row r="804">
      <c r="A804" s="80"/>
      <c r="B804" s="80"/>
      <c r="C804" s="106"/>
      <c r="D804" s="80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</row>
    <row r="805">
      <c r="A805" s="80"/>
      <c r="B805" s="80"/>
      <c r="C805" s="106"/>
      <c r="D805" s="80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</row>
    <row r="806">
      <c r="A806" s="80"/>
      <c r="B806" s="80"/>
      <c r="C806" s="106"/>
      <c r="D806" s="80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</row>
    <row r="807">
      <c r="A807" s="80"/>
      <c r="B807" s="80"/>
      <c r="C807" s="106"/>
      <c r="D807" s="80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</row>
    <row r="808">
      <c r="A808" s="80"/>
      <c r="B808" s="80"/>
      <c r="C808" s="106"/>
      <c r="D808" s="80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</row>
    <row r="809">
      <c r="A809" s="80"/>
      <c r="B809" s="80"/>
      <c r="C809" s="106"/>
      <c r="D809" s="80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</row>
    <row r="810">
      <c r="A810" s="80"/>
      <c r="B810" s="80"/>
      <c r="C810" s="106"/>
      <c r="D810" s="80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</row>
    <row r="811">
      <c r="A811" s="80"/>
      <c r="B811" s="80"/>
      <c r="C811" s="106"/>
      <c r="D811" s="80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</row>
    <row r="812">
      <c r="A812" s="80"/>
      <c r="B812" s="80"/>
      <c r="C812" s="106"/>
      <c r="D812" s="80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</row>
    <row r="813">
      <c r="A813" s="80"/>
      <c r="B813" s="80"/>
      <c r="C813" s="106"/>
      <c r="D813" s="80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</row>
    <row r="814">
      <c r="A814" s="80"/>
      <c r="B814" s="80"/>
      <c r="C814" s="106"/>
      <c r="D814" s="80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</row>
    <row r="815">
      <c r="A815" s="80"/>
      <c r="B815" s="80"/>
      <c r="C815" s="106"/>
      <c r="D815" s="80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</row>
    <row r="816">
      <c r="A816" s="80"/>
      <c r="B816" s="80"/>
      <c r="C816" s="106"/>
      <c r="D816" s="80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</row>
    <row r="817">
      <c r="A817" s="80"/>
      <c r="B817" s="80"/>
      <c r="C817" s="106"/>
      <c r="D817" s="80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</row>
    <row r="818">
      <c r="A818" s="80"/>
      <c r="B818" s="80"/>
      <c r="C818" s="106"/>
      <c r="D818" s="80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</row>
    <row r="819">
      <c r="A819" s="80"/>
      <c r="B819" s="80"/>
      <c r="C819" s="106"/>
      <c r="D819" s="80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</row>
    <row r="820">
      <c r="A820" s="80"/>
      <c r="B820" s="80"/>
      <c r="C820" s="106"/>
      <c r="D820" s="80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</row>
    <row r="821">
      <c r="A821" s="80"/>
      <c r="B821" s="80"/>
      <c r="C821" s="106"/>
      <c r="D821" s="80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</row>
    <row r="822">
      <c r="A822" s="80"/>
      <c r="B822" s="80"/>
      <c r="C822" s="106"/>
      <c r="D822" s="80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</row>
    <row r="823">
      <c r="A823" s="80"/>
      <c r="B823" s="80"/>
      <c r="C823" s="106"/>
      <c r="D823" s="80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</row>
    <row r="824">
      <c r="A824" s="80"/>
      <c r="B824" s="80"/>
      <c r="C824" s="106"/>
      <c r="D824" s="80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</row>
    <row r="825">
      <c r="A825" s="80"/>
      <c r="B825" s="80"/>
      <c r="C825" s="106"/>
      <c r="D825" s="80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</row>
    <row r="826">
      <c r="A826" s="80"/>
      <c r="B826" s="80"/>
      <c r="C826" s="106"/>
      <c r="D826" s="80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</row>
    <row r="827">
      <c r="A827" s="80"/>
      <c r="B827" s="80"/>
      <c r="C827" s="106"/>
      <c r="D827" s="80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</row>
    <row r="828">
      <c r="A828" s="80"/>
      <c r="B828" s="80"/>
      <c r="C828" s="106"/>
      <c r="D828" s="80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</row>
    <row r="829">
      <c r="A829" s="80"/>
      <c r="B829" s="80"/>
      <c r="C829" s="106"/>
      <c r="D829" s="80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</row>
    <row r="830">
      <c r="A830" s="80"/>
      <c r="B830" s="80"/>
      <c r="C830" s="106"/>
      <c r="D830" s="80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</row>
    <row r="831">
      <c r="A831" s="80"/>
      <c r="B831" s="80"/>
      <c r="C831" s="106"/>
      <c r="D831" s="80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</row>
    <row r="832">
      <c r="A832" s="80"/>
      <c r="B832" s="80"/>
      <c r="C832" s="106"/>
      <c r="D832" s="80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</row>
    <row r="833">
      <c r="A833" s="80"/>
      <c r="B833" s="80"/>
      <c r="C833" s="106"/>
      <c r="D833" s="80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</row>
    <row r="834">
      <c r="A834" s="80"/>
      <c r="B834" s="80"/>
      <c r="C834" s="106"/>
      <c r="D834" s="80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</row>
    <row r="835">
      <c r="A835" s="80"/>
      <c r="B835" s="80"/>
      <c r="C835" s="106"/>
      <c r="D835" s="80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</row>
    <row r="836">
      <c r="A836" s="80"/>
      <c r="B836" s="80"/>
      <c r="C836" s="106"/>
      <c r="D836" s="80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</row>
    <row r="837">
      <c r="A837" s="80"/>
      <c r="B837" s="80"/>
      <c r="C837" s="106"/>
      <c r="D837" s="80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</row>
    <row r="838">
      <c r="A838" s="80"/>
      <c r="B838" s="80"/>
      <c r="C838" s="106"/>
      <c r="D838" s="80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</row>
    <row r="839">
      <c r="A839" s="80"/>
      <c r="B839" s="80"/>
      <c r="C839" s="106"/>
      <c r="D839" s="80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</row>
    <row r="840">
      <c r="A840" s="80"/>
      <c r="B840" s="80"/>
      <c r="C840" s="106"/>
      <c r="D840" s="80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</row>
    <row r="841">
      <c r="A841" s="80"/>
      <c r="B841" s="80"/>
      <c r="C841" s="106"/>
      <c r="D841" s="80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</row>
    <row r="842">
      <c r="A842" s="80"/>
      <c r="B842" s="80"/>
      <c r="C842" s="106"/>
      <c r="D842" s="80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</row>
    <row r="843">
      <c r="A843" s="80"/>
      <c r="B843" s="80"/>
      <c r="C843" s="106"/>
      <c r="D843" s="80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</row>
    <row r="844">
      <c r="A844" s="80"/>
      <c r="B844" s="80"/>
      <c r="C844" s="106"/>
      <c r="D844" s="80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</row>
    <row r="845">
      <c r="A845" s="80"/>
      <c r="B845" s="80"/>
      <c r="C845" s="106"/>
      <c r="D845" s="80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</row>
    <row r="846">
      <c r="A846" s="80"/>
      <c r="B846" s="80"/>
      <c r="C846" s="106"/>
      <c r="D846" s="80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</row>
    <row r="847">
      <c r="A847" s="80"/>
      <c r="B847" s="80"/>
      <c r="C847" s="106"/>
      <c r="D847" s="80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</row>
    <row r="848">
      <c r="A848" s="80"/>
      <c r="B848" s="80"/>
      <c r="C848" s="106"/>
      <c r="D848" s="80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</row>
    <row r="849">
      <c r="A849" s="80"/>
      <c r="B849" s="80"/>
      <c r="C849" s="106"/>
      <c r="D849" s="80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</row>
    <row r="850">
      <c r="A850" s="80"/>
      <c r="B850" s="80"/>
      <c r="C850" s="106"/>
      <c r="D850" s="80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</row>
    <row r="851">
      <c r="A851" s="80"/>
      <c r="B851" s="80"/>
      <c r="C851" s="106"/>
      <c r="D851" s="80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</row>
    <row r="852">
      <c r="A852" s="80"/>
      <c r="B852" s="80"/>
      <c r="C852" s="106"/>
      <c r="D852" s="80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</row>
    <row r="853">
      <c r="A853" s="80"/>
      <c r="B853" s="80"/>
      <c r="C853" s="106"/>
      <c r="D853" s="80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</row>
    <row r="854">
      <c r="A854" s="80"/>
      <c r="B854" s="80"/>
      <c r="C854" s="106"/>
      <c r="D854" s="80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</row>
    <row r="855">
      <c r="A855" s="80"/>
      <c r="B855" s="80"/>
      <c r="C855" s="106"/>
      <c r="D855" s="80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</row>
    <row r="856">
      <c r="A856" s="80"/>
      <c r="B856" s="80"/>
      <c r="C856" s="106"/>
      <c r="D856" s="80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</row>
    <row r="857">
      <c r="A857" s="80"/>
      <c r="B857" s="80"/>
      <c r="C857" s="106"/>
      <c r="D857" s="80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</row>
    <row r="858">
      <c r="A858" s="80"/>
      <c r="B858" s="80"/>
      <c r="C858" s="106"/>
      <c r="D858" s="80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</row>
    <row r="859">
      <c r="A859" s="80"/>
      <c r="B859" s="80"/>
      <c r="C859" s="106"/>
      <c r="D859" s="80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</row>
    <row r="860">
      <c r="A860" s="80"/>
      <c r="B860" s="80"/>
      <c r="C860" s="106"/>
      <c r="D860" s="80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</row>
    <row r="861">
      <c r="A861" s="80"/>
      <c r="B861" s="80"/>
      <c r="C861" s="106"/>
      <c r="D861" s="80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</row>
    <row r="862">
      <c r="A862" s="80"/>
      <c r="B862" s="80"/>
      <c r="C862" s="106"/>
      <c r="D862" s="80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</row>
    <row r="863">
      <c r="A863" s="80"/>
      <c r="B863" s="80"/>
      <c r="C863" s="106"/>
      <c r="D863" s="80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</row>
    <row r="864">
      <c r="A864" s="80"/>
      <c r="B864" s="80"/>
      <c r="C864" s="106"/>
      <c r="D864" s="80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</row>
    <row r="865">
      <c r="A865" s="80"/>
      <c r="B865" s="80"/>
      <c r="C865" s="106"/>
      <c r="D865" s="80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</row>
    <row r="866">
      <c r="A866" s="80"/>
      <c r="B866" s="80"/>
      <c r="C866" s="106"/>
      <c r="D866" s="80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</row>
    <row r="867">
      <c r="A867" s="80"/>
      <c r="B867" s="80"/>
      <c r="C867" s="106"/>
      <c r="D867" s="80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</row>
    <row r="868">
      <c r="A868" s="80"/>
      <c r="B868" s="80"/>
      <c r="C868" s="106"/>
      <c r="D868" s="80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</row>
    <row r="869">
      <c r="A869" s="80"/>
      <c r="B869" s="80"/>
      <c r="C869" s="106"/>
      <c r="D869" s="80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</row>
    <row r="870">
      <c r="A870" s="80"/>
      <c r="B870" s="80"/>
      <c r="C870" s="106"/>
      <c r="D870" s="80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</row>
    <row r="871">
      <c r="A871" s="80"/>
      <c r="B871" s="80"/>
      <c r="C871" s="106"/>
      <c r="D871" s="80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</row>
    <row r="872">
      <c r="A872" s="80"/>
      <c r="B872" s="80"/>
      <c r="C872" s="106"/>
      <c r="D872" s="80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</row>
    <row r="873">
      <c r="A873" s="80"/>
      <c r="B873" s="80"/>
      <c r="C873" s="106"/>
      <c r="D873" s="80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</row>
    <row r="874">
      <c r="A874" s="80"/>
      <c r="B874" s="80"/>
      <c r="C874" s="106"/>
      <c r="D874" s="80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</row>
    <row r="875">
      <c r="A875" s="80"/>
      <c r="B875" s="80"/>
      <c r="C875" s="106"/>
      <c r="D875" s="80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</row>
    <row r="876">
      <c r="A876" s="80"/>
      <c r="B876" s="80"/>
      <c r="C876" s="106"/>
      <c r="D876" s="80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</row>
    <row r="877">
      <c r="A877" s="80"/>
      <c r="B877" s="80"/>
      <c r="C877" s="106"/>
      <c r="D877" s="80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</row>
    <row r="878">
      <c r="A878" s="80"/>
      <c r="B878" s="80"/>
      <c r="C878" s="106"/>
      <c r="D878" s="80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</row>
    <row r="879">
      <c r="A879" s="80"/>
      <c r="B879" s="80"/>
      <c r="C879" s="106"/>
      <c r="D879" s="80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</row>
    <row r="880">
      <c r="A880" s="80"/>
      <c r="B880" s="80"/>
      <c r="C880" s="106"/>
      <c r="D880" s="80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</row>
    <row r="881">
      <c r="A881" s="80"/>
      <c r="B881" s="80"/>
      <c r="C881" s="106"/>
      <c r="D881" s="80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</row>
    <row r="882">
      <c r="A882" s="80"/>
      <c r="B882" s="80"/>
      <c r="C882" s="106"/>
      <c r="D882" s="80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</row>
    <row r="883">
      <c r="A883" s="80"/>
      <c r="B883" s="80"/>
      <c r="C883" s="106"/>
      <c r="D883" s="80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</row>
    <row r="884">
      <c r="A884" s="80"/>
      <c r="B884" s="80"/>
      <c r="C884" s="106"/>
      <c r="D884" s="80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</row>
    <row r="885">
      <c r="A885" s="80"/>
      <c r="B885" s="80"/>
      <c r="C885" s="106"/>
      <c r="D885" s="80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</row>
    <row r="886">
      <c r="A886" s="80"/>
      <c r="B886" s="80"/>
      <c r="C886" s="106"/>
      <c r="D886" s="80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</row>
    <row r="887">
      <c r="A887" s="80"/>
      <c r="B887" s="80"/>
      <c r="C887" s="106"/>
      <c r="D887" s="80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</row>
    <row r="888">
      <c r="A888" s="80"/>
      <c r="B888" s="80"/>
      <c r="C888" s="106"/>
      <c r="D888" s="80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</row>
    <row r="889">
      <c r="A889" s="80"/>
      <c r="B889" s="80"/>
      <c r="C889" s="106"/>
      <c r="D889" s="80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</row>
    <row r="890">
      <c r="A890" s="80"/>
      <c r="B890" s="80"/>
      <c r="C890" s="106"/>
      <c r="D890" s="80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</row>
    <row r="891">
      <c r="A891" s="80"/>
      <c r="B891" s="80"/>
      <c r="C891" s="106"/>
      <c r="D891" s="80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</row>
    <row r="892">
      <c r="A892" s="80"/>
      <c r="B892" s="80"/>
      <c r="C892" s="106"/>
      <c r="D892" s="80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</row>
    <row r="893">
      <c r="A893" s="80"/>
      <c r="B893" s="80"/>
      <c r="C893" s="106"/>
      <c r="D893" s="80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</row>
    <row r="894">
      <c r="A894" s="80"/>
      <c r="B894" s="80"/>
      <c r="C894" s="106"/>
      <c r="D894" s="80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</row>
    <row r="895">
      <c r="A895" s="80"/>
      <c r="B895" s="80"/>
      <c r="C895" s="106"/>
      <c r="D895" s="80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</row>
    <row r="896">
      <c r="A896" s="80"/>
      <c r="B896" s="80"/>
      <c r="C896" s="106"/>
      <c r="D896" s="80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</row>
    <row r="897">
      <c r="A897" s="80"/>
      <c r="B897" s="80"/>
      <c r="C897" s="106"/>
      <c r="D897" s="80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</row>
    <row r="898">
      <c r="A898" s="80"/>
      <c r="B898" s="80"/>
      <c r="C898" s="106"/>
      <c r="D898" s="80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</row>
    <row r="899">
      <c r="A899" s="80"/>
      <c r="B899" s="80"/>
      <c r="C899" s="106"/>
      <c r="D899" s="80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</row>
    <row r="900">
      <c r="A900" s="80"/>
      <c r="B900" s="80"/>
      <c r="C900" s="106"/>
      <c r="D900" s="80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</row>
    <row r="901">
      <c r="A901" s="80"/>
      <c r="B901" s="80"/>
      <c r="C901" s="106"/>
      <c r="D901" s="80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</row>
    <row r="902">
      <c r="A902" s="80"/>
      <c r="B902" s="80"/>
      <c r="C902" s="106"/>
      <c r="D902" s="80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</row>
    <row r="903">
      <c r="A903" s="80"/>
      <c r="B903" s="80"/>
      <c r="C903" s="106"/>
      <c r="D903" s="80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</row>
    <row r="904">
      <c r="A904" s="80"/>
      <c r="B904" s="80"/>
      <c r="C904" s="106"/>
      <c r="D904" s="80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</row>
    <row r="905">
      <c r="A905" s="80"/>
      <c r="B905" s="80"/>
      <c r="C905" s="106"/>
      <c r="D905" s="80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</row>
    <row r="906">
      <c r="A906" s="80"/>
      <c r="B906" s="80"/>
      <c r="C906" s="106"/>
      <c r="D906" s="80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</row>
    <row r="907">
      <c r="A907" s="80"/>
      <c r="B907" s="80"/>
      <c r="C907" s="106"/>
      <c r="D907" s="80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</row>
    <row r="908">
      <c r="A908" s="80"/>
      <c r="B908" s="80"/>
      <c r="C908" s="106"/>
      <c r="D908" s="80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</row>
    <row r="909">
      <c r="A909" s="80"/>
      <c r="B909" s="80"/>
      <c r="C909" s="106"/>
      <c r="D909" s="80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</row>
    <row r="910">
      <c r="A910" s="80"/>
      <c r="B910" s="80"/>
      <c r="C910" s="106"/>
      <c r="D910" s="80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</row>
    <row r="911">
      <c r="A911" s="80"/>
      <c r="B911" s="80"/>
      <c r="C911" s="106"/>
      <c r="D911" s="80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</row>
    <row r="912">
      <c r="A912" s="80"/>
      <c r="B912" s="80"/>
      <c r="C912" s="106"/>
      <c r="D912" s="80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</row>
    <row r="913">
      <c r="A913" s="80"/>
      <c r="B913" s="80"/>
      <c r="C913" s="106"/>
      <c r="D913" s="80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</row>
    <row r="914">
      <c r="A914" s="80"/>
      <c r="B914" s="80"/>
      <c r="C914" s="106"/>
      <c r="D914" s="80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</row>
    <row r="915">
      <c r="A915" s="80"/>
      <c r="B915" s="80"/>
      <c r="C915" s="106"/>
      <c r="D915" s="80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</row>
    <row r="916">
      <c r="A916" s="80"/>
      <c r="B916" s="80"/>
      <c r="C916" s="106"/>
      <c r="D916" s="80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</row>
    <row r="917">
      <c r="A917" s="80"/>
      <c r="B917" s="80"/>
      <c r="C917" s="106"/>
      <c r="D917" s="80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</row>
    <row r="918">
      <c r="A918" s="80"/>
      <c r="B918" s="80"/>
      <c r="C918" s="106"/>
      <c r="D918" s="80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</row>
    <row r="919">
      <c r="A919" s="80"/>
      <c r="B919" s="80"/>
      <c r="C919" s="106"/>
      <c r="D919" s="80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</row>
    <row r="920">
      <c r="A920" s="80"/>
      <c r="B920" s="80"/>
      <c r="C920" s="106"/>
      <c r="D920" s="80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</row>
    <row r="921">
      <c r="A921" s="80"/>
      <c r="B921" s="80"/>
      <c r="C921" s="106"/>
      <c r="D921" s="80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</row>
    <row r="922">
      <c r="A922" s="80"/>
      <c r="B922" s="80"/>
      <c r="C922" s="106"/>
      <c r="D922" s="80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</row>
    <row r="923">
      <c r="A923" s="80"/>
      <c r="B923" s="80"/>
      <c r="C923" s="106"/>
      <c r="D923" s="80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</row>
    <row r="924">
      <c r="A924" s="80"/>
      <c r="B924" s="80"/>
      <c r="C924" s="106"/>
      <c r="D924" s="80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</row>
    <row r="925">
      <c r="A925" s="80"/>
      <c r="B925" s="80"/>
      <c r="C925" s="106"/>
      <c r="D925" s="80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</row>
    <row r="926">
      <c r="A926" s="80"/>
      <c r="B926" s="80"/>
      <c r="C926" s="106"/>
      <c r="D926" s="80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</row>
    <row r="927">
      <c r="A927" s="80"/>
      <c r="B927" s="80"/>
      <c r="C927" s="106"/>
      <c r="D927" s="80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</row>
    <row r="928">
      <c r="A928" s="80"/>
      <c r="B928" s="80"/>
      <c r="C928" s="106"/>
      <c r="D928" s="80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</row>
    <row r="929">
      <c r="A929" s="80"/>
      <c r="B929" s="80"/>
      <c r="C929" s="106"/>
      <c r="D929" s="80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</row>
    <row r="930">
      <c r="A930" s="80"/>
      <c r="B930" s="80"/>
      <c r="C930" s="106"/>
      <c r="D930" s="80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</row>
    <row r="931">
      <c r="A931" s="80"/>
      <c r="B931" s="80"/>
      <c r="C931" s="106"/>
      <c r="D931" s="80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</row>
    <row r="932">
      <c r="A932" s="80"/>
      <c r="B932" s="80"/>
      <c r="C932" s="106"/>
      <c r="D932" s="80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</row>
    <row r="933">
      <c r="A933" s="80"/>
      <c r="B933" s="80"/>
      <c r="C933" s="106"/>
      <c r="D933" s="80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</row>
    <row r="934">
      <c r="A934" s="80"/>
      <c r="B934" s="80"/>
      <c r="C934" s="106"/>
      <c r="D934" s="80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</row>
    <row r="935">
      <c r="A935" s="80"/>
      <c r="B935" s="80"/>
      <c r="C935" s="106"/>
      <c r="D935" s="80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</row>
    <row r="936">
      <c r="A936" s="80"/>
      <c r="B936" s="80"/>
      <c r="C936" s="106"/>
      <c r="D936" s="80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</row>
    <row r="937">
      <c r="A937" s="80"/>
      <c r="B937" s="80"/>
      <c r="C937" s="106"/>
      <c r="D937" s="80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</row>
    <row r="938">
      <c r="A938" s="80"/>
      <c r="B938" s="80"/>
      <c r="C938" s="106"/>
      <c r="D938" s="80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</row>
    <row r="939">
      <c r="A939" s="80"/>
      <c r="B939" s="80"/>
      <c r="C939" s="106"/>
      <c r="D939" s="80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</row>
    <row r="940">
      <c r="A940" s="80"/>
      <c r="B940" s="80"/>
      <c r="C940" s="106"/>
      <c r="D940" s="80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</row>
    <row r="941">
      <c r="A941" s="80"/>
      <c r="B941" s="80"/>
      <c r="C941" s="106"/>
      <c r="D941" s="80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</row>
    <row r="942">
      <c r="A942" s="80"/>
      <c r="B942" s="80"/>
      <c r="C942" s="106"/>
      <c r="D942" s="80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</row>
    <row r="943">
      <c r="A943" s="80"/>
      <c r="B943" s="80"/>
      <c r="C943" s="106"/>
      <c r="D943" s="80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</row>
    <row r="944">
      <c r="A944" s="80"/>
      <c r="B944" s="80"/>
      <c r="C944" s="106"/>
      <c r="D944" s="80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</row>
    <row r="945">
      <c r="A945" s="80"/>
      <c r="B945" s="80"/>
      <c r="C945" s="106"/>
      <c r="D945" s="80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</row>
    <row r="946">
      <c r="A946" s="80"/>
      <c r="B946" s="80"/>
      <c r="C946" s="106"/>
      <c r="D946" s="80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</row>
    <row r="947">
      <c r="A947" s="80"/>
      <c r="B947" s="80"/>
      <c r="C947" s="106"/>
      <c r="D947" s="80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</row>
    <row r="948">
      <c r="A948" s="80"/>
      <c r="B948" s="80"/>
      <c r="C948" s="106"/>
      <c r="D948" s="80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</row>
    <row r="949">
      <c r="A949" s="80"/>
      <c r="B949" s="80"/>
      <c r="C949" s="106"/>
      <c r="D949" s="80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</row>
    <row r="950">
      <c r="A950" s="80"/>
      <c r="B950" s="80"/>
      <c r="C950" s="106"/>
      <c r="D950" s="80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</row>
    <row r="951">
      <c r="A951" s="80"/>
      <c r="B951" s="80"/>
      <c r="C951" s="106"/>
      <c r="D951" s="80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</row>
    <row r="952">
      <c r="A952" s="80"/>
      <c r="B952" s="80"/>
      <c r="C952" s="106"/>
      <c r="D952" s="80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</row>
    <row r="953">
      <c r="A953" s="80"/>
      <c r="B953" s="80"/>
      <c r="C953" s="106"/>
      <c r="D953" s="80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</row>
    <row r="954">
      <c r="A954" s="80"/>
      <c r="B954" s="80"/>
      <c r="C954" s="106"/>
      <c r="D954" s="80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</row>
    <row r="955">
      <c r="A955" s="80"/>
      <c r="B955" s="80"/>
      <c r="C955" s="106"/>
      <c r="D955" s="80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</row>
    <row r="956">
      <c r="A956" s="80"/>
      <c r="B956" s="80"/>
      <c r="C956" s="106"/>
      <c r="D956" s="80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</row>
    <row r="957">
      <c r="A957" s="80"/>
      <c r="B957" s="80"/>
      <c r="C957" s="106"/>
      <c r="D957" s="80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</row>
    <row r="958">
      <c r="A958" s="80"/>
      <c r="B958" s="80"/>
      <c r="C958" s="106"/>
      <c r="D958" s="80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</row>
    <row r="959">
      <c r="A959" s="80"/>
      <c r="B959" s="80"/>
      <c r="C959" s="106"/>
      <c r="D959" s="80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</row>
    <row r="960">
      <c r="A960" s="80"/>
      <c r="B960" s="80"/>
      <c r="C960" s="106"/>
      <c r="D960" s="80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</row>
    <row r="961">
      <c r="A961" s="80"/>
      <c r="B961" s="80"/>
      <c r="C961" s="106"/>
      <c r="D961" s="80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</row>
    <row r="962">
      <c r="A962" s="80"/>
      <c r="B962" s="80"/>
      <c r="C962" s="106"/>
      <c r="D962" s="80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</row>
    <row r="963">
      <c r="A963" s="80"/>
      <c r="B963" s="80"/>
      <c r="C963" s="106"/>
      <c r="D963" s="80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</row>
    <row r="964">
      <c r="A964" s="80"/>
      <c r="B964" s="80"/>
      <c r="C964" s="106"/>
      <c r="D964" s="80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</row>
    <row r="965">
      <c r="A965" s="80"/>
      <c r="B965" s="80"/>
      <c r="C965" s="106"/>
      <c r="D965" s="80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</row>
    <row r="966">
      <c r="A966" s="80"/>
      <c r="B966" s="80"/>
      <c r="C966" s="106"/>
      <c r="D966" s="80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</row>
    <row r="967">
      <c r="A967" s="80"/>
      <c r="B967" s="80"/>
      <c r="C967" s="106"/>
      <c r="D967" s="80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</row>
    <row r="968">
      <c r="A968" s="80"/>
      <c r="B968" s="80"/>
      <c r="C968" s="106"/>
      <c r="D968" s="80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</row>
    <row r="969">
      <c r="A969" s="80"/>
      <c r="B969" s="80"/>
      <c r="C969" s="106"/>
      <c r="D969" s="80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</row>
    <row r="970">
      <c r="A970" s="80"/>
      <c r="B970" s="80"/>
      <c r="C970" s="106"/>
      <c r="D970" s="80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</row>
    <row r="971">
      <c r="A971" s="80"/>
      <c r="B971" s="80"/>
      <c r="C971" s="106"/>
      <c r="D971" s="80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</row>
    <row r="972">
      <c r="A972" s="80"/>
      <c r="B972" s="80"/>
      <c r="C972" s="106"/>
      <c r="D972" s="80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</row>
    <row r="973">
      <c r="A973" s="80"/>
      <c r="B973" s="80"/>
      <c r="C973" s="106"/>
      <c r="D973" s="80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</row>
    <row r="974">
      <c r="A974" s="80"/>
      <c r="B974" s="80"/>
      <c r="C974" s="106"/>
      <c r="D974" s="80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</row>
    <row r="975">
      <c r="A975" s="80"/>
      <c r="B975" s="80"/>
      <c r="C975" s="106"/>
      <c r="D975" s="80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</row>
    <row r="976">
      <c r="A976" s="80"/>
      <c r="B976" s="80"/>
      <c r="C976" s="106"/>
      <c r="D976" s="80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</row>
    <row r="977">
      <c r="A977" s="80"/>
      <c r="B977" s="80"/>
      <c r="C977" s="106"/>
      <c r="D977" s="80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</row>
    <row r="978">
      <c r="A978" s="80"/>
      <c r="B978" s="80"/>
      <c r="C978" s="106"/>
      <c r="D978" s="80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</row>
    <row r="979">
      <c r="A979" s="80"/>
      <c r="B979" s="80"/>
      <c r="C979" s="106"/>
      <c r="D979" s="80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</row>
    <row r="980">
      <c r="A980" s="80"/>
      <c r="B980" s="80"/>
      <c r="C980" s="106"/>
      <c r="D980" s="80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</row>
    <row r="981">
      <c r="A981" s="80"/>
      <c r="B981" s="80"/>
      <c r="C981" s="106"/>
      <c r="D981" s="80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</row>
    <row r="982">
      <c r="A982" s="80"/>
      <c r="B982" s="80"/>
      <c r="C982" s="106"/>
      <c r="D982" s="80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</row>
    <row r="983">
      <c r="A983" s="80"/>
      <c r="B983" s="80"/>
      <c r="C983" s="106"/>
      <c r="D983" s="80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</row>
    <row r="984">
      <c r="A984" s="80"/>
      <c r="B984" s="80"/>
      <c r="C984" s="106"/>
      <c r="D984" s="80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</row>
    <row r="985">
      <c r="A985" s="80"/>
      <c r="B985" s="80"/>
      <c r="C985" s="106"/>
      <c r="D985" s="80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</row>
    <row r="986">
      <c r="A986" s="80"/>
      <c r="B986" s="80"/>
      <c r="C986" s="106"/>
      <c r="D986" s="80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</row>
    <row r="987">
      <c r="A987" s="80"/>
      <c r="B987" s="80"/>
      <c r="C987" s="106"/>
      <c r="D987" s="80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</row>
    <row r="988">
      <c r="A988" s="80"/>
      <c r="B988" s="80"/>
      <c r="C988" s="106"/>
      <c r="D988" s="80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</row>
    <row r="989">
      <c r="A989" s="80"/>
      <c r="B989" s="80"/>
      <c r="C989" s="106"/>
      <c r="D989" s="80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</row>
    <row r="990">
      <c r="A990" s="80"/>
      <c r="B990" s="80"/>
      <c r="C990" s="106"/>
      <c r="D990" s="80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</row>
    <row r="991">
      <c r="A991" s="80"/>
      <c r="B991" s="80"/>
      <c r="C991" s="106"/>
      <c r="D991" s="80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</row>
    <row r="992">
      <c r="A992" s="80"/>
      <c r="B992" s="80"/>
      <c r="C992" s="106"/>
      <c r="D992" s="80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</row>
    <row r="993">
      <c r="A993" s="80"/>
      <c r="B993" s="80"/>
      <c r="C993" s="106"/>
      <c r="D993" s="80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</row>
    <row r="994">
      <c r="A994" s="80"/>
      <c r="B994" s="80"/>
      <c r="C994" s="106"/>
      <c r="D994" s="80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</row>
    <row r="995">
      <c r="A995" s="80"/>
      <c r="B995" s="80"/>
      <c r="C995" s="106"/>
      <c r="D995" s="80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</row>
    <row r="996">
      <c r="A996" s="80"/>
      <c r="B996" s="80"/>
      <c r="C996" s="106"/>
      <c r="D996" s="80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</row>
    <row r="997">
      <c r="A997" s="80"/>
      <c r="B997" s="80"/>
      <c r="C997" s="106"/>
      <c r="D997" s="80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</row>
    <row r="998">
      <c r="A998" s="80"/>
      <c r="B998" s="80"/>
      <c r="D998" s="80"/>
    </row>
    <row r="999">
      <c r="A999" s="80"/>
      <c r="B999" s="80"/>
      <c r="D999" s="80"/>
    </row>
  </sheetData>
  <mergeCells count="4">
    <mergeCell ref="A2:A21"/>
    <mergeCell ref="A22:A41"/>
    <mergeCell ref="A42:A51"/>
    <mergeCell ref="A52:A6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8" max="8" width="14.0"/>
    <col customWidth="1" min="10" max="10" width="15.25"/>
    <col customWidth="1" min="11" max="11" width="11.0"/>
    <col customWidth="1" min="12" max="12" width="14.0"/>
    <col customWidth="1" min="13" max="13" width="12.88"/>
    <col customWidth="1" min="14" max="14" width="15.88"/>
    <col customWidth="1" min="21" max="21" width="15.13"/>
    <col customWidth="1" min="22" max="22" width="20.0"/>
    <col customWidth="1" min="23" max="23" width="19.25"/>
    <col customWidth="1" min="24" max="24" width="21.0"/>
    <col customWidth="1" min="26" max="26" width="14.63"/>
    <col customWidth="1" min="28" max="28" width="14.38"/>
    <col customWidth="1" min="30" max="30" width="18.13"/>
    <col customWidth="1" min="32" max="32" width="13.38"/>
  </cols>
  <sheetData>
    <row r="1">
      <c r="A1" s="130" t="s">
        <v>2</v>
      </c>
      <c r="B1" s="441" t="s">
        <v>105</v>
      </c>
      <c r="C1" s="441" t="s">
        <v>106</v>
      </c>
      <c r="D1" s="441" t="s">
        <v>107</v>
      </c>
      <c r="E1" s="441" t="s">
        <v>108</v>
      </c>
      <c r="F1" s="441" t="s">
        <v>109</v>
      </c>
      <c r="G1" s="515" t="s">
        <v>679</v>
      </c>
      <c r="H1" s="516" t="s">
        <v>680</v>
      </c>
      <c r="I1" s="516" t="s">
        <v>681</v>
      </c>
      <c r="J1" s="516" t="s">
        <v>682</v>
      </c>
      <c r="K1" s="516" t="s">
        <v>683</v>
      </c>
      <c r="L1" s="516" t="s">
        <v>684</v>
      </c>
      <c r="M1" s="516" t="s">
        <v>718</v>
      </c>
      <c r="N1" s="517" t="s">
        <v>719</v>
      </c>
      <c r="O1" s="407" t="s">
        <v>720</v>
      </c>
      <c r="P1" s="407" t="s">
        <v>721</v>
      </c>
      <c r="Q1" s="407" t="s">
        <v>722</v>
      </c>
      <c r="R1" s="407" t="s">
        <v>723</v>
      </c>
      <c r="S1" s="407" t="s">
        <v>724</v>
      </c>
      <c r="T1" s="442" t="s">
        <v>725</v>
      </c>
      <c r="U1" s="518" t="s">
        <v>726</v>
      </c>
      <c r="V1" s="518" t="s">
        <v>727</v>
      </c>
      <c r="W1" s="518" t="s">
        <v>728</v>
      </c>
      <c r="X1" s="518" t="s">
        <v>729</v>
      </c>
      <c r="Y1" s="518" t="s">
        <v>730</v>
      </c>
      <c r="Z1" s="518" t="s">
        <v>731</v>
      </c>
      <c r="AA1" s="518"/>
      <c r="AB1" s="518"/>
      <c r="AC1" s="518"/>
      <c r="AD1" s="518"/>
      <c r="AE1" s="518"/>
      <c r="AF1" s="518"/>
      <c r="AG1" s="518"/>
    </row>
    <row r="2">
      <c r="A2" s="36">
        <v>1.0</v>
      </c>
      <c r="B2" s="448">
        <v>0.0</v>
      </c>
      <c r="C2" s="448">
        <v>1.0</v>
      </c>
      <c r="D2" s="448">
        <v>0.0</v>
      </c>
      <c r="E2" s="448">
        <v>0.0</v>
      </c>
      <c r="F2" s="448">
        <v>0.0</v>
      </c>
      <c r="G2" s="450">
        <v>3.0</v>
      </c>
      <c r="H2" s="451">
        <v>5.0</v>
      </c>
      <c r="I2" s="451">
        <v>41.67</v>
      </c>
      <c r="J2" s="451">
        <v>38.89</v>
      </c>
      <c r="K2" s="451">
        <v>65.0</v>
      </c>
      <c r="L2" s="451">
        <v>72.5</v>
      </c>
      <c r="M2" s="451">
        <v>-0.25</v>
      </c>
      <c r="N2" s="519">
        <v>-0.38</v>
      </c>
      <c r="O2" s="453">
        <v>10.0</v>
      </c>
      <c r="P2" s="453">
        <v>10.0</v>
      </c>
      <c r="Q2" s="453">
        <v>10.0</v>
      </c>
      <c r="R2" s="423">
        <v>9.0</v>
      </c>
      <c r="S2" s="423">
        <v>10.0</v>
      </c>
      <c r="T2" s="454">
        <v>9.3</v>
      </c>
      <c r="U2" s="550">
        <v>379.87</v>
      </c>
      <c r="V2" s="550">
        <v>237.55</v>
      </c>
      <c r="W2" s="551">
        <v>72.81</v>
      </c>
      <c r="X2" s="552">
        <v>238.84</v>
      </c>
      <c r="Y2" s="203">
        <v>218.57999999999998</v>
      </c>
      <c r="Z2" s="203">
        <v>32.24</v>
      </c>
      <c r="AG2" s="36"/>
    </row>
    <row r="3">
      <c r="A3" s="36">
        <v>2.0</v>
      </c>
      <c r="B3" s="448">
        <v>0.0</v>
      </c>
      <c r="C3" s="448">
        <v>0.0</v>
      </c>
      <c r="D3" s="448">
        <v>0.0</v>
      </c>
      <c r="E3" s="448">
        <v>1.0</v>
      </c>
      <c r="F3" s="448">
        <v>0.0</v>
      </c>
      <c r="G3" s="450">
        <v>3.0</v>
      </c>
      <c r="H3" s="451">
        <v>5.0</v>
      </c>
      <c r="I3" s="451">
        <v>66.67</v>
      </c>
      <c r="J3" s="451">
        <v>41.67</v>
      </c>
      <c r="K3" s="451">
        <v>52.5</v>
      </c>
      <c r="L3" s="451">
        <v>90.0</v>
      </c>
      <c r="M3" s="451">
        <v>1.25</v>
      </c>
      <c r="N3" s="519">
        <v>1.5</v>
      </c>
      <c r="O3" s="453">
        <v>8.0</v>
      </c>
      <c r="P3" s="453">
        <v>6.0</v>
      </c>
      <c r="Q3" s="453">
        <v>7.4</v>
      </c>
      <c r="R3" s="423">
        <v>6.0</v>
      </c>
      <c r="S3" s="423">
        <v>3.0</v>
      </c>
      <c r="T3" s="454">
        <v>5.1</v>
      </c>
      <c r="U3" s="550">
        <v>1431.61</v>
      </c>
      <c r="V3" s="550">
        <v>564.82</v>
      </c>
      <c r="W3" s="551">
        <v>136.3</v>
      </c>
      <c r="X3" s="552">
        <v>469.63</v>
      </c>
      <c r="Y3" s="203">
        <v>430.14</v>
      </c>
      <c r="Z3" s="203">
        <v>142.26</v>
      </c>
      <c r="AG3" s="36"/>
    </row>
    <row r="4">
      <c r="A4" s="36">
        <v>4.0</v>
      </c>
      <c r="B4" s="448">
        <v>0.0</v>
      </c>
      <c r="C4" s="448">
        <v>0.0</v>
      </c>
      <c r="D4" s="448">
        <v>0.0</v>
      </c>
      <c r="E4" s="448">
        <v>1.0</v>
      </c>
      <c r="F4" s="448">
        <v>0.0</v>
      </c>
      <c r="G4" s="450">
        <v>3.0</v>
      </c>
      <c r="H4" s="451">
        <v>6.0</v>
      </c>
      <c r="I4" s="451">
        <v>58.33</v>
      </c>
      <c r="J4" s="451">
        <v>41.67</v>
      </c>
      <c r="K4" s="451">
        <v>75.0</v>
      </c>
      <c r="L4" s="451">
        <v>80.0</v>
      </c>
      <c r="M4" s="451">
        <v>0.5</v>
      </c>
      <c r="N4" s="519">
        <v>-0.25</v>
      </c>
      <c r="O4" s="453">
        <v>10.0</v>
      </c>
      <c r="P4" s="453">
        <v>8.0</v>
      </c>
      <c r="Q4" s="453">
        <v>9.4</v>
      </c>
      <c r="R4" s="423">
        <v>9.0</v>
      </c>
      <c r="S4" s="423">
        <v>6.0</v>
      </c>
      <c r="T4" s="454">
        <v>8.1</v>
      </c>
      <c r="U4" s="550">
        <v>682.44</v>
      </c>
      <c r="V4" s="550">
        <v>381.03</v>
      </c>
      <c r="W4" s="551">
        <v>145.76</v>
      </c>
      <c r="X4" s="552">
        <v>641.35</v>
      </c>
      <c r="Y4" s="203">
        <v>345.04</v>
      </c>
      <c r="Z4" s="203">
        <v>62.32</v>
      </c>
      <c r="AG4" s="36"/>
    </row>
    <row r="5">
      <c r="A5" s="36">
        <v>5.0</v>
      </c>
      <c r="B5" s="448">
        <v>0.0</v>
      </c>
      <c r="C5" s="448">
        <v>0.0</v>
      </c>
      <c r="D5" s="448">
        <v>0.0</v>
      </c>
      <c r="E5" s="448">
        <v>1.0</v>
      </c>
      <c r="F5" s="448">
        <v>0.0</v>
      </c>
      <c r="G5" s="450">
        <v>3.0</v>
      </c>
      <c r="H5" s="451">
        <v>5.0</v>
      </c>
      <c r="I5" s="451">
        <v>52.78</v>
      </c>
      <c r="J5" s="451">
        <v>38.89</v>
      </c>
      <c r="K5" s="451">
        <v>70.0</v>
      </c>
      <c r="L5" s="451">
        <v>75.0</v>
      </c>
      <c r="M5" s="451">
        <v>0.38</v>
      </c>
      <c r="N5" s="519">
        <v>-0.25</v>
      </c>
      <c r="O5" s="453">
        <v>7.0</v>
      </c>
      <c r="P5" s="453">
        <v>5.0</v>
      </c>
      <c r="Q5" s="453">
        <v>6.4</v>
      </c>
      <c r="R5" s="423">
        <v>9.0</v>
      </c>
      <c r="S5" s="423">
        <v>6.0</v>
      </c>
      <c r="T5" s="454">
        <v>8.1</v>
      </c>
      <c r="U5" s="550">
        <v>1251.07</v>
      </c>
      <c r="V5" s="550">
        <v>428.82</v>
      </c>
      <c r="W5" s="551">
        <v>59.74</v>
      </c>
      <c r="X5" s="552">
        <v>485.36</v>
      </c>
      <c r="Y5" s="203">
        <v>202.68</v>
      </c>
      <c r="Z5" s="203">
        <v>41.1</v>
      </c>
      <c r="AG5" s="36"/>
    </row>
    <row r="6">
      <c r="A6" s="36">
        <v>6.0</v>
      </c>
      <c r="B6" s="448">
        <v>0.0</v>
      </c>
      <c r="C6" s="448">
        <v>0.0</v>
      </c>
      <c r="D6" s="448">
        <v>1.0</v>
      </c>
      <c r="E6" s="448">
        <v>0.0</v>
      </c>
      <c r="F6" s="448">
        <v>0.0</v>
      </c>
      <c r="G6" s="450">
        <v>5.0</v>
      </c>
      <c r="H6" s="451">
        <v>6.0</v>
      </c>
      <c r="I6" s="451">
        <v>30.56</v>
      </c>
      <c r="J6" s="451">
        <v>25.0</v>
      </c>
      <c r="K6" s="451">
        <v>95.0</v>
      </c>
      <c r="L6" s="451">
        <v>97.5</v>
      </c>
      <c r="M6" s="451">
        <v>2.63</v>
      </c>
      <c r="N6" s="519">
        <v>2.63</v>
      </c>
      <c r="O6" s="453">
        <v>10.0</v>
      </c>
      <c r="P6" s="453">
        <v>10.0</v>
      </c>
      <c r="Q6" s="453">
        <v>10.0</v>
      </c>
      <c r="R6" s="423">
        <v>10.0</v>
      </c>
      <c r="S6" s="423">
        <v>10.0</v>
      </c>
      <c r="T6" s="454">
        <v>10.0</v>
      </c>
      <c r="U6" s="550">
        <v>428.64</v>
      </c>
      <c r="V6" s="550">
        <v>217.52</v>
      </c>
      <c r="W6" s="551">
        <v>110.93</v>
      </c>
      <c r="X6" s="552">
        <v>286.25</v>
      </c>
      <c r="Y6" s="203">
        <v>162.24</v>
      </c>
      <c r="Z6" s="203">
        <v>33.32</v>
      </c>
      <c r="AG6" s="36"/>
    </row>
    <row r="7">
      <c r="A7" s="36">
        <v>7.0</v>
      </c>
      <c r="B7" s="448">
        <v>0.0</v>
      </c>
      <c r="C7" s="448">
        <v>0.0</v>
      </c>
      <c r="D7" s="448">
        <v>0.0</v>
      </c>
      <c r="E7" s="448">
        <v>1.0</v>
      </c>
      <c r="F7" s="448">
        <v>0.0</v>
      </c>
      <c r="G7" s="450">
        <v>3.0</v>
      </c>
      <c r="H7" s="451">
        <v>3.0</v>
      </c>
      <c r="I7" s="451">
        <v>41.67</v>
      </c>
      <c r="J7" s="451">
        <v>58.33</v>
      </c>
      <c r="K7" s="451">
        <v>72.5</v>
      </c>
      <c r="L7" s="451">
        <v>47.5</v>
      </c>
      <c r="M7" s="451">
        <v>1.38</v>
      </c>
      <c r="N7" s="519">
        <v>0.0</v>
      </c>
      <c r="O7" s="453">
        <v>9.0</v>
      </c>
      <c r="P7" s="453">
        <v>10.0</v>
      </c>
      <c r="Q7" s="453">
        <v>9.3</v>
      </c>
      <c r="R7" s="423">
        <v>6.0</v>
      </c>
      <c r="S7" s="423">
        <v>6.0</v>
      </c>
      <c r="T7" s="454">
        <v>6.0</v>
      </c>
      <c r="U7" s="550">
        <v>426.99</v>
      </c>
      <c r="V7" s="550">
        <v>370.84</v>
      </c>
      <c r="W7" s="551">
        <v>118.31</v>
      </c>
      <c r="X7" s="552">
        <v>426.56</v>
      </c>
      <c r="Y7" s="203">
        <v>242.82</v>
      </c>
      <c r="Z7" s="203">
        <v>85.45</v>
      </c>
      <c r="AG7" s="36"/>
    </row>
    <row r="8">
      <c r="A8" s="36">
        <v>8.0</v>
      </c>
      <c r="B8" s="448">
        <v>0.0</v>
      </c>
      <c r="C8" s="448">
        <v>0.0</v>
      </c>
      <c r="D8" s="448">
        <v>0.0</v>
      </c>
      <c r="E8" s="448">
        <v>1.0</v>
      </c>
      <c r="F8" s="448">
        <v>0.0</v>
      </c>
      <c r="G8" s="450">
        <v>5.0</v>
      </c>
      <c r="H8" s="451">
        <v>7.0</v>
      </c>
      <c r="I8" s="451">
        <v>36.11</v>
      </c>
      <c r="J8" s="451">
        <v>16.67</v>
      </c>
      <c r="K8" s="451">
        <v>97.5</v>
      </c>
      <c r="L8" s="451">
        <v>100.0</v>
      </c>
      <c r="M8" s="451">
        <v>1.25</v>
      </c>
      <c r="N8" s="519">
        <v>1.88</v>
      </c>
      <c r="O8" s="453">
        <v>9.0</v>
      </c>
      <c r="P8" s="453">
        <v>10.0</v>
      </c>
      <c r="Q8" s="453">
        <v>9.3</v>
      </c>
      <c r="R8" s="423">
        <v>9.0</v>
      </c>
      <c r="S8" s="423">
        <v>10.0</v>
      </c>
      <c r="T8" s="454">
        <v>9.3</v>
      </c>
      <c r="U8" s="550">
        <v>945.36</v>
      </c>
      <c r="V8" s="550">
        <v>522.42</v>
      </c>
      <c r="W8" s="551">
        <v>184.88</v>
      </c>
      <c r="X8" s="552">
        <v>470.96</v>
      </c>
      <c r="Y8" s="203">
        <v>477.24</v>
      </c>
      <c r="Z8" s="203">
        <v>52.22</v>
      </c>
      <c r="AG8" s="36"/>
    </row>
    <row r="9">
      <c r="A9" s="36">
        <v>9.0</v>
      </c>
      <c r="B9" s="448">
        <v>0.0</v>
      </c>
      <c r="C9" s="448">
        <v>0.0</v>
      </c>
      <c r="D9" s="448">
        <v>1.0</v>
      </c>
      <c r="E9" s="448">
        <v>0.0</v>
      </c>
      <c r="F9" s="448">
        <v>0.0</v>
      </c>
      <c r="G9" s="450">
        <v>4.0</v>
      </c>
      <c r="H9" s="451">
        <v>6.0</v>
      </c>
      <c r="I9" s="451">
        <v>47.22</v>
      </c>
      <c r="J9" s="451">
        <v>27.78</v>
      </c>
      <c r="K9" s="451">
        <v>75.0</v>
      </c>
      <c r="L9" s="451">
        <v>90.0</v>
      </c>
      <c r="M9" s="451">
        <v>-1.25</v>
      </c>
      <c r="N9" s="519">
        <v>0.38</v>
      </c>
      <c r="O9" s="453">
        <v>9.0</v>
      </c>
      <c r="P9" s="453">
        <v>10.0</v>
      </c>
      <c r="Q9" s="453">
        <v>9.3</v>
      </c>
      <c r="R9" s="423">
        <v>10.0</v>
      </c>
      <c r="S9" s="423">
        <v>10.0</v>
      </c>
      <c r="T9" s="454">
        <v>10.0</v>
      </c>
      <c r="U9" s="550">
        <v>752.95</v>
      </c>
      <c r="V9" s="550">
        <v>269.89</v>
      </c>
      <c r="W9" s="551">
        <v>93.9</v>
      </c>
      <c r="X9" s="552">
        <v>486.58</v>
      </c>
      <c r="Y9" s="203">
        <v>316.55</v>
      </c>
      <c r="Z9" s="203">
        <v>38.96</v>
      </c>
      <c r="AG9" s="36"/>
    </row>
    <row r="10">
      <c r="A10" s="36">
        <v>10.0</v>
      </c>
      <c r="B10" s="448">
        <v>1.0</v>
      </c>
      <c r="C10" s="448">
        <v>0.0</v>
      </c>
      <c r="D10" s="448">
        <v>0.0</v>
      </c>
      <c r="E10" s="448">
        <v>0.0</v>
      </c>
      <c r="F10" s="448">
        <v>0.0</v>
      </c>
      <c r="G10" s="450">
        <v>6.0</v>
      </c>
      <c r="H10" s="451">
        <v>6.0</v>
      </c>
      <c r="I10" s="451">
        <v>11.11</v>
      </c>
      <c r="J10" s="451">
        <v>19.44</v>
      </c>
      <c r="K10" s="451">
        <v>90.0</v>
      </c>
      <c r="L10" s="451">
        <v>82.5</v>
      </c>
      <c r="M10" s="451">
        <v>0.5</v>
      </c>
      <c r="N10" s="519">
        <v>0.88</v>
      </c>
      <c r="O10" s="453">
        <v>9.0</v>
      </c>
      <c r="P10" s="453">
        <v>10.0</v>
      </c>
      <c r="Q10" s="453">
        <v>9.3</v>
      </c>
      <c r="R10" s="423">
        <v>9.0</v>
      </c>
      <c r="S10" s="423">
        <v>6.0</v>
      </c>
      <c r="T10" s="454">
        <v>8.1</v>
      </c>
      <c r="U10" s="550">
        <v>443.71</v>
      </c>
      <c r="V10" s="550">
        <v>234.64</v>
      </c>
      <c r="W10" s="551">
        <v>118.35</v>
      </c>
      <c r="X10" s="552">
        <v>452.18</v>
      </c>
      <c r="Y10" s="203">
        <v>244.72</v>
      </c>
      <c r="Z10" s="203">
        <v>52.69</v>
      </c>
      <c r="AG10" s="36"/>
    </row>
    <row r="11">
      <c r="A11" s="36">
        <v>11.0</v>
      </c>
      <c r="B11" s="448">
        <v>0.0</v>
      </c>
      <c r="C11" s="448">
        <v>1.0</v>
      </c>
      <c r="D11" s="448">
        <v>0.0</v>
      </c>
      <c r="E11" s="448">
        <v>0.0</v>
      </c>
      <c r="F11" s="448">
        <v>0.0</v>
      </c>
      <c r="G11" s="450">
        <v>6.0</v>
      </c>
      <c r="H11" s="451">
        <v>5.0</v>
      </c>
      <c r="I11" s="451">
        <v>38.89</v>
      </c>
      <c r="J11" s="451">
        <v>19.44</v>
      </c>
      <c r="K11" s="451">
        <v>97.5</v>
      </c>
      <c r="L11" s="451">
        <v>92.5</v>
      </c>
      <c r="M11" s="451">
        <v>0.63</v>
      </c>
      <c r="N11" s="519">
        <v>-0.25</v>
      </c>
      <c r="O11" s="453">
        <v>8.0</v>
      </c>
      <c r="P11" s="453">
        <v>3.0</v>
      </c>
      <c r="Q11" s="453">
        <v>6.5</v>
      </c>
      <c r="R11" s="423">
        <v>8.0</v>
      </c>
      <c r="S11" s="423">
        <v>10.0</v>
      </c>
      <c r="T11" s="454">
        <v>8.6</v>
      </c>
      <c r="U11" s="550">
        <v>620.1</v>
      </c>
      <c r="V11" s="550">
        <v>371.15</v>
      </c>
      <c r="W11" s="551">
        <v>145.19</v>
      </c>
      <c r="X11" s="552">
        <v>627.38</v>
      </c>
      <c r="Y11" s="203">
        <v>218.79</v>
      </c>
      <c r="Z11" s="203">
        <v>56.96</v>
      </c>
      <c r="AG11" s="36"/>
    </row>
    <row r="12">
      <c r="A12" s="199">
        <v>12.0</v>
      </c>
      <c r="B12" s="448">
        <v>0.0</v>
      </c>
      <c r="C12" s="448">
        <v>0.0</v>
      </c>
      <c r="D12" s="448">
        <v>1.0</v>
      </c>
      <c r="E12" s="448">
        <v>0.0</v>
      </c>
      <c r="F12" s="448">
        <v>0.0</v>
      </c>
      <c r="G12" s="450">
        <v>6.0</v>
      </c>
      <c r="H12" s="451">
        <v>5.0</v>
      </c>
      <c r="I12" s="451">
        <v>25.0</v>
      </c>
      <c r="J12" s="451">
        <v>22.22</v>
      </c>
      <c r="K12" s="451">
        <v>90.0</v>
      </c>
      <c r="L12" s="451">
        <v>90.0</v>
      </c>
      <c r="M12" s="451">
        <v>1.25</v>
      </c>
      <c r="N12" s="519">
        <v>1.25</v>
      </c>
      <c r="O12" s="453">
        <v>10.0</v>
      </c>
      <c r="P12" s="453">
        <v>10.0</v>
      </c>
      <c r="Q12" s="453">
        <v>10.0</v>
      </c>
      <c r="R12" s="423">
        <v>10.0</v>
      </c>
      <c r="S12" s="423">
        <v>10.0</v>
      </c>
      <c r="T12" s="454">
        <v>10.0</v>
      </c>
      <c r="U12" s="550">
        <v>498.98</v>
      </c>
      <c r="V12" s="550">
        <v>265.15</v>
      </c>
      <c r="W12" s="551">
        <v>79.85</v>
      </c>
      <c r="X12" s="552">
        <v>365.47</v>
      </c>
      <c r="Y12" s="203">
        <v>185.08</v>
      </c>
      <c r="Z12" s="203">
        <v>44.41</v>
      </c>
      <c r="AG12" s="36"/>
    </row>
    <row r="13">
      <c r="A13" s="36">
        <v>13.0</v>
      </c>
      <c r="B13" s="448">
        <v>0.0</v>
      </c>
      <c r="C13" s="448">
        <v>1.0</v>
      </c>
      <c r="D13" s="448">
        <v>0.0</v>
      </c>
      <c r="E13" s="448">
        <v>0.0</v>
      </c>
      <c r="F13" s="448">
        <v>0.0</v>
      </c>
      <c r="G13" s="450">
        <v>4.0</v>
      </c>
      <c r="H13" s="451">
        <v>6.0</v>
      </c>
      <c r="I13" s="451">
        <v>38.89</v>
      </c>
      <c r="J13" s="451">
        <v>30.56</v>
      </c>
      <c r="K13" s="451">
        <v>95.0</v>
      </c>
      <c r="L13" s="451">
        <v>95.0</v>
      </c>
      <c r="M13" s="451">
        <v>2.25</v>
      </c>
      <c r="N13" s="519">
        <v>2.25</v>
      </c>
      <c r="O13" s="453">
        <v>10.0</v>
      </c>
      <c r="P13" s="453">
        <v>10.0</v>
      </c>
      <c r="Q13" s="453">
        <v>10.0</v>
      </c>
      <c r="R13" s="423">
        <v>10.0</v>
      </c>
      <c r="S13" s="423">
        <v>10.0</v>
      </c>
      <c r="T13" s="454">
        <v>10.0</v>
      </c>
      <c r="U13" s="550">
        <v>380.9</v>
      </c>
      <c r="V13" s="550">
        <v>224.16</v>
      </c>
      <c r="W13" s="551">
        <v>61.17</v>
      </c>
      <c r="X13" s="552">
        <v>380.67</v>
      </c>
      <c r="Y13" s="203">
        <v>148.5</v>
      </c>
      <c r="Z13" s="203">
        <v>31.31</v>
      </c>
      <c r="AG13" s="36"/>
    </row>
    <row r="14">
      <c r="A14" s="36">
        <v>14.0</v>
      </c>
      <c r="B14" s="448">
        <v>0.0</v>
      </c>
      <c r="C14" s="448">
        <v>0.0</v>
      </c>
      <c r="D14" s="448">
        <v>1.0</v>
      </c>
      <c r="E14" s="448">
        <v>0.0</v>
      </c>
      <c r="F14" s="448">
        <v>0.0</v>
      </c>
      <c r="G14" s="450">
        <v>4.0</v>
      </c>
      <c r="H14" s="451">
        <v>4.0</v>
      </c>
      <c r="I14" s="451">
        <v>52.78</v>
      </c>
      <c r="J14" s="451">
        <v>44.44</v>
      </c>
      <c r="K14" s="451">
        <v>57.5</v>
      </c>
      <c r="L14" s="451">
        <v>35.0</v>
      </c>
      <c r="M14" s="451">
        <v>1.0</v>
      </c>
      <c r="N14" s="519">
        <v>0.38</v>
      </c>
      <c r="O14" s="453">
        <v>6.0</v>
      </c>
      <c r="P14" s="453">
        <v>5.0</v>
      </c>
      <c r="Q14" s="453">
        <v>5.7</v>
      </c>
      <c r="R14" s="423">
        <v>8.0</v>
      </c>
      <c r="S14" s="423">
        <v>5.0</v>
      </c>
      <c r="T14" s="454">
        <v>7.1</v>
      </c>
      <c r="U14" s="550">
        <v>745.99</v>
      </c>
      <c r="V14" s="550">
        <v>233.99</v>
      </c>
      <c r="W14" s="551">
        <v>156.29</v>
      </c>
      <c r="X14" s="552">
        <v>516.16</v>
      </c>
      <c r="Y14" s="203">
        <v>260.74</v>
      </c>
      <c r="Z14" s="203">
        <v>64.68</v>
      </c>
      <c r="AG14" s="36"/>
    </row>
    <row r="15">
      <c r="A15" s="36">
        <v>15.0</v>
      </c>
      <c r="B15" s="448">
        <v>0.0</v>
      </c>
      <c r="C15" s="448">
        <v>0.0</v>
      </c>
      <c r="D15" s="448">
        <v>0.0</v>
      </c>
      <c r="E15" s="448">
        <v>1.0</v>
      </c>
      <c r="F15" s="448">
        <v>0.0</v>
      </c>
      <c r="G15" s="450">
        <v>6.0</v>
      </c>
      <c r="H15" s="451">
        <v>7.0</v>
      </c>
      <c r="I15" s="451">
        <v>25.0</v>
      </c>
      <c r="J15" s="451">
        <v>22.22</v>
      </c>
      <c r="K15" s="451">
        <v>97.5</v>
      </c>
      <c r="L15" s="451">
        <v>95.0</v>
      </c>
      <c r="M15" s="451">
        <v>1.88</v>
      </c>
      <c r="N15" s="519">
        <v>1.63</v>
      </c>
      <c r="O15" s="453">
        <v>9.0</v>
      </c>
      <c r="P15" s="453">
        <v>10.0</v>
      </c>
      <c r="Q15" s="453">
        <v>9.3</v>
      </c>
      <c r="R15" s="423">
        <v>8.0</v>
      </c>
      <c r="S15" s="423">
        <v>6.0</v>
      </c>
      <c r="T15" s="454">
        <v>7.4</v>
      </c>
      <c r="U15" s="550">
        <v>468.45</v>
      </c>
      <c r="V15" s="550">
        <v>303.66</v>
      </c>
      <c r="W15" s="551">
        <v>99.13</v>
      </c>
      <c r="X15" s="552">
        <v>433.74</v>
      </c>
      <c r="Y15" s="203">
        <v>464.33</v>
      </c>
      <c r="Z15" s="203">
        <v>50.96</v>
      </c>
      <c r="AG15" s="36"/>
    </row>
    <row r="16">
      <c r="A16" s="36">
        <v>16.0</v>
      </c>
      <c r="B16" s="448">
        <v>0.0</v>
      </c>
      <c r="C16" s="448">
        <v>0.0</v>
      </c>
      <c r="D16" s="448">
        <v>0.0</v>
      </c>
      <c r="E16" s="448">
        <v>1.0</v>
      </c>
      <c r="F16" s="448">
        <v>0.0</v>
      </c>
      <c r="G16" s="450">
        <v>5.0</v>
      </c>
      <c r="H16" s="451">
        <v>6.0</v>
      </c>
      <c r="I16" s="451">
        <v>22.22</v>
      </c>
      <c r="J16" s="451">
        <v>25.0</v>
      </c>
      <c r="K16" s="451">
        <v>80.0</v>
      </c>
      <c r="L16" s="451">
        <v>87.5</v>
      </c>
      <c r="M16" s="451">
        <v>0.63</v>
      </c>
      <c r="N16" s="519">
        <v>0.75</v>
      </c>
      <c r="O16" s="453">
        <v>8.0</v>
      </c>
      <c r="P16" s="453">
        <v>6.0</v>
      </c>
      <c r="Q16" s="453">
        <v>7.4</v>
      </c>
      <c r="R16" s="423">
        <v>9.0</v>
      </c>
      <c r="S16" s="423">
        <v>6.0</v>
      </c>
      <c r="T16" s="454">
        <v>8.1</v>
      </c>
      <c r="U16" s="550">
        <v>732.46</v>
      </c>
      <c r="V16" s="550">
        <v>328.35</v>
      </c>
      <c r="W16" s="551">
        <v>101.72</v>
      </c>
      <c r="X16" s="552">
        <v>458.35</v>
      </c>
      <c r="Y16" s="203">
        <v>381.25</v>
      </c>
      <c r="Z16" s="203">
        <v>45.02</v>
      </c>
      <c r="AG16" s="36"/>
    </row>
    <row r="17">
      <c r="A17" s="36">
        <v>17.0</v>
      </c>
      <c r="B17" s="448">
        <v>0.0</v>
      </c>
      <c r="C17" s="448">
        <v>1.0</v>
      </c>
      <c r="D17" s="448">
        <v>1.0</v>
      </c>
      <c r="E17" s="448">
        <v>0.0</v>
      </c>
      <c r="F17" s="448">
        <v>0.0</v>
      </c>
      <c r="G17" s="450">
        <v>5.0</v>
      </c>
      <c r="H17" s="451">
        <v>6.0</v>
      </c>
      <c r="I17" s="451">
        <v>50.0</v>
      </c>
      <c r="J17" s="451">
        <v>36.11</v>
      </c>
      <c r="K17" s="451">
        <v>65.0</v>
      </c>
      <c r="L17" s="451">
        <v>82.5</v>
      </c>
      <c r="M17" s="451">
        <v>-0.38</v>
      </c>
      <c r="N17" s="519">
        <v>0.63</v>
      </c>
      <c r="O17" s="453">
        <v>9.0</v>
      </c>
      <c r="P17" s="453">
        <v>10.0</v>
      </c>
      <c r="Q17" s="453">
        <v>9.3</v>
      </c>
      <c r="R17" s="423">
        <v>10.0</v>
      </c>
      <c r="S17" s="423">
        <v>10.0</v>
      </c>
      <c r="T17" s="454">
        <v>10.0</v>
      </c>
      <c r="U17" s="550">
        <v>473.43</v>
      </c>
      <c r="V17" s="550">
        <v>426.1</v>
      </c>
      <c r="W17" s="551">
        <v>106.8</v>
      </c>
      <c r="X17" s="552">
        <v>314.2</v>
      </c>
      <c r="Y17" s="203">
        <v>206.67000000000002</v>
      </c>
      <c r="Z17" s="203">
        <v>34.29</v>
      </c>
      <c r="AG17" s="36"/>
    </row>
    <row r="18">
      <c r="A18" s="36">
        <v>18.0</v>
      </c>
      <c r="B18" s="448">
        <v>0.0</v>
      </c>
      <c r="C18" s="448">
        <v>0.0</v>
      </c>
      <c r="D18" s="448">
        <v>0.0</v>
      </c>
      <c r="E18" s="448">
        <v>1.0</v>
      </c>
      <c r="F18" s="448">
        <v>0.0</v>
      </c>
      <c r="G18" s="450">
        <v>5.0</v>
      </c>
      <c r="H18" s="451">
        <v>4.0</v>
      </c>
      <c r="I18" s="451">
        <v>38.89</v>
      </c>
      <c r="J18" s="451">
        <v>41.67</v>
      </c>
      <c r="K18" s="451">
        <v>60.0</v>
      </c>
      <c r="L18" s="451">
        <v>72.5</v>
      </c>
      <c r="M18" s="451">
        <v>1.25</v>
      </c>
      <c r="N18" s="519">
        <v>1.0</v>
      </c>
      <c r="O18" s="453">
        <v>7.0</v>
      </c>
      <c r="P18" s="453">
        <v>6.0</v>
      </c>
      <c r="Q18" s="453">
        <v>6.7</v>
      </c>
      <c r="R18" s="423">
        <v>9.0</v>
      </c>
      <c r="S18" s="423">
        <v>6.0</v>
      </c>
      <c r="T18" s="454">
        <v>8.1</v>
      </c>
      <c r="U18" s="550">
        <v>703.47</v>
      </c>
      <c r="V18" s="550">
        <v>388.61</v>
      </c>
      <c r="W18" s="551">
        <v>109.75999999999999</v>
      </c>
      <c r="X18" s="552">
        <v>534.06</v>
      </c>
      <c r="Y18" s="203">
        <v>192.78</v>
      </c>
      <c r="Z18" s="203">
        <v>69.39</v>
      </c>
      <c r="AG18" s="36"/>
    </row>
    <row r="19">
      <c r="A19" s="36">
        <v>19.0</v>
      </c>
      <c r="B19" s="448">
        <v>0.0</v>
      </c>
      <c r="C19" s="448">
        <v>1.0</v>
      </c>
      <c r="D19" s="448">
        <v>0.0</v>
      </c>
      <c r="E19" s="448">
        <v>0.0</v>
      </c>
      <c r="F19" s="448">
        <v>0.0</v>
      </c>
      <c r="G19" s="450">
        <v>5.0</v>
      </c>
      <c r="H19" s="451">
        <v>7.0</v>
      </c>
      <c r="I19" s="451">
        <v>50.0</v>
      </c>
      <c r="J19" s="451">
        <v>36.11</v>
      </c>
      <c r="K19" s="451">
        <v>67.5</v>
      </c>
      <c r="L19" s="451">
        <v>77.5</v>
      </c>
      <c r="M19" s="451">
        <v>1.63</v>
      </c>
      <c r="N19" s="519">
        <v>2.13</v>
      </c>
      <c r="O19" s="453">
        <v>9.0</v>
      </c>
      <c r="P19" s="453">
        <v>10.0</v>
      </c>
      <c r="Q19" s="453">
        <v>9.3</v>
      </c>
      <c r="R19" s="423">
        <v>9.0</v>
      </c>
      <c r="S19" s="423">
        <v>6.0</v>
      </c>
      <c r="T19" s="454">
        <v>8.1</v>
      </c>
      <c r="U19" s="550">
        <v>540.76</v>
      </c>
      <c r="V19" s="550">
        <v>550.3</v>
      </c>
      <c r="W19" s="551">
        <v>122.87</v>
      </c>
      <c r="X19" s="552">
        <v>335.99</v>
      </c>
      <c r="Y19" s="203">
        <v>220.24</v>
      </c>
      <c r="Z19" s="203">
        <v>52.75</v>
      </c>
      <c r="AG19" s="36"/>
    </row>
    <row r="20">
      <c r="A20" s="36">
        <v>20.0</v>
      </c>
      <c r="B20" s="448">
        <v>0.0</v>
      </c>
      <c r="C20" s="448">
        <v>0.0</v>
      </c>
      <c r="D20" s="448">
        <v>0.0</v>
      </c>
      <c r="E20" s="448">
        <v>1.0</v>
      </c>
      <c r="F20" s="448">
        <v>0.0</v>
      </c>
      <c r="G20" s="450">
        <v>6.0</v>
      </c>
      <c r="H20" s="451">
        <v>7.0</v>
      </c>
      <c r="I20" s="451">
        <v>50.0</v>
      </c>
      <c r="J20" s="451">
        <v>38.89</v>
      </c>
      <c r="K20" s="451">
        <v>77.5</v>
      </c>
      <c r="L20" s="451">
        <v>87.5</v>
      </c>
      <c r="M20" s="451">
        <v>1.0</v>
      </c>
      <c r="N20" s="519">
        <v>1.63</v>
      </c>
      <c r="O20" s="453">
        <v>9.0</v>
      </c>
      <c r="P20" s="453">
        <v>6.0</v>
      </c>
      <c r="Q20" s="453">
        <v>8.1</v>
      </c>
      <c r="R20" s="423">
        <v>9.0</v>
      </c>
      <c r="S20" s="423">
        <v>6.0</v>
      </c>
      <c r="T20" s="454">
        <v>8.1</v>
      </c>
      <c r="U20" s="550">
        <v>895.98</v>
      </c>
      <c r="V20" s="550">
        <v>376.81</v>
      </c>
      <c r="W20" s="551">
        <v>116.05</v>
      </c>
      <c r="X20" s="552">
        <v>695.96</v>
      </c>
      <c r="Y20" s="203">
        <v>440.59</v>
      </c>
      <c r="Z20" s="203">
        <v>78.83</v>
      </c>
      <c r="AG20" s="36"/>
    </row>
    <row r="21">
      <c r="A21" s="36">
        <v>21.0</v>
      </c>
      <c r="B21" s="448">
        <v>0.0</v>
      </c>
      <c r="C21" s="448">
        <v>1.0</v>
      </c>
      <c r="D21" s="448">
        <v>0.0</v>
      </c>
      <c r="E21" s="448">
        <v>0.0</v>
      </c>
      <c r="F21" s="448">
        <v>0.0</v>
      </c>
      <c r="G21" s="450">
        <v>6.0</v>
      </c>
      <c r="H21" s="451">
        <v>2.0</v>
      </c>
      <c r="I21" s="451">
        <v>41.67</v>
      </c>
      <c r="J21" s="451">
        <v>52.78</v>
      </c>
      <c r="K21" s="451">
        <v>92.5</v>
      </c>
      <c r="L21" s="451">
        <v>37.5</v>
      </c>
      <c r="M21" s="451">
        <v>1.25</v>
      </c>
      <c r="N21" s="519">
        <v>-1.0</v>
      </c>
      <c r="O21" s="453">
        <v>9.0</v>
      </c>
      <c r="P21" s="453">
        <v>10.0</v>
      </c>
      <c r="Q21" s="453">
        <v>9.3</v>
      </c>
      <c r="R21" s="423">
        <v>10.0</v>
      </c>
      <c r="S21" s="423">
        <v>10.0</v>
      </c>
      <c r="T21" s="454">
        <v>10.0</v>
      </c>
      <c r="U21" s="550">
        <v>459.67</v>
      </c>
      <c r="V21" s="550">
        <v>341.18</v>
      </c>
      <c r="W21" s="551">
        <v>113.50999999999999</v>
      </c>
      <c r="X21" s="552">
        <v>451.59</v>
      </c>
      <c r="Y21" s="203">
        <v>220.59</v>
      </c>
      <c r="Z21" s="203">
        <v>42.94</v>
      </c>
      <c r="AG21" s="36"/>
    </row>
    <row r="22">
      <c r="A22" s="36">
        <v>22.0</v>
      </c>
      <c r="B22" s="448">
        <v>1.0</v>
      </c>
      <c r="C22" s="448">
        <v>1.0</v>
      </c>
      <c r="D22" s="448">
        <v>0.0</v>
      </c>
      <c r="E22" s="448">
        <v>0.0</v>
      </c>
      <c r="F22" s="448">
        <v>0.0</v>
      </c>
      <c r="G22" s="450">
        <v>5.0</v>
      </c>
      <c r="H22" s="451">
        <v>6.0</v>
      </c>
      <c r="I22" s="451">
        <v>36.11</v>
      </c>
      <c r="J22" s="451">
        <v>36.11</v>
      </c>
      <c r="K22" s="451">
        <v>82.5</v>
      </c>
      <c r="L22" s="451">
        <v>75.0</v>
      </c>
      <c r="M22" s="451">
        <v>1.38</v>
      </c>
      <c r="N22" s="519">
        <v>1.0</v>
      </c>
      <c r="O22" s="453">
        <v>9.0</v>
      </c>
      <c r="P22" s="453">
        <v>10.0</v>
      </c>
      <c r="Q22" s="453">
        <v>9.3</v>
      </c>
      <c r="R22" s="423">
        <v>8.0</v>
      </c>
      <c r="S22" s="423">
        <v>6.0</v>
      </c>
      <c r="T22" s="454">
        <v>7.4</v>
      </c>
      <c r="U22" s="550">
        <v>433.38</v>
      </c>
      <c r="V22" s="550">
        <v>484.8</v>
      </c>
      <c r="W22" s="551">
        <v>70.78999999999999</v>
      </c>
      <c r="X22" s="552">
        <v>305.94</v>
      </c>
      <c r="Y22" s="203">
        <v>305.44</v>
      </c>
      <c r="Z22" s="203">
        <v>39.62</v>
      </c>
      <c r="AG22" s="36"/>
    </row>
    <row r="23">
      <c r="A23" s="36">
        <v>23.0</v>
      </c>
      <c r="B23" s="448">
        <v>0.0</v>
      </c>
      <c r="C23" s="448">
        <v>0.0</v>
      </c>
      <c r="D23" s="448">
        <v>0.0</v>
      </c>
      <c r="E23" s="448">
        <v>1.0</v>
      </c>
      <c r="F23" s="448">
        <v>0.0</v>
      </c>
      <c r="G23" s="450">
        <v>5.0</v>
      </c>
      <c r="H23" s="451">
        <v>6.0</v>
      </c>
      <c r="I23" s="451">
        <v>50.0</v>
      </c>
      <c r="J23" s="451">
        <v>44.44</v>
      </c>
      <c r="K23" s="451">
        <v>77.5</v>
      </c>
      <c r="L23" s="451">
        <v>85.0</v>
      </c>
      <c r="M23" s="451">
        <v>1.25</v>
      </c>
      <c r="N23" s="519">
        <v>1.13</v>
      </c>
      <c r="O23" s="453">
        <v>9.0</v>
      </c>
      <c r="P23" s="453">
        <v>10.0</v>
      </c>
      <c r="Q23" s="453">
        <v>9.3</v>
      </c>
      <c r="R23" s="423">
        <v>8.0</v>
      </c>
      <c r="S23" s="423">
        <v>10.0</v>
      </c>
      <c r="T23" s="454">
        <v>8.6</v>
      </c>
      <c r="U23" s="550">
        <v>667.86</v>
      </c>
      <c r="V23" s="550">
        <v>371.11</v>
      </c>
      <c r="W23" s="551">
        <v>109.77000000000001</v>
      </c>
      <c r="X23" s="552">
        <v>469.6</v>
      </c>
      <c r="Y23" s="203">
        <v>340.26</v>
      </c>
      <c r="Z23" s="203">
        <v>53.14</v>
      </c>
      <c r="AG23" s="36"/>
    </row>
    <row r="24">
      <c r="A24" s="36">
        <v>24.0</v>
      </c>
      <c r="B24" s="448">
        <v>0.0</v>
      </c>
      <c r="C24" s="448">
        <v>0.0</v>
      </c>
      <c r="D24" s="448">
        <v>0.0</v>
      </c>
      <c r="E24" s="448">
        <v>1.0</v>
      </c>
      <c r="F24" s="448">
        <v>0.0</v>
      </c>
      <c r="G24" s="450">
        <v>5.0</v>
      </c>
      <c r="H24" s="451">
        <v>5.0</v>
      </c>
      <c r="I24" s="451">
        <v>58.33</v>
      </c>
      <c r="J24" s="451">
        <v>41.67</v>
      </c>
      <c r="K24" s="451">
        <v>62.5</v>
      </c>
      <c r="L24" s="451">
        <v>75.0</v>
      </c>
      <c r="M24" s="451">
        <v>1.63</v>
      </c>
      <c r="N24" s="519">
        <v>1.88</v>
      </c>
      <c r="O24" s="453">
        <v>10.0</v>
      </c>
      <c r="P24" s="453">
        <v>10.0</v>
      </c>
      <c r="Q24" s="453">
        <v>10.0</v>
      </c>
      <c r="R24" s="423">
        <v>6.0</v>
      </c>
      <c r="S24" s="423">
        <v>6.0</v>
      </c>
      <c r="T24" s="454">
        <v>6.0</v>
      </c>
      <c r="U24" s="550">
        <v>526.11</v>
      </c>
      <c r="V24" s="550">
        <v>324.48</v>
      </c>
      <c r="W24" s="551">
        <v>198.49</v>
      </c>
      <c r="X24" s="552">
        <v>511.56</v>
      </c>
      <c r="Y24" s="203">
        <v>273.75</v>
      </c>
      <c r="Z24" s="203">
        <v>45.63</v>
      </c>
      <c r="AG24" s="36"/>
    </row>
    <row r="25">
      <c r="A25" s="36">
        <v>25.0</v>
      </c>
      <c r="B25" s="448">
        <v>0.0</v>
      </c>
      <c r="C25" s="448">
        <v>1.0</v>
      </c>
      <c r="D25" s="448">
        <v>1.0</v>
      </c>
      <c r="E25" s="448">
        <v>0.0</v>
      </c>
      <c r="F25" s="448">
        <v>0.0</v>
      </c>
      <c r="G25" s="450">
        <v>6.0</v>
      </c>
      <c r="H25" s="451">
        <v>7.0</v>
      </c>
      <c r="I25" s="451">
        <v>25.0</v>
      </c>
      <c r="J25" s="451">
        <v>22.22</v>
      </c>
      <c r="K25" s="451">
        <v>92.5</v>
      </c>
      <c r="L25" s="451">
        <v>85.0</v>
      </c>
      <c r="M25" s="451">
        <v>0.88</v>
      </c>
      <c r="N25" s="519">
        <v>0.88</v>
      </c>
      <c r="O25" s="453">
        <v>9.0</v>
      </c>
      <c r="P25" s="453">
        <v>10.0</v>
      </c>
      <c r="Q25" s="453">
        <v>9.3</v>
      </c>
      <c r="R25" s="423">
        <v>9.0</v>
      </c>
      <c r="S25" s="423">
        <v>10.0</v>
      </c>
      <c r="T25" s="454">
        <v>9.3</v>
      </c>
      <c r="U25" s="550">
        <v>261.69</v>
      </c>
      <c r="V25" s="550">
        <v>225.85</v>
      </c>
      <c r="W25" s="551">
        <v>109.75</v>
      </c>
      <c r="X25" s="552">
        <v>339.45</v>
      </c>
      <c r="Y25" s="203">
        <v>256.35</v>
      </c>
      <c r="Z25" s="203">
        <v>61.03</v>
      </c>
      <c r="AG25" s="36"/>
    </row>
    <row r="26">
      <c r="A26" s="36">
        <v>26.0</v>
      </c>
      <c r="B26" s="448">
        <v>0.0</v>
      </c>
      <c r="C26" s="448">
        <v>0.0</v>
      </c>
      <c r="D26" s="448">
        <v>1.0</v>
      </c>
      <c r="E26" s="448">
        <v>0.0</v>
      </c>
      <c r="F26" s="448">
        <v>1.0</v>
      </c>
      <c r="G26" s="450">
        <v>5.0</v>
      </c>
      <c r="H26" s="451">
        <v>5.0</v>
      </c>
      <c r="I26" s="451">
        <v>41.67</v>
      </c>
      <c r="J26" s="451">
        <v>58.33</v>
      </c>
      <c r="K26" s="451">
        <v>80.0</v>
      </c>
      <c r="L26" s="451">
        <v>67.5</v>
      </c>
      <c r="M26" s="451">
        <v>1.13</v>
      </c>
      <c r="N26" s="519">
        <v>1.5</v>
      </c>
      <c r="O26" s="453">
        <v>9.0</v>
      </c>
      <c r="P26" s="453">
        <v>10.0</v>
      </c>
      <c r="Q26" s="453">
        <v>9.3</v>
      </c>
      <c r="R26" s="423">
        <v>10.0</v>
      </c>
      <c r="S26" s="423">
        <v>10.0</v>
      </c>
      <c r="T26" s="454">
        <v>10.0</v>
      </c>
      <c r="U26" s="550">
        <v>683.88</v>
      </c>
      <c r="V26" s="550">
        <v>457.47</v>
      </c>
      <c r="W26" s="551">
        <v>181.22</v>
      </c>
      <c r="X26" s="552">
        <v>583.02</v>
      </c>
      <c r="Y26" s="203">
        <v>347.90999999999997</v>
      </c>
      <c r="Z26" s="203">
        <v>60.64</v>
      </c>
      <c r="AG26" s="36"/>
    </row>
    <row r="27">
      <c r="A27" s="36">
        <v>27.0</v>
      </c>
      <c r="B27" s="448">
        <v>0.0</v>
      </c>
      <c r="C27" s="448">
        <v>0.0</v>
      </c>
      <c r="D27" s="448">
        <v>0.0</v>
      </c>
      <c r="E27" s="448">
        <v>1.0</v>
      </c>
      <c r="F27" s="448">
        <v>0.0</v>
      </c>
      <c r="G27" s="450">
        <v>5.0</v>
      </c>
      <c r="H27" s="451">
        <v>4.0</v>
      </c>
      <c r="I27" s="451">
        <v>36.11</v>
      </c>
      <c r="J27" s="451">
        <v>52.78</v>
      </c>
      <c r="K27" s="451">
        <v>80.0</v>
      </c>
      <c r="L27" s="451">
        <v>67.5</v>
      </c>
      <c r="M27" s="451">
        <v>2.88</v>
      </c>
      <c r="N27" s="519">
        <v>2.63</v>
      </c>
      <c r="O27" s="453">
        <v>9.0</v>
      </c>
      <c r="P27" s="453">
        <v>10.0</v>
      </c>
      <c r="Q27" s="453">
        <v>9.3</v>
      </c>
      <c r="R27" s="423">
        <v>8.0</v>
      </c>
      <c r="S27" s="423">
        <v>10.0</v>
      </c>
      <c r="T27" s="454">
        <v>8.6</v>
      </c>
      <c r="U27" s="550">
        <v>938.68</v>
      </c>
      <c r="V27" s="550">
        <v>439.91</v>
      </c>
      <c r="W27" s="551">
        <v>141.62</v>
      </c>
      <c r="X27" s="552">
        <v>816.6</v>
      </c>
      <c r="Y27" s="203">
        <v>501.47</v>
      </c>
      <c r="Z27" s="203">
        <v>44.42</v>
      </c>
      <c r="AG27" s="36"/>
    </row>
    <row r="28">
      <c r="A28" s="36">
        <v>28.0</v>
      </c>
      <c r="B28" s="448">
        <v>0.0</v>
      </c>
      <c r="C28" s="448">
        <v>0.0</v>
      </c>
      <c r="D28" s="448">
        <v>0.0</v>
      </c>
      <c r="E28" s="448">
        <v>1.0</v>
      </c>
      <c r="F28" s="448">
        <v>0.0</v>
      </c>
      <c r="G28" s="450">
        <v>3.0</v>
      </c>
      <c r="H28" s="451">
        <v>6.0</v>
      </c>
      <c r="I28" s="451">
        <v>66.67</v>
      </c>
      <c r="J28" s="451">
        <v>27.78</v>
      </c>
      <c r="K28" s="451">
        <v>77.5</v>
      </c>
      <c r="L28" s="451">
        <v>85.0</v>
      </c>
      <c r="M28" s="451">
        <v>1.13</v>
      </c>
      <c r="N28" s="519">
        <v>1.75</v>
      </c>
      <c r="O28" s="453">
        <v>8.0</v>
      </c>
      <c r="P28" s="453">
        <v>6.0</v>
      </c>
      <c r="Q28" s="453">
        <v>7.4</v>
      </c>
      <c r="R28" s="423">
        <v>8.0</v>
      </c>
      <c r="S28" s="423">
        <v>10.0</v>
      </c>
      <c r="T28" s="454">
        <v>8.6</v>
      </c>
      <c r="U28" s="550">
        <v>677.46</v>
      </c>
      <c r="V28" s="550">
        <v>316.97</v>
      </c>
      <c r="W28" s="551">
        <v>75.36</v>
      </c>
      <c r="X28" s="552">
        <v>324.07</v>
      </c>
      <c r="Y28" s="203">
        <v>239.72</v>
      </c>
      <c r="Z28" s="203">
        <v>64.31</v>
      </c>
      <c r="AG28" s="36"/>
    </row>
    <row r="29">
      <c r="A29" s="36">
        <v>29.0</v>
      </c>
      <c r="B29" s="448">
        <v>0.0</v>
      </c>
      <c r="C29" s="448">
        <v>0.0</v>
      </c>
      <c r="D29" s="448">
        <v>0.0</v>
      </c>
      <c r="E29" s="448">
        <v>1.0</v>
      </c>
      <c r="F29" s="448">
        <v>0.0</v>
      </c>
      <c r="G29" s="450">
        <v>5.0</v>
      </c>
      <c r="H29" s="451">
        <v>3.0</v>
      </c>
      <c r="I29" s="451">
        <v>36.11</v>
      </c>
      <c r="J29" s="451">
        <v>41.67</v>
      </c>
      <c r="K29" s="451">
        <v>85.0</v>
      </c>
      <c r="L29" s="451">
        <v>77.5</v>
      </c>
      <c r="M29" s="451">
        <v>0.75</v>
      </c>
      <c r="N29" s="519">
        <v>0.13</v>
      </c>
      <c r="O29" s="453">
        <v>8.0</v>
      </c>
      <c r="P29" s="453">
        <v>6.0</v>
      </c>
      <c r="Q29" s="453">
        <v>7.4</v>
      </c>
      <c r="R29" s="423">
        <v>7.0</v>
      </c>
      <c r="S29" s="423">
        <v>10.0</v>
      </c>
      <c r="T29" s="454">
        <v>7.9</v>
      </c>
      <c r="U29" s="550">
        <v>382.16</v>
      </c>
      <c r="V29" s="550">
        <v>327.89</v>
      </c>
      <c r="W29" s="551">
        <v>146.25</v>
      </c>
      <c r="X29" s="552">
        <v>510.56</v>
      </c>
      <c r="Y29" s="203">
        <v>197.66</v>
      </c>
      <c r="Z29" s="203">
        <v>57.83</v>
      </c>
      <c r="AG29" s="36"/>
    </row>
    <row r="30">
      <c r="A30" s="36">
        <v>31.0</v>
      </c>
      <c r="B30" s="448">
        <v>0.0</v>
      </c>
      <c r="C30" s="448">
        <v>1.0</v>
      </c>
      <c r="D30" s="448">
        <v>0.0</v>
      </c>
      <c r="E30" s="448">
        <v>0.0</v>
      </c>
      <c r="F30" s="448">
        <v>0.0</v>
      </c>
      <c r="G30" s="450">
        <v>6.0</v>
      </c>
      <c r="H30" s="451">
        <v>2.0</v>
      </c>
      <c r="I30" s="451">
        <v>38.89</v>
      </c>
      <c r="J30" s="451">
        <v>41.67</v>
      </c>
      <c r="K30" s="451">
        <v>85.0</v>
      </c>
      <c r="L30" s="451">
        <v>40.0</v>
      </c>
      <c r="M30" s="451">
        <v>0.63</v>
      </c>
      <c r="N30" s="519">
        <v>-1.25</v>
      </c>
      <c r="O30" s="453">
        <v>8.0</v>
      </c>
      <c r="P30" s="453">
        <v>6.0</v>
      </c>
      <c r="Q30" s="453">
        <v>7.4</v>
      </c>
      <c r="R30" s="423">
        <v>9.0</v>
      </c>
      <c r="S30" s="423">
        <v>10.0</v>
      </c>
      <c r="T30" s="454">
        <v>9.3</v>
      </c>
      <c r="U30" s="550">
        <v>479.95</v>
      </c>
      <c r="V30" s="550">
        <v>466.72</v>
      </c>
      <c r="W30" s="551">
        <v>205.63</v>
      </c>
      <c r="X30" s="552">
        <v>543.95</v>
      </c>
      <c r="Y30" s="203">
        <v>390.81</v>
      </c>
      <c r="Z30" s="203">
        <v>43.16</v>
      </c>
      <c r="AG30" s="36"/>
    </row>
    <row r="31">
      <c r="A31" s="36">
        <v>32.0</v>
      </c>
      <c r="B31" s="461">
        <v>1.0</v>
      </c>
      <c r="C31" s="461">
        <v>1.0</v>
      </c>
      <c r="D31" s="461">
        <v>0.0</v>
      </c>
      <c r="E31" s="461">
        <v>0.0</v>
      </c>
      <c r="F31" s="461">
        <v>0.0</v>
      </c>
      <c r="G31" s="473">
        <v>5.0</v>
      </c>
      <c r="H31" s="463">
        <v>5.0</v>
      </c>
      <c r="I31" s="463">
        <v>25.0</v>
      </c>
      <c r="J31" s="463">
        <v>30.56</v>
      </c>
      <c r="K31" s="463">
        <v>85.0</v>
      </c>
      <c r="L31" s="463">
        <v>82.5</v>
      </c>
      <c r="M31" s="463">
        <v>1.38</v>
      </c>
      <c r="N31" s="520">
        <v>0.63</v>
      </c>
      <c r="O31" s="464">
        <v>9.0</v>
      </c>
      <c r="P31" s="464">
        <v>6.0</v>
      </c>
      <c r="Q31" s="464">
        <v>8.1</v>
      </c>
      <c r="R31" s="465">
        <v>10.0</v>
      </c>
      <c r="S31" s="465">
        <v>10.0</v>
      </c>
      <c r="T31" s="475">
        <v>10.0</v>
      </c>
      <c r="U31" s="550">
        <v>671.68</v>
      </c>
      <c r="V31" s="550">
        <v>340.23</v>
      </c>
      <c r="W31" s="551">
        <v>80.9</v>
      </c>
      <c r="X31" s="552">
        <v>562.03</v>
      </c>
      <c r="Y31" s="203">
        <v>398.78</v>
      </c>
      <c r="Z31" s="203">
        <v>49.15</v>
      </c>
      <c r="AG31" s="36"/>
    </row>
    <row r="33">
      <c r="V33" s="328"/>
      <c r="W33" s="328"/>
      <c r="X33" s="328"/>
      <c r="Y33" s="328"/>
      <c r="Z33" s="328"/>
      <c r="AA33" s="328"/>
    </row>
    <row r="34">
      <c r="V34" s="356"/>
    </row>
    <row r="35">
      <c r="V35" s="356"/>
    </row>
    <row r="36">
      <c r="V36" s="356"/>
    </row>
    <row r="37">
      <c r="V37" s="356"/>
    </row>
    <row r="38">
      <c r="V38" s="356"/>
    </row>
    <row r="39">
      <c r="V39" s="356"/>
    </row>
    <row r="40">
      <c r="V40" s="356"/>
    </row>
    <row r="41">
      <c r="V41" s="356"/>
    </row>
    <row r="42">
      <c r="V42" s="356"/>
    </row>
    <row r="43">
      <c r="V43" s="356"/>
    </row>
    <row r="44">
      <c r="V44" s="356"/>
    </row>
    <row r="45">
      <c r="V45" s="356"/>
    </row>
    <row r="46">
      <c r="V46" s="356"/>
    </row>
    <row r="47">
      <c r="V47" s="356"/>
    </row>
    <row r="48">
      <c r="V48" s="356"/>
    </row>
    <row r="49">
      <c r="V49" s="356"/>
    </row>
    <row r="50">
      <c r="V50" s="356"/>
    </row>
    <row r="51">
      <c r="V51" s="356"/>
    </row>
    <row r="52">
      <c r="V52" s="356"/>
    </row>
    <row r="53">
      <c r="V53" s="356"/>
    </row>
    <row r="54">
      <c r="V54" s="356"/>
    </row>
    <row r="55">
      <c r="V55" s="356"/>
    </row>
    <row r="56">
      <c r="V56" s="356"/>
    </row>
    <row r="57">
      <c r="V57" s="356"/>
    </row>
    <row r="58">
      <c r="V58" s="356"/>
    </row>
    <row r="59">
      <c r="V59" s="356"/>
    </row>
    <row r="60">
      <c r="V60" s="356"/>
    </row>
    <row r="61">
      <c r="V61" s="356"/>
    </row>
    <row r="62">
      <c r="V62" s="356"/>
    </row>
    <row r="63">
      <c r="V63" s="356"/>
    </row>
  </sheetData>
  <drawing r:id="rId1"/>
</worksheet>
</file>